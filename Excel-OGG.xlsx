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codeName="ThisWorkbook"/>
  <mc:AlternateContent xmlns:mc="http://schemas.openxmlformats.org/markup-compatibility/2006">
    <mc:Choice Requires="x15">
      <x15ac:absPath xmlns:x15ac="http://schemas.microsoft.com/office/spreadsheetml/2010/11/ac" url="/Users/lilishabanova/Desktop/"/>
    </mc:Choice>
  </mc:AlternateContent>
  <xr:revisionPtr revIDLastSave="0" documentId="8_{FD0E4BAE-B612-5945-802A-372E9B6DA6A7}" xr6:coauthVersionLast="47" xr6:coauthVersionMax="47" xr10:uidLastSave="{00000000-0000-0000-0000-000000000000}"/>
  <bookViews>
    <workbookView xWindow="4440" yWindow="500" windowWidth="23500" windowHeight="16360" xr2:uid="{CD587BC3-AB25-4A47-951F-AA5230241B1A}"/>
  </bookViews>
  <sheets>
    <sheet name="Qm-ValidationPredict" sheetId="56" r:id="rId1"/>
    <sheet name="Archive-Input_Qm-Predict" sheetId="60" state="hidden" r:id="rId2"/>
    <sheet name="Input_Qm-Predict" sheetId="54" r:id="rId3"/>
    <sheet name="Read Me" sheetId="17" r:id="rId4"/>
    <sheet name="Dashboard" sheetId="9" r:id="rId5"/>
    <sheet name="Reference" sheetId="3" r:id="rId6"/>
    <sheet name="Information-Working" sheetId="43" r:id="rId7"/>
    <sheet name="Pricing-Working" sheetId="4" r:id="rId8"/>
    <sheet name="Data_Price" sheetId="65" r:id="rId9"/>
    <sheet name="Data_Sales" sheetId="39" r:id="rId10"/>
    <sheet name="Data_CashFlows" sheetId="19" r:id="rId11"/>
    <sheet name="Data_Stock" sheetId="36" r:id="rId12"/>
    <sheet name="Data_IncomeStatement" sheetId="15" r:id="rId13"/>
    <sheet name="Data_EmployeeNumber" sheetId="38" r:id="rId14"/>
    <sheet name="Macro_Code" sheetId="41" state="hidden" r:id="rId15"/>
    <sheet name="Q12-Validation" sheetId="78" r:id="rId16"/>
    <sheet name="Q12-Predict" sheetId="76" r:id="rId17"/>
    <sheet name="Input_Q12-Predict" sheetId="77" r:id="rId18"/>
    <sheet name="Q11-Validation" sheetId="75" r:id="rId19"/>
    <sheet name="Q11-Predict" sheetId="73" r:id="rId20"/>
    <sheet name="Input_Q11-Predict" sheetId="74" r:id="rId21"/>
    <sheet name="Input_Q10-Predict" sheetId="68" r:id="rId22"/>
    <sheet name="Q10-Validation" sheetId="72" r:id="rId23"/>
    <sheet name="Q10-Predict" sheetId="69" r:id="rId24"/>
    <sheet name="Q9-Validation" sheetId="67" r:id="rId25"/>
    <sheet name="Input_Q9-Predict" sheetId="66" r:id="rId26"/>
    <sheet name="Q9-Predict" sheetId="64" r:id="rId27"/>
    <sheet name="Q8-Validation" sheetId="62" r:id="rId28"/>
    <sheet name="Input_Q8-Predict" sheetId="61" r:id="rId29"/>
    <sheet name="Q8-Predict" sheetId="58" r:id="rId30"/>
    <sheet name="Q7-Validation" sheetId="57" r:id="rId31"/>
    <sheet name="Input_Q7-Predict" sheetId="52" r:id="rId32"/>
    <sheet name="Q7-Predict" sheetId="51" r:id="rId33"/>
    <sheet name="Q6-Validation" sheetId="50" r:id="rId34"/>
    <sheet name="Input_Q6-Predict" sheetId="47" r:id="rId35"/>
    <sheet name="Q6-Predict" sheetId="48" r:id="rId36"/>
    <sheet name="Q5-Validation" sheetId="44" r:id="rId37"/>
    <sheet name="Q5-Predict" sheetId="37" r:id="rId38"/>
    <sheet name="Q4-Validation" sheetId="32" r:id="rId39"/>
    <sheet name="Q4-Predict" sheetId="26" r:id="rId40"/>
    <sheet name="Q3-Validation" sheetId="25" r:id="rId41"/>
    <sheet name="Q3-Predict" sheetId="14" r:id="rId42"/>
    <sheet name="Q2" sheetId="13" r:id="rId43"/>
    <sheet name="Q1" sheetId="12" r:id="rId44"/>
    <sheet name="Q1-Data" sheetId="2" r:id="rId45"/>
    <sheet name="Archived_Diagram (2)" sheetId="23" state="hidden" r:id="rId46"/>
    <sheet name="Archived_Diagram" sheetId="18" state="hidden" r:id="rId47"/>
    <sheet name="Archived_DraftCalculationFlow" sheetId="6" state="hidden" r:id="rId48"/>
    <sheet name="(Archived)Q2-Data " sheetId="5" state="hidden" r:id="rId49"/>
    <sheet name="Archieved_Analysis" sheetId="30" state="hidden" r:id="rId50"/>
    <sheet name="Archived_1,2,3,4" sheetId="11" state="hidden" r:id="rId51"/>
    <sheet name="Archived_Testing_Q5" sheetId="35" state="hidden" r:id="rId52"/>
    <sheet name="Archived_Q5-Predict(01)" sheetId="33" state="hidden" r:id="rId53"/>
  </sheets>
  <definedNames>
    <definedName name="Electric">Reference!$D$2:$D$2</definedName>
    <definedName name="Motor___Cooling">Reference!$C$2:$C$2</definedName>
    <definedName name="Packing">Reference!$A$1:$A$3</definedName>
    <definedName name="Plastic">Reference!$B$2:$B$3</definedName>
    <definedName name="solver_adj" localSheetId="6" hidden="1">'Information-Working'!$X$36</definedName>
    <definedName name="solver_cvg" localSheetId="6" hidden="1">0.0001</definedName>
    <definedName name="solver_drv" localSheetId="6" hidden="1">2</definedName>
    <definedName name="solver_eng" localSheetId="50" hidden="1">1</definedName>
    <definedName name="solver_eng" localSheetId="47" hidden="1">1</definedName>
    <definedName name="solver_eng" localSheetId="52" hidden="1">1</definedName>
    <definedName name="solver_eng" localSheetId="4" hidden="1">1</definedName>
    <definedName name="solver_eng" localSheetId="6" hidden="1">1</definedName>
    <definedName name="solver_eng" localSheetId="43" hidden="1">1</definedName>
    <definedName name="solver_eng" localSheetId="23" hidden="1">1</definedName>
    <definedName name="solver_eng" localSheetId="22" hidden="1">1</definedName>
    <definedName name="solver_eng" localSheetId="19" hidden="1">1</definedName>
    <definedName name="solver_eng" localSheetId="18" hidden="1">1</definedName>
    <definedName name="solver_eng" localSheetId="16" hidden="1">1</definedName>
    <definedName name="solver_eng" localSheetId="15" hidden="1">1</definedName>
    <definedName name="solver_eng" localSheetId="42" hidden="1">1</definedName>
    <definedName name="solver_eng" localSheetId="41" hidden="1">1</definedName>
    <definedName name="solver_eng" localSheetId="40" hidden="1">1</definedName>
    <definedName name="solver_eng" localSheetId="39" hidden="1">1</definedName>
    <definedName name="solver_eng" localSheetId="38" hidden="1">1</definedName>
    <definedName name="solver_eng" localSheetId="37" hidden="1">1</definedName>
    <definedName name="solver_eng" localSheetId="36" hidden="1">1</definedName>
    <definedName name="solver_eng" localSheetId="35" hidden="1">1</definedName>
    <definedName name="solver_eng" localSheetId="33" hidden="1">1</definedName>
    <definedName name="solver_eng" localSheetId="32" hidden="1">1</definedName>
    <definedName name="solver_eng" localSheetId="30" hidden="1">1</definedName>
    <definedName name="solver_eng" localSheetId="29" hidden="1">1</definedName>
    <definedName name="solver_eng" localSheetId="27" hidden="1">1</definedName>
    <definedName name="solver_eng" localSheetId="26" hidden="1">1</definedName>
    <definedName name="solver_eng" localSheetId="24" hidden="1">1</definedName>
    <definedName name="solver_eng" localSheetId="0" hidden="1">1</definedName>
    <definedName name="solver_est" localSheetId="6" hidden="1">1</definedName>
    <definedName name="solver_itr" localSheetId="6" hidden="1">2147483647</definedName>
    <definedName name="solver_lhs1" localSheetId="6" hidden="1">'Information-Working'!$X$36</definedName>
    <definedName name="solver_lhs2" localSheetId="6" hidden="1">'Information-Working'!$X$36</definedName>
    <definedName name="solver_lin" localSheetId="50" hidden="1">2</definedName>
    <definedName name="solver_lin" localSheetId="47" hidden="1">2</definedName>
    <definedName name="solver_lin" localSheetId="52" hidden="1">2</definedName>
    <definedName name="solver_lin" localSheetId="4" hidden="1">2</definedName>
    <definedName name="solver_lin" localSheetId="43" hidden="1">2</definedName>
    <definedName name="solver_lin" localSheetId="23" hidden="1">2</definedName>
    <definedName name="solver_lin" localSheetId="22" hidden="1">2</definedName>
    <definedName name="solver_lin" localSheetId="19" hidden="1">2</definedName>
    <definedName name="solver_lin" localSheetId="18" hidden="1">2</definedName>
    <definedName name="solver_lin" localSheetId="16" hidden="1">2</definedName>
    <definedName name="solver_lin" localSheetId="15" hidden="1">2</definedName>
    <definedName name="solver_lin" localSheetId="42" hidden="1">2</definedName>
    <definedName name="solver_lin" localSheetId="41" hidden="1">2</definedName>
    <definedName name="solver_lin" localSheetId="40" hidden="1">2</definedName>
    <definedName name="solver_lin" localSheetId="39" hidden="1">2</definedName>
    <definedName name="solver_lin" localSheetId="38" hidden="1">2</definedName>
    <definedName name="solver_lin" localSheetId="37" hidden="1">2</definedName>
    <definedName name="solver_lin" localSheetId="36" hidden="1">2</definedName>
    <definedName name="solver_lin" localSheetId="35" hidden="1">2</definedName>
    <definedName name="solver_lin" localSheetId="33" hidden="1">2</definedName>
    <definedName name="solver_lin" localSheetId="32" hidden="1">2</definedName>
    <definedName name="solver_lin" localSheetId="30" hidden="1">2</definedName>
    <definedName name="solver_lin" localSheetId="29" hidden="1">2</definedName>
    <definedName name="solver_lin" localSheetId="27" hidden="1">2</definedName>
    <definedName name="solver_lin" localSheetId="26" hidden="1">2</definedName>
    <definedName name="solver_lin" localSheetId="24" hidden="1">2</definedName>
    <definedName name="solver_lin" localSheetId="0" hidden="1">2</definedName>
    <definedName name="solver_mip" localSheetId="6" hidden="1">2147483647</definedName>
    <definedName name="solver_mni" localSheetId="6" hidden="1">30</definedName>
    <definedName name="solver_mrt" localSheetId="6" hidden="1">0.075</definedName>
    <definedName name="solver_msl" localSheetId="6" hidden="1">2</definedName>
    <definedName name="solver_neg" localSheetId="50" hidden="1">1</definedName>
    <definedName name="solver_neg" localSheetId="47" hidden="1">1</definedName>
    <definedName name="solver_neg" localSheetId="52" hidden="1">1</definedName>
    <definedName name="solver_neg" localSheetId="4" hidden="1">1</definedName>
    <definedName name="solver_neg" localSheetId="6" hidden="1">2</definedName>
    <definedName name="solver_neg" localSheetId="43" hidden="1">1</definedName>
    <definedName name="solver_neg" localSheetId="23" hidden="1">1</definedName>
    <definedName name="solver_neg" localSheetId="22" hidden="1">1</definedName>
    <definedName name="solver_neg" localSheetId="19" hidden="1">1</definedName>
    <definedName name="solver_neg" localSheetId="18" hidden="1">1</definedName>
    <definedName name="solver_neg" localSheetId="16" hidden="1">1</definedName>
    <definedName name="solver_neg" localSheetId="15" hidden="1">1</definedName>
    <definedName name="solver_neg" localSheetId="42" hidden="1">1</definedName>
    <definedName name="solver_neg" localSheetId="41" hidden="1">1</definedName>
    <definedName name="solver_neg" localSheetId="40" hidden="1">1</definedName>
    <definedName name="solver_neg" localSheetId="39" hidden="1">1</definedName>
    <definedName name="solver_neg" localSheetId="38" hidden="1">1</definedName>
    <definedName name="solver_neg" localSheetId="37" hidden="1">1</definedName>
    <definedName name="solver_neg" localSheetId="36" hidden="1">1</definedName>
    <definedName name="solver_neg" localSheetId="35" hidden="1">1</definedName>
    <definedName name="solver_neg" localSheetId="33" hidden="1">1</definedName>
    <definedName name="solver_neg" localSheetId="32" hidden="1">1</definedName>
    <definedName name="solver_neg" localSheetId="30" hidden="1">1</definedName>
    <definedName name="solver_neg" localSheetId="29" hidden="1">1</definedName>
    <definedName name="solver_neg" localSheetId="27" hidden="1">1</definedName>
    <definedName name="solver_neg" localSheetId="26" hidden="1">1</definedName>
    <definedName name="solver_neg" localSheetId="24" hidden="1">1</definedName>
    <definedName name="solver_neg" localSheetId="0" hidden="1">1</definedName>
    <definedName name="solver_nod" localSheetId="6" hidden="1">2147483647</definedName>
    <definedName name="solver_num" localSheetId="50" hidden="1">0</definedName>
    <definedName name="solver_num" localSheetId="47" hidden="1">0</definedName>
    <definedName name="solver_num" localSheetId="52" hidden="1">0</definedName>
    <definedName name="solver_num" localSheetId="4" hidden="1">0</definedName>
    <definedName name="solver_num" localSheetId="6" hidden="1">2</definedName>
    <definedName name="solver_num" localSheetId="43" hidden="1">0</definedName>
    <definedName name="solver_num" localSheetId="23" hidden="1">0</definedName>
    <definedName name="solver_num" localSheetId="22" hidden="1">0</definedName>
    <definedName name="solver_num" localSheetId="19" hidden="1">0</definedName>
    <definedName name="solver_num" localSheetId="18" hidden="1">0</definedName>
    <definedName name="solver_num" localSheetId="16" hidden="1">0</definedName>
    <definedName name="solver_num" localSheetId="15" hidden="1">0</definedName>
    <definedName name="solver_num" localSheetId="42" hidden="1">0</definedName>
    <definedName name="solver_num" localSheetId="41" hidden="1">0</definedName>
    <definedName name="solver_num" localSheetId="40" hidden="1">0</definedName>
    <definedName name="solver_num" localSheetId="39" hidden="1">0</definedName>
    <definedName name="solver_num" localSheetId="38" hidden="1">0</definedName>
    <definedName name="solver_num" localSheetId="37" hidden="1">0</definedName>
    <definedName name="solver_num" localSheetId="36" hidden="1">0</definedName>
    <definedName name="solver_num" localSheetId="35" hidden="1">0</definedName>
    <definedName name="solver_num" localSheetId="33" hidden="1">0</definedName>
    <definedName name="solver_num" localSheetId="32" hidden="1">0</definedName>
    <definedName name="solver_num" localSheetId="30" hidden="1">0</definedName>
    <definedName name="solver_num" localSheetId="29" hidden="1">0</definedName>
    <definedName name="solver_num" localSheetId="27" hidden="1">0</definedName>
    <definedName name="solver_num" localSheetId="26" hidden="1">0</definedName>
    <definedName name="solver_num" localSheetId="24" hidden="1">0</definedName>
    <definedName name="solver_num" localSheetId="0" hidden="1">0</definedName>
    <definedName name="solver_nwt" localSheetId="6" hidden="1">1</definedName>
    <definedName name="solver_opt" localSheetId="50" hidden="1">'Archived_1,2,3,4'!$H$24</definedName>
    <definedName name="solver_opt" localSheetId="47" hidden="1">Archived_DraftCalculationFlow!$H$69</definedName>
    <definedName name="solver_opt" localSheetId="52" hidden="1">'Archived_Q5-Predict(01)'!#REF!</definedName>
    <definedName name="solver_opt" localSheetId="4" hidden="1">Dashboard!$AE$6</definedName>
    <definedName name="solver_opt" localSheetId="6" hidden="1">'Information-Working'!$Y$39</definedName>
    <definedName name="solver_opt" localSheetId="43" hidden="1">'Q1'!$I$24</definedName>
    <definedName name="solver_opt" localSheetId="23" hidden="1">'Q10-Predict'!#REF!</definedName>
    <definedName name="solver_opt" localSheetId="22" hidden="1">'Q10-Validation'!#REF!</definedName>
    <definedName name="solver_opt" localSheetId="19" hidden="1">'Q11-Predict'!#REF!</definedName>
    <definedName name="solver_opt" localSheetId="18" hidden="1">'Q11-Validation'!#REF!</definedName>
    <definedName name="solver_opt" localSheetId="16" hidden="1">'Q12-Predict'!#REF!</definedName>
    <definedName name="solver_opt" localSheetId="15" hidden="1">'Q12-Validation'!#REF!</definedName>
    <definedName name="solver_opt" localSheetId="42" hidden="1">'Q2'!#REF!</definedName>
    <definedName name="solver_opt" localSheetId="41" hidden="1">'Q3-Predict'!#REF!</definedName>
    <definedName name="solver_opt" localSheetId="40" hidden="1">'Q3-Validation'!#REF!</definedName>
    <definedName name="solver_opt" localSheetId="39" hidden="1">'Q4-Predict'!#REF!</definedName>
    <definedName name="solver_opt" localSheetId="38" hidden="1">'Q4-Validation'!#REF!</definedName>
    <definedName name="solver_opt" localSheetId="37" hidden="1">'Q5-Predict'!#REF!</definedName>
    <definedName name="solver_opt" localSheetId="36" hidden="1">'Q5-Validation'!#REF!</definedName>
    <definedName name="solver_opt" localSheetId="35" hidden="1">'Q6-Predict'!#REF!</definedName>
    <definedName name="solver_opt" localSheetId="33" hidden="1">'Q6-Validation'!#REF!</definedName>
    <definedName name="solver_opt" localSheetId="32" hidden="1">'Q7-Predict'!#REF!</definedName>
    <definedName name="solver_opt" localSheetId="30" hidden="1">'Q7-Validation'!#REF!</definedName>
    <definedName name="solver_opt" localSheetId="29" hidden="1">'Q8-Predict'!#REF!</definedName>
    <definedName name="solver_opt" localSheetId="27" hidden="1">'Q8-Validation'!#REF!</definedName>
    <definedName name="solver_opt" localSheetId="26" hidden="1">'Q9-Predict'!#REF!</definedName>
    <definedName name="solver_opt" localSheetId="24" hidden="1">'Q9-Validation'!#REF!</definedName>
    <definedName name="solver_opt" localSheetId="0" hidden="1">'Qm-ValidationPredict'!#REF!</definedName>
    <definedName name="solver_pre" localSheetId="6" hidden="1">0.000001</definedName>
    <definedName name="solver_rbv" localSheetId="6" hidden="1">2</definedName>
    <definedName name="solver_rel1" localSheetId="6" hidden="1">1</definedName>
    <definedName name="solver_rel2" localSheetId="6" hidden="1">3</definedName>
    <definedName name="solver_rhs1" localSheetId="6" hidden="1">0.3</definedName>
    <definedName name="solver_rhs2" localSheetId="6" hidden="1">0</definedName>
    <definedName name="solver_rlx" localSheetId="6" hidden="1">2</definedName>
    <definedName name="solver_rsd" localSheetId="6" hidden="1">0</definedName>
    <definedName name="solver_scl" localSheetId="6" hidden="1">2</definedName>
    <definedName name="solver_sho" localSheetId="6" hidden="1">2</definedName>
    <definedName name="solver_ssz" localSheetId="6" hidden="1">100</definedName>
    <definedName name="solver_tim" localSheetId="6" hidden="1">2147483647</definedName>
    <definedName name="solver_tol" localSheetId="6" hidden="1">0.01</definedName>
    <definedName name="solver_typ" localSheetId="50" hidden="1">1</definedName>
    <definedName name="solver_typ" localSheetId="47" hidden="1">1</definedName>
    <definedName name="solver_typ" localSheetId="52" hidden="1">1</definedName>
    <definedName name="solver_typ" localSheetId="4" hidden="1">1</definedName>
    <definedName name="solver_typ" localSheetId="6" hidden="1">1</definedName>
    <definedName name="solver_typ" localSheetId="43" hidden="1">1</definedName>
    <definedName name="solver_typ" localSheetId="23" hidden="1">1</definedName>
    <definedName name="solver_typ" localSheetId="22" hidden="1">1</definedName>
    <definedName name="solver_typ" localSheetId="19" hidden="1">1</definedName>
    <definedName name="solver_typ" localSheetId="18" hidden="1">1</definedName>
    <definedName name="solver_typ" localSheetId="16" hidden="1">1</definedName>
    <definedName name="solver_typ" localSheetId="15" hidden="1">1</definedName>
    <definedName name="solver_typ" localSheetId="42" hidden="1">1</definedName>
    <definedName name="solver_typ" localSheetId="41" hidden="1">1</definedName>
    <definedName name="solver_typ" localSheetId="40" hidden="1">1</definedName>
    <definedName name="solver_typ" localSheetId="39" hidden="1">1</definedName>
    <definedName name="solver_typ" localSheetId="38" hidden="1">1</definedName>
    <definedName name="solver_typ" localSheetId="37" hidden="1">1</definedName>
    <definedName name="solver_typ" localSheetId="36" hidden="1">1</definedName>
    <definedName name="solver_typ" localSheetId="35" hidden="1">1</definedName>
    <definedName name="solver_typ" localSheetId="33" hidden="1">1</definedName>
    <definedName name="solver_typ" localSheetId="32" hidden="1">1</definedName>
    <definedName name="solver_typ" localSheetId="30" hidden="1">1</definedName>
    <definedName name="solver_typ" localSheetId="29" hidden="1">1</definedName>
    <definedName name="solver_typ" localSheetId="27" hidden="1">1</definedName>
    <definedName name="solver_typ" localSheetId="26" hidden="1">1</definedName>
    <definedName name="solver_typ" localSheetId="24" hidden="1">1</definedName>
    <definedName name="solver_typ" localSheetId="0" hidden="1">1</definedName>
    <definedName name="solver_val" localSheetId="50" hidden="1">0</definedName>
    <definedName name="solver_val" localSheetId="47" hidden="1">0</definedName>
    <definedName name="solver_val" localSheetId="52" hidden="1">0</definedName>
    <definedName name="solver_val" localSheetId="4" hidden="1">0</definedName>
    <definedName name="solver_val" localSheetId="6" hidden="1">0</definedName>
    <definedName name="solver_val" localSheetId="43" hidden="1">0</definedName>
    <definedName name="solver_val" localSheetId="23" hidden="1">0</definedName>
    <definedName name="solver_val" localSheetId="22" hidden="1">0</definedName>
    <definedName name="solver_val" localSheetId="19" hidden="1">0</definedName>
    <definedName name="solver_val" localSheetId="18" hidden="1">0</definedName>
    <definedName name="solver_val" localSheetId="16" hidden="1">0</definedName>
    <definedName name="solver_val" localSheetId="15" hidden="1">0</definedName>
    <definedName name="solver_val" localSheetId="42" hidden="1">0</definedName>
    <definedName name="solver_val" localSheetId="41" hidden="1">0</definedName>
    <definedName name="solver_val" localSheetId="40" hidden="1">0</definedName>
    <definedName name="solver_val" localSheetId="39" hidden="1">0</definedName>
    <definedName name="solver_val" localSheetId="38" hidden="1">0</definedName>
    <definedName name="solver_val" localSheetId="37" hidden="1">0</definedName>
    <definedName name="solver_val" localSheetId="36" hidden="1">0</definedName>
    <definedName name="solver_val" localSheetId="35" hidden="1">0</definedName>
    <definedName name="solver_val" localSheetId="33" hidden="1">0</definedName>
    <definedName name="solver_val" localSheetId="32" hidden="1">0</definedName>
    <definedName name="solver_val" localSheetId="30" hidden="1">0</definedName>
    <definedName name="solver_val" localSheetId="29" hidden="1">0</definedName>
    <definedName name="solver_val" localSheetId="27" hidden="1">0</definedName>
    <definedName name="solver_val" localSheetId="26" hidden="1">0</definedName>
    <definedName name="solver_val" localSheetId="24" hidden="1">0</definedName>
    <definedName name="solver_val" localSheetId="0" hidden="1">0</definedName>
    <definedName name="solver_ver" localSheetId="50" hidden="1">2</definedName>
    <definedName name="solver_ver" localSheetId="47" hidden="1">2</definedName>
    <definedName name="solver_ver" localSheetId="52" hidden="1">2</definedName>
    <definedName name="solver_ver" localSheetId="4" hidden="1">2</definedName>
    <definedName name="solver_ver" localSheetId="6" hidden="1">3</definedName>
    <definedName name="solver_ver" localSheetId="43" hidden="1">2</definedName>
    <definedName name="solver_ver" localSheetId="23" hidden="1">2</definedName>
    <definedName name="solver_ver" localSheetId="22" hidden="1">2</definedName>
    <definedName name="solver_ver" localSheetId="19" hidden="1">2</definedName>
    <definedName name="solver_ver" localSheetId="18" hidden="1">2</definedName>
    <definedName name="solver_ver" localSheetId="16" hidden="1">2</definedName>
    <definedName name="solver_ver" localSheetId="15" hidden="1">2</definedName>
    <definedName name="solver_ver" localSheetId="42" hidden="1">2</definedName>
    <definedName name="solver_ver" localSheetId="41" hidden="1">2</definedName>
    <definedName name="solver_ver" localSheetId="40" hidden="1">2</definedName>
    <definedName name="solver_ver" localSheetId="39" hidden="1">2</definedName>
    <definedName name="solver_ver" localSheetId="38" hidden="1">2</definedName>
    <definedName name="solver_ver" localSheetId="37" hidden="1">2</definedName>
    <definedName name="solver_ver" localSheetId="36" hidden="1">2</definedName>
    <definedName name="solver_ver" localSheetId="35" hidden="1">2</definedName>
    <definedName name="solver_ver" localSheetId="33" hidden="1">2</definedName>
    <definedName name="solver_ver" localSheetId="32" hidden="1">2</definedName>
    <definedName name="solver_ver" localSheetId="30" hidden="1">2</definedName>
    <definedName name="solver_ver" localSheetId="29" hidden="1">2</definedName>
    <definedName name="solver_ver" localSheetId="27" hidden="1">2</definedName>
    <definedName name="solver_ver" localSheetId="26" hidden="1">2</definedName>
    <definedName name="solver_ver" localSheetId="24" hidden="1">2</definedName>
    <definedName name="solver_ver" localSheetId="0" hidd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1" i="9" l="1"/>
  <c r="BF11" i="9"/>
  <c r="BG11" i="9"/>
  <c r="BH11" i="9"/>
  <c r="BI11" i="9"/>
  <c r="BJ11" i="9"/>
  <c r="BK11" i="9"/>
  <c r="BL11" i="9"/>
  <c r="BE14" i="9"/>
  <c r="BF14" i="9"/>
  <c r="BG14" i="9"/>
  <c r="BH14" i="9"/>
  <c r="BI14" i="9"/>
  <c r="BJ14" i="9"/>
  <c r="BK14" i="9"/>
  <c r="BL14" i="9"/>
  <c r="L13" i="43"/>
  <c r="AU37" i="9" l="1"/>
  <c r="AU29" i="9"/>
  <c r="AU28" i="9"/>
  <c r="Y39" i="43"/>
  <c r="U12" i="43"/>
  <c r="U13" i="43"/>
  <c r="U14" i="43"/>
  <c r="U15" i="43"/>
  <c r="U16" i="43"/>
  <c r="U17" i="43"/>
  <c r="U18" i="43"/>
  <c r="U19" i="43"/>
  <c r="U20" i="43"/>
  <c r="U21" i="43"/>
  <c r="U22" i="43"/>
  <c r="U23" i="43"/>
  <c r="U24" i="43"/>
  <c r="U25" i="43"/>
  <c r="U26" i="43"/>
  <c r="U27" i="43"/>
  <c r="U28" i="43"/>
  <c r="U29" i="43"/>
  <c r="U30" i="43"/>
  <c r="U31" i="43"/>
  <c r="U32" i="43"/>
  <c r="U33" i="43"/>
  <c r="U34" i="43"/>
  <c r="U35" i="43"/>
  <c r="U36" i="43"/>
  <c r="U37" i="43"/>
  <c r="U38" i="43"/>
  <c r="U39" i="43"/>
  <c r="U40" i="43"/>
  <c r="U41" i="43"/>
  <c r="U42" i="43"/>
  <c r="U43" i="43"/>
  <c r="U44" i="43"/>
  <c r="U45" i="43"/>
  <c r="U46" i="43"/>
  <c r="U11" i="43"/>
  <c r="G24" i="43" l="1"/>
  <c r="G26" i="43" s="1"/>
  <c r="G25" i="43"/>
  <c r="D26" i="43"/>
  <c r="E26" i="43"/>
  <c r="F26" i="43"/>
  <c r="C26" i="43"/>
  <c r="G22" i="43"/>
  <c r="D22" i="43"/>
  <c r="E22" i="43"/>
  <c r="F22" i="43"/>
  <c r="C22" i="43"/>
  <c r="D9" i="43"/>
  <c r="E9" i="43"/>
  <c r="F9" i="43"/>
  <c r="C9" i="43"/>
  <c r="G116" i="43"/>
  <c r="G98" i="43"/>
  <c r="G147" i="43"/>
  <c r="G84" i="43"/>
  <c r="G136" i="43"/>
  <c r="O153" i="43"/>
  <c r="O157" i="43" s="1"/>
  <c r="N153" i="43"/>
  <c r="N157" i="43" s="1"/>
  <c r="M153" i="43"/>
  <c r="M157" i="43" s="1"/>
  <c r="L153" i="43"/>
  <c r="L157" i="43" s="1"/>
  <c r="O139" i="43"/>
  <c r="O143" i="43" s="1"/>
  <c r="N139" i="43"/>
  <c r="N143" i="43" s="1"/>
  <c r="M139" i="43"/>
  <c r="M143" i="43" s="1"/>
  <c r="L139" i="43"/>
  <c r="L143" i="43" s="1"/>
  <c r="F151" i="43"/>
  <c r="E151" i="43"/>
  <c r="D151" i="43"/>
  <c r="C151" i="43"/>
  <c r="G150" i="43"/>
  <c r="G148" i="43"/>
  <c r="F140" i="43"/>
  <c r="E140" i="43"/>
  <c r="D140" i="43"/>
  <c r="C140" i="43"/>
  <c r="G139" i="43"/>
  <c r="G137" i="43"/>
  <c r="F120" i="43"/>
  <c r="G119" i="43"/>
  <c r="G117" i="43"/>
  <c r="D120" i="43"/>
  <c r="E120" i="43"/>
  <c r="C120" i="43"/>
  <c r="D87" i="43"/>
  <c r="E87" i="43"/>
  <c r="F87" i="43"/>
  <c r="C87" i="43"/>
  <c r="G85" i="43"/>
  <c r="G86" i="43"/>
  <c r="G70" i="43"/>
  <c r="G69" i="43"/>
  <c r="D71" i="43"/>
  <c r="E71" i="43"/>
  <c r="F71" i="43"/>
  <c r="C71" i="43"/>
  <c r="G19" i="43"/>
  <c r="G68" i="43"/>
  <c r="G99" i="43"/>
  <c r="G101" i="43"/>
  <c r="D102" i="43"/>
  <c r="E102" i="43"/>
  <c r="F102" i="43"/>
  <c r="C102" i="43"/>
  <c r="O75" i="43"/>
  <c r="O79" i="43" s="1"/>
  <c r="N75" i="43"/>
  <c r="N79" i="43" s="1"/>
  <c r="M75" i="43"/>
  <c r="M79" i="43" s="1"/>
  <c r="L75" i="43"/>
  <c r="L79" i="43" s="1"/>
  <c r="D47" i="43"/>
  <c r="E47" i="43"/>
  <c r="F47" i="43"/>
  <c r="C47" i="43"/>
  <c r="D59" i="43"/>
  <c r="E59" i="43"/>
  <c r="F59" i="43"/>
  <c r="C59" i="43"/>
  <c r="G56" i="43"/>
  <c r="G57" i="43"/>
  <c r="G58" i="43"/>
  <c r="G44" i="43"/>
  <c r="G46" i="43"/>
  <c r="G43" i="43"/>
  <c r="G23" i="43"/>
  <c r="M30" i="43"/>
  <c r="N30" i="43"/>
  <c r="O30" i="43"/>
  <c r="L30" i="43"/>
  <c r="G20" i="43"/>
  <c r="H21" i="43" s="1"/>
  <c r="M9" i="43"/>
  <c r="M10" i="43" s="1"/>
  <c r="N9" i="43"/>
  <c r="N10" i="43" s="1"/>
  <c r="O9" i="43"/>
  <c r="O10" i="43" s="1"/>
  <c r="L9" i="43"/>
  <c r="M5" i="15"/>
  <c r="M22" i="15"/>
  <c r="M23" i="15"/>
  <c r="M24" i="15"/>
  <c r="M25" i="15"/>
  <c r="M29" i="15"/>
  <c r="M32" i="15"/>
  <c r="N6" i="36"/>
  <c r="N9" i="36"/>
  <c r="N11" i="36"/>
  <c r="Y98" i="9"/>
  <c r="C124" i="78"/>
  <c r="E137" i="78"/>
  <c r="B157" i="78"/>
  <c r="C160" i="78"/>
  <c r="C115" i="78"/>
  <c r="I103" i="78"/>
  <c r="I104" i="78"/>
  <c r="I105" i="78"/>
  <c r="L93" i="78"/>
  <c r="L94" i="78"/>
  <c r="L95" i="78"/>
  <c r="E69" i="78"/>
  <c r="E73" i="78"/>
  <c r="L19" i="78"/>
  <c r="M19" i="78" s="1"/>
  <c r="C27" i="78"/>
  <c r="C28" i="78"/>
  <c r="F29" i="78"/>
  <c r="B30" i="78"/>
  <c r="F32" i="78"/>
  <c r="L20" i="78" s="1"/>
  <c r="M20" i="78" s="1"/>
  <c r="F35" i="78"/>
  <c r="F39" i="78"/>
  <c r="F42" i="78"/>
  <c r="F45" i="78"/>
  <c r="F48" i="78"/>
  <c r="L21" i="78" s="1"/>
  <c r="M21" i="78" s="1"/>
  <c r="F52" i="78"/>
  <c r="F55" i="78"/>
  <c r="F58" i="78"/>
  <c r="L22" i="78" s="1"/>
  <c r="M22" i="78" s="1"/>
  <c r="AT37" i="9"/>
  <c r="AT29" i="9"/>
  <c r="AT28" i="9"/>
  <c r="M30" i="19"/>
  <c r="M29" i="19"/>
  <c r="L30" i="19"/>
  <c r="L29" i="19"/>
  <c r="K30" i="19"/>
  <c r="K29" i="19"/>
  <c r="J30" i="19"/>
  <c r="J29" i="19"/>
  <c r="I30" i="19"/>
  <c r="I29" i="19"/>
  <c r="H30" i="19"/>
  <c r="H29" i="19"/>
  <c r="N8" i="36"/>
  <c r="L5" i="15"/>
  <c r="L22" i="15"/>
  <c r="L23" i="15"/>
  <c r="L24" i="15"/>
  <c r="L25" i="15"/>
  <c r="L29" i="15"/>
  <c r="L32" i="15"/>
  <c r="C37" i="77"/>
  <c r="B37" i="77"/>
  <c r="D26" i="77"/>
  <c r="B23" i="77"/>
  <c r="C20" i="77"/>
  <c r="C19" i="77"/>
  <c r="B157" i="76"/>
  <c r="E137" i="76"/>
  <c r="C124" i="76"/>
  <c r="C115" i="76"/>
  <c r="I105" i="76"/>
  <c r="I104" i="76"/>
  <c r="I103" i="76"/>
  <c r="L95" i="76"/>
  <c r="L94" i="76"/>
  <c r="L93" i="76"/>
  <c r="E73" i="76"/>
  <c r="E69" i="76"/>
  <c r="F58" i="76"/>
  <c r="F55" i="76"/>
  <c r="F52" i="76"/>
  <c r="F48" i="76"/>
  <c r="F45" i="76"/>
  <c r="F42" i="76"/>
  <c r="F39" i="76"/>
  <c r="F35" i="76"/>
  <c r="F32" i="76"/>
  <c r="C30" i="76"/>
  <c r="B30" i="76"/>
  <c r="F29" i="76"/>
  <c r="C28" i="76"/>
  <c r="C27" i="76"/>
  <c r="L22" i="76"/>
  <c r="M22" i="76" s="1"/>
  <c r="L21" i="76"/>
  <c r="M21" i="76" s="1"/>
  <c r="L20" i="76"/>
  <c r="M20" i="76" s="1"/>
  <c r="L19" i="76"/>
  <c r="M19" i="76" s="1"/>
  <c r="M6" i="36"/>
  <c r="B157" i="75"/>
  <c r="E137" i="75"/>
  <c r="C115" i="75"/>
  <c r="I105" i="75"/>
  <c r="I104" i="75"/>
  <c r="I103" i="75"/>
  <c r="L95" i="75"/>
  <c r="L94" i="75"/>
  <c r="L93" i="75"/>
  <c r="E73" i="75"/>
  <c r="E69" i="75"/>
  <c r="F58" i="75"/>
  <c r="F55" i="75"/>
  <c r="F52" i="75"/>
  <c r="F48" i="75"/>
  <c r="F45" i="75"/>
  <c r="F42" i="75"/>
  <c r="F39" i="75"/>
  <c r="F35" i="75"/>
  <c r="F32" i="75"/>
  <c r="C30" i="75"/>
  <c r="B30" i="75"/>
  <c r="F29" i="75"/>
  <c r="C28" i="75"/>
  <c r="C27" i="75"/>
  <c r="L22" i="75"/>
  <c r="M22" i="75" s="1"/>
  <c r="L21" i="75"/>
  <c r="M21" i="75" s="1"/>
  <c r="L20" i="75"/>
  <c r="M20" i="75" s="1"/>
  <c r="L19" i="75"/>
  <c r="M19" i="75" s="1"/>
  <c r="M11" i="36"/>
  <c r="M9" i="36"/>
  <c r="AS37" i="9"/>
  <c r="AS29" i="9"/>
  <c r="AS28" i="9"/>
  <c r="C37" i="74"/>
  <c r="B37" i="74"/>
  <c r="D26" i="74"/>
  <c r="B23" i="74"/>
  <c r="C20" i="74"/>
  <c r="C19" i="74"/>
  <c r="B157" i="73"/>
  <c r="E137" i="73"/>
  <c r="C115" i="73"/>
  <c r="I105" i="73"/>
  <c r="I104" i="73"/>
  <c r="I103" i="73"/>
  <c r="L95" i="73"/>
  <c r="L94" i="73"/>
  <c r="L93" i="73"/>
  <c r="E73" i="73"/>
  <c r="J72" i="73"/>
  <c r="C75" i="73" s="1"/>
  <c r="E69" i="73"/>
  <c r="F58" i="73"/>
  <c r="F55" i="73"/>
  <c r="F52" i="73"/>
  <c r="F48" i="73"/>
  <c r="F45" i="73"/>
  <c r="F42" i="73"/>
  <c r="F39" i="73"/>
  <c r="F35" i="73"/>
  <c r="F32" i="73"/>
  <c r="C30" i="73"/>
  <c r="B30" i="73"/>
  <c r="F29" i="73"/>
  <c r="C28" i="73"/>
  <c r="C27" i="73"/>
  <c r="L22" i="73"/>
  <c r="M22" i="73" s="1"/>
  <c r="L21" i="73"/>
  <c r="M21" i="73" s="1"/>
  <c r="L20" i="73"/>
  <c r="M20" i="73" s="1"/>
  <c r="L19" i="73"/>
  <c r="M19" i="73" s="1"/>
  <c r="K5" i="15"/>
  <c r="K22" i="15"/>
  <c r="K23" i="15"/>
  <c r="K24" i="15"/>
  <c r="K25" i="15"/>
  <c r="K29" i="15"/>
  <c r="K32" i="15"/>
  <c r="B157" i="72"/>
  <c r="E137" i="72"/>
  <c r="C137" i="72" s="1" a="1"/>
  <c r="C137" i="72" s="1"/>
  <c r="C115" i="72"/>
  <c r="I105" i="72"/>
  <c r="I104" i="72"/>
  <c r="I103" i="72"/>
  <c r="L95" i="72"/>
  <c r="L94" i="72"/>
  <c r="L93" i="72"/>
  <c r="E73" i="72"/>
  <c r="J72" i="72"/>
  <c r="C75" i="72" s="1"/>
  <c r="E69" i="72"/>
  <c r="F58" i="72"/>
  <c r="F55" i="72"/>
  <c r="F52" i="72"/>
  <c r="F48" i="72"/>
  <c r="F45" i="72"/>
  <c r="F42" i="72"/>
  <c r="F39" i="72"/>
  <c r="F35" i="72"/>
  <c r="C34" i="72"/>
  <c r="F32" i="72"/>
  <c r="C30" i="72"/>
  <c r="B30" i="72"/>
  <c r="F29" i="72"/>
  <c r="C28" i="72"/>
  <c r="C27" i="72"/>
  <c r="L22" i="72"/>
  <c r="M22" i="72" s="1"/>
  <c r="L21" i="72"/>
  <c r="M21" i="72" s="1"/>
  <c r="L20" i="72"/>
  <c r="M20" i="72" s="1"/>
  <c r="L19" i="72"/>
  <c r="M19" i="72" s="1"/>
  <c r="L11" i="36"/>
  <c r="L9" i="36"/>
  <c r="L8" i="36"/>
  <c r="L6" i="36"/>
  <c r="D26" i="68"/>
  <c r="AR37" i="9"/>
  <c r="AR29" i="9"/>
  <c r="AR28" i="9"/>
  <c r="AQ37" i="9"/>
  <c r="AQ29" i="9"/>
  <c r="AQ28" i="9"/>
  <c r="AQ11" i="9"/>
  <c r="AP37" i="9"/>
  <c r="AP29" i="9"/>
  <c r="AP28" i="9"/>
  <c r="AP11" i="9"/>
  <c r="Y53" i="9"/>
  <c r="L121" i="43"/>
  <c r="M121" i="43"/>
  <c r="N121" i="43"/>
  <c r="O121" i="43"/>
  <c r="J5" i="15"/>
  <c r="J22" i="15"/>
  <c r="J23" i="15"/>
  <c r="J24" i="15"/>
  <c r="J25" i="15"/>
  <c r="J29" i="15"/>
  <c r="J32" i="15"/>
  <c r="B157" i="69"/>
  <c r="E137" i="69"/>
  <c r="C115" i="69"/>
  <c r="I105" i="69"/>
  <c r="I104" i="69"/>
  <c r="I103" i="69"/>
  <c r="L95" i="69"/>
  <c r="L94" i="69"/>
  <c r="L93" i="69"/>
  <c r="E73" i="69"/>
  <c r="J72" i="69"/>
  <c r="C75" i="69" s="1"/>
  <c r="E69" i="69"/>
  <c r="F58" i="69"/>
  <c r="F55" i="69"/>
  <c r="F52" i="69"/>
  <c r="F48" i="69"/>
  <c r="F45" i="69"/>
  <c r="F42" i="69"/>
  <c r="F39" i="69"/>
  <c r="F35" i="69"/>
  <c r="F32" i="69"/>
  <c r="C30" i="69"/>
  <c r="B30" i="69"/>
  <c r="F29" i="69"/>
  <c r="C28" i="69"/>
  <c r="C27" i="69"/>
  <c r="L22" i="69"/>
  <c r="M22" i="69" s="1"/>
  <c r="L21" i="69"/>
  <c r="M21" i="69" s="1"/>
  <c r="L20" i="69"/>
  <c r="M20" i="69" s="1"/>
  <c r="L19" i="69"/>
  <c r="M19" i="69" s="1"/>
  <c r="C37" i="68"/>
  <c r="B37" i="68"/>
  <c r="B23" i="68"/>
  <c r="C20" i="68"/>
  <c r="C19" i="68"/>
  <c r="C124" i="67"/>
  <c r="B157" i="67"/>
  <c r="E137" i="67"/>
  <c r="C137" i="67" s="1" a="1"/>
  <c r="C137" i="67" s="1"/>
  <c r="C115" i="67"/>
  <c r="I105" i="67"/>
  <c r="I104" i="67"/>
  <c r="I103" i="67"/>
  <c r="L95" i="67"/>
  <c r="L94" i="67"/>
  <c r="L93" i="67"/>
  <c r="E73" i="67"/>
  <c r="J72" i="67"/>
  <c r="C75" i="67" s="1"/>
  <c r="E69" i="67"/>
  <c r="F58" i="67"/>
  <c r="F55" i="67"/>
  <c r="F52" i="67"/>
  <c r="F48" i="67"/>
  <c r="F45" i="67"/>
  <c r="F42" i="67"/>
  <c r="F39" i="67"/>
  <c r="F35" i="67"/>
  <c r="F32" i="67"/>
  <c r="C30" i="67"/>
  <c r="B30" i="67"/>
  <c r="F29" i="67"/>
  <c r="C28" i="67"/>
  <c r="C27" i="67"/>
  <c r="L22" i="67"/>
  <c r="M22" i="67" s="1"/>
  <c r="L21" i="67"/>
  <c r="M21" i="67" s="1"/>
  <c r="L20" i="67"/>
  <c r="M20" i="67" s="1"/>
  <c r="L19" i="67"/>
  <c r="M19" i="67" s="1"/>
  <c r="K10" i="39"/>
  <c r="D10" i="39"/>
  <c r="K11" i="36"/>
  <c r="K9" i="36"/>
  <c r="K6" i="36"/>
  <c r="C34" i="67" s="1"/>
  <c r="O105" i="43"/>
  <c r="O109" i="43" s="1"/>
  <c r="N105" i="43"/>
  <c r="N109" i="43" s="1"/>
  <c r="M105" i="43"/>
  <c r="M109" i="43" s="1"/>
  <c r="L105" i="43"/>
  <c r="L109" i="43" s="1"/>
  <c r="E10" i="39"/>
  <c r="F10" i="39"/>
  <c r="G10" i="39"/>
  <c r="H10" i="39"/>
  <c r="I10" i="39"/>
  <c r="J10" i="39"/>
  <c r="G30" i="66"/>
  <c r="G32" i="66"/>
  <c r="C37" i="66"/>
  <c r="B37" i="66"/>
  <c r="D26" i="66"/>
  <c r="B23" i="66"/>
  <c r="C20" i="66"/>
  <c r="C19" i="66"/>
  <c r="B157" i="62"/>
  <c r="B157" i="64"/>
  <c r="B157" i="56"/>
  <c r="G140" i="62"/>
  <c r="E137" i="64"/>
  <c r="C115" i="64"/>
  <c r="I105" i="64"/>
  <c r="I104" i="64"/>
  <c r="I103" i="64"/>
  <c r="L95" i="64"/>
  <c r="L94" i="64"/>
  <c r="L93" i="64"/>
  <c r="E73" i="64"/>
  <c r="J72" i="64"/>
  <c r="C75" i="64" s="1"/>
  <c r="E69" i="64"/>
  <c r="F58" i="64"/>
  <c r="F55" i="64"/>
  <c r="F52" i="64"/>
  <c r="F48" i="64"/>
  <c r="F45" i="64"/>
  <c r="F42" i="64"/>
  <c r="F39" i="64"/>
  <c r="F35" i="64"/>
  <c r="F32" i="64"/>
  <c r="C30" i="64"/>
  <c r="B30" i="64"/>
  <c r="F29" i="64"/>
  <c r="C28" i="64"/>
  <c r="C27" i="64"/>
  <c r="L22" i="64"/>
  <c r="M22" i="64" s="1"/>
  <c r="L21" i="64"/>
  <c r="M21" i="64" s="1"/>
  <c r="L20" i="64"/>
  <c r="M20" i="64" s="1"/>
  <c r="L19" i="64"/>
  <c r="M19" i="64" s="1"/>
  <c r="I5" i="15"/>
  <c r="I6" i="15"/>
  <c r="I22" i="15"/>
  <c r="I23" i="15"/>
  <c r="I24" i="15"/>
  <c r="I25" i="15"/>
  <c r="I29" i="15"/>
  <c r="I32" i="15"/>
  <c r="C124" i="62"/>
  <c r="E137" i="62"/>
  <c r="C127" i="62"/>
  <c r="C115" i="62"/>
  <c r="I105" i="62"/>
  <c r="I104" i="62"/>
  <c r="I103" i="62"/>
  <c r="L95" i="62"/>
  <c r="L94" i="62"/>
  <c r="L93" i="62"/>
  <c r="E73" i="62"/>
  <c r="J72" i="62"/>
  <c r="C75" i="62" s="1"/>
  <c r="E69" i="62"/>
  <c r="F58" i="62"/>
  <c r="F55" i="62"/>
  <c r="F52" i="62"/>
  <c r="F48" i="62"/>
  <c r="F45" i="62"/>
  <c r="F42" i="62"/>
  <c r="F39" i="62"/>
  <c r="F35" i="62"/>
  <c r="F32" i="62"/>
  <c r="C30" i="62"/>
  <c r="B30" i="62"/>
  <c r="F29" i="62"/>
  <c r="C28" i="62"/>
  <c r="C27" i="62"/>
  <c r="L22" i="62"/>
  <c r="M22" i="62" s="1"/>
  <c r="L21" i="62"/>
  <c r="M21" i="62" s="1"/>
  <c r="L20" i="62"/>
  <c r="M20" i="62" s="1"/>
  <c r="L19" i="62"/>
  <c r="M19" i="62" s="1"/>
  <c r="J11" i="36"/>
  <c r="J9" i="36"/>
  <c r="I9" i="36"/>
  <c r="J6" i="36"/>
  <c r="O90" i="43"/>
  <c r="N90" i="43"/>
  <c r="M90" i="43"/>
  <c r="L90" i="43"/>
  <c r="C37" i="61"/>
  <c r="B37" i="61"/>
  <c r="D26" i="61"/>
  <c r="B23" i="61"/>
  <c r="C20" i="61"/>
  <c r="C19" i="61"/>
  <c r="C37" i="60"/>
  <c r="B37" i="60"/>
  <c r="D26" i="60"/>
  <c r="B23" i="60"/>
  <c r="C20" i="60"/>
  <c r="G19" i="60"/>
  <c r="C19" i="60"/>
  <c r="E137" i="58"/>
  <c r="C127" i="58"/>
  <c r="C115" i="58"/>
  <c r="I105" i="58"/>
  <c r="I104" i="58"/>
  <c r="I103" i="58"/>
  <c r="L95" i="58"/>
  <c r="L94" i="58"/>
  <c r="L93" i="58"/>
  <c r="E73" i="58"/>
  <c r="J72" i="58"/>
  <c r="C75" i="58" s="1"/>
  <c r="E69" i="58"/>
  <c r="F58" i="58"/>
  <c r="F55" i="58"/>
  <c r="F52" i="58"/>
  <c r="F48" i="58"/>
  <c r="F45" i="58"/>
  <c r="F42" i="58"/>
  <c r="F39" i="58"/>
  <c r="F35" i="58"/>
  <c r="F32" i="58"/>
  <c r="C30" i="58"/>
  <c r="B30" i="58"/>
  <c r="F29" i="58"/>
  <c r="C28" i="58"/>
  <c r="C27" i="58"/>
  <c r="L22" i="58"/>
  <c r="M22" i="58" s="1"/>
  <c r="L21" i="58"/>
  <c r="M21" i="58" s="1"/>
  <c r="L20" i="58"/>
  <c r="M20" i="58" s="1"/>
  <c r="L19" i="58"/>
  <c r="M19" i="58" s="1"/>
  <c r="H5" i="15"/>
  <c r="H6" i="15"/>
  <c r="H22" i="15"/>
  <c r="H23" i="15"/>
  <c r="H24" i="15"/>
  <c r="H25" i="15"/>
  <c r="H29" i="15"/>
  <c r="H32" i="15"/>
  <c r="F73" i="57"/>
  <c r="G73" i="57"/>
  <c r="H73" i="57"/>
  <c r="I73" i="57"/>
  <c r="E137" i="57"/>
  <c r="C137" i="57" s="1" a="1"/>
  <c r="C137" i="57" s="1"/>
  <c r="C127" i="57"/>
  <c r="C115" i="57"/>
  <c r="I105" i="57"/>
  <c r="I104" i="57"/>
  <c r="I103" i="57"/>
  <c r="L95" i="57"/>
  <c r="L94" i="57"/>
  <c r="L93" i="57"/>
  <c r="E73" i="57"/>
  <c r="J72" i="57"/>
  <c r="C75" i="57" s="1"/>
  <c r="E69" i="57"/>
  <c r="F58" i="57"/>
  <c r="F55" i="57"/>
  <c r="F52" i="57"/>
  <c r="F48" i="57"/>
  <c r="F45" i="57"/>
  <c r="F42" i="57"/>
  <c r="F39" i="57"/>
  <c r="F35" i="57"/>
  <c r="F32" i="57"/>
  <c r="C30" i="57"/>
  <c r="B30" i="57"/>
  <c r="F29" i="57"/>
  <c r="C28" i="57"/>
  <c r="C27" i="57"/>
  <c r="L22" i="57"/>
  <c r="M22" i="57" s="1"/>
  <c r="L21" i="57"/>
  <c r="M21" i="57" s="1"/>
  <c r="L20" i="57"/>
  <c r="M20" i="57" s="1"/>
  <c r="L19" i="57"/>
  <c r="M19" i="57" s="1"/>
  <c r="I11" i="36"/>
  <c r="I6" i="36"/>
  <c r="C37" i="52"/>
  <c r="E73" i="56"/>
  <c r="C127" i="51"/>
  <c r="C30" i="56"/>
  <c r="C28" i="56"/>
  <c r="C27" i="56"/>
  <c r="C19" i="54"/>
  <c r="E137" i="56"/>
  <c r="C115" i="56"/>
  <c r="I105" i="56"/>
  <c r="I104" i="56"/>
  <c r="I103" i="56"/>
  <c r="L95" i="56"/>
  <c r="L94" i="56"/>
  <c r="L93" i="56"/>
  <c r="J72" i="56"/>
  <c r="C75" i="56" s="1"/>
  <c r="E69" i="56"/>
  <c r="F58" i="56"/>
  <c r="F55" i="56"/>
  <c r="F52" i="56"/>
  <c r="F48" i="56"/>
  <c r="F45" i="56"/>
  <c r="F42" i="56"/>
  <c r="F39" i="56"/>
  <c r="F35" i="56"/>
  <c r="F32" i="56"/>
  <c r="B30" i="56"/>
  <c r="F29" i="56"/>
  <c r="L22" i="56"/>
  <c r="M22" i="56" s="1"/>
  <c r="L21" i="56"/>
  <c r="M21" i="56" s="1"/>
  <c r="L20" i="56"/>
  <c r="M20" i="56" s="1"/>
  <c r="L19" i="56"/>
  <c r="M19" i="56" s="1"/>
  <c r="C37" i="54"/>
  <c r="B37" i="54"/>
  <c r="D26" i="54"/>
  <c r="B23" i="54"/>
  <c r="C20" i="54"/>
  <c r="C116" i="51"/>
  <c r="I74" i="51"/>
  <c r="H74" i="51"/>
  <c r="G74" i="51"/>
  <c r="F74" i="51"/>
  <c r="AO37" i="9"/>
  <c r="AO29" i="9"/>
  <c r="AO28" i="9"/>
  <c r="AO23" i="9"/>
  <c r="AO11" i="9"/>
  <c r="G26" i="19"/>
  <c r="F26" i="19"/>
  <c r="G24" i="19"/>
  <c r="F24" i="19"/>
  <c r="G22" i="19"/>
  <c r="F22" i="19"/>
  <c r="G12" i="19"/>
  <c r="F12" i="19"/>
  <c r="C139" i="51"/>
  <c r="F98" i="51"/>
  <c r="F96" i="51"/>
  <c r="F92" i="51"/>
  <c r="I76" i="51"/>
  <c r="H76" i="51"/>
  <c r="G76" i="51"/>
  <c r="F24" i="51"/>
  <c r="F20" i="51"/>
  <c r="F76" i="51"/>
  <c r="C74" i="51"/>
  <c r="I71" i="51"/>
  <c r="H71" i="51"/>
  <c r="G71" i="51"/>
  <c r="F71" i="51"/>
  <c r="I69" i="51"/>
  <c r="H69" i="51"/>
  <c r="G69" i="51"/>
  <c r="F69" i="51"/>
  <c r="B10" i="51"/>
  <c r="B37" i="52"/>
  <c r="D26" i="52"/>
  <c r="B23" i="52"/>
  <c r="C20" i="52"/>
  <c r="G19" i="52"/>
  <c r="C19" i="52"/>
  <c r="E124" i="51"/>
  <c r="C114" i="51"/>
  <c r="C113" i="51"/>
  <c r="C115" i="51" s="1"/>
  <c r="I105" i="51"/>
  <c r="I104" i="51"/>
  <c r="I103" i="51"/>
  <c r="J104" i="51"/>
  <c r="K104" i="51" s="1"/>
  <c r="C94" i="51" s="1"/>
  <c r="J103" i="51"/>
  <c r="K103" i="51" s="1"/>
  <c r="C93" i="51" s="1"/>
  <c r="L95" i="51"/>
  <c r="L94" i="51"/>
  <c r="L93" i="51"/>
  <c r="I77" i="51"/>
  <c r="H77" i="51"/>
  <c r="G77" i="51"/>
  <c r="F77" i="51"/>
  <c r="E73" i="51"/>
  <c r="J72" i="51"/>
  <c r="C75" i="51" s="1"/>
  <c r="E69" i="51"/>
  <c r="F58" i="51"/>
  <c r="F55" i="51"/>
  <c r="F52" i="51"/>
  <c r="F48" i="51"/>
  <c r="F45" i="51"/>
  <c r="F42" i="51"/>
  <c r="F39" i="51"/>
  <c r="F35" i="51"/>
  <c r="F32" i="51"/>
  <c r="B30" i="51"/>
  <c r="F29" i="51"/>
  <c r="C28" i="51"/>
  <c r="C33" i="51"/>
  <c r="L22" i="51"/>
  <c r="M22" i="51" s="1"/>
  <c r="N22" i="51" s="1"/>
  <c r="L21" i="51"/>
  <c r="M21" i="51" s="1"/>
  <c r="N21" i="51" s="1"/>
  <c r="L20" i="51"/>
  <c r="M20" i="51" s="1"/>
  <c r="N20" i="51" s="1"/>
  <c r="L19" i="51"/>
  <c r="M19" i="51" s="1"/>
  <c r="C18" i="51"/>
  <c r="G5" i="15"/>
  <c r="G6" i="15"/>
  <c r="G22" i="15"/>
  <c r="G23" i="15"/>
  <c r="G24" i="15"/>
  <c r="G25" i="15"/>
  <c r="G29" i="15"/>
  <c r="G32" i="15"/>
  <c r="E137" i="50"/>
  <c r="C137" i="50" s="1" a="1"/>
  <c r="C137" i="50" s="1"/>
  <c r="G73" i="50"/>
  <c r="H73" i="50"/>
  <c r="I73" i="50"/>
  <c r="F73" i="50"/>
  <c r="C34" i="50"/>
  <c r="H11" i="36"/>
  <c r="H9" i="36"/>
  <c r="F9" i="36"/>
  <c r="H8" i="36"/>
  <c r="H6" i="36"/>
  <c r="F6" i="36"/>
  <c r="C151" i="50"/>
  <c r="AO35" i="9" s="1"/>
  <c r="C139" i="50"/>
  <c r="G18" i="15" s="1"/>
  <c r="C116" i="50"/>
  <c r="C114" i="50"/>
  <c r="C113" i="50"/>
  <c r="C115" i="50" s="1"/>
  <c r="I105" i="50"/>
  <c r="I104" i="50"/>
  <c r="I103" i="50"/>
  <c r="F98" i="50"/>
  <c r="J104" i="50" s="1"/>
  <c r="K104" i="50" s="1"/>
  <c r="C94" i="50" s="1"/>
  <c r="F96" i="50"/>
  <c r="J103" i="50" s="1"/>
  <c r="K103" i="50" s="1"/>
  <c r="C93" i="50" s="1"/>
  <c r="L95" i="50"/>
  <c r="L94" i="50"/>
  <c r="L93" i="50"/>
  <c r="F92" i="50"/>
  <c r="I76" i="50"/>
  <c r="I77" i="50" s="1"/>
  <c r="H76" i="50"/>
  <c r="H77" i="50" s="1"/>
  <c r="G76" i="50"/>
  <c r="G77" i="50" s="1"/>
  <c r="F76" i="50"/>
  <c r="F77" i="50" s="1"/>
  <c r="I74" i="50"/>
  <c r="H74" i="50"/>
  <c r="G74" i="50"/>
  <c r="F74" i="50"/>
  <c r="C74" i="50"/>
  <c r="E73" i="50"/>
  <c r="J72" i="50"/>
  <c r="C75" i="50" s="1"/>
  <c r="I71" i="50"/>
  <c r="H71" i="50"/>
  <c r="G71" i="50"/>
  <c r="F71" i="50"/>
  <c r="E69" i="50"/>
  <c r="F58" i="50"/>
  <c r="F55" i="50"/>
  <c r="F52" i="50"/>
  <c r="F48" i="50"/>
  <c r="F45" i="50"/>
  <c r="F42" i="50"/>
  <c r="F39" i="50"/>
  <c r="F35" i="50"/>
  <c r="F32" i="50"/>
  <c r="B30" i="50"/>
  <c r="F29" i="50"/>
  <c r="C28" i="50"/>
  <c r="F24" i="50"/>
  <c r="C33" i="50" s="1"/>
  <c r="L22" i="50"/>
  <c r="M22" i="50" s="1"/>
  <c r="N22" i="50" s="1"/>
  <c r="L21" i="50"/>
  <c r="M21" i="50" s="1"/>
  <c r="N21" i="50" s="1"/>
  <c r="L20" i="50"/>
  <c r="M20" i="50" s="1"/>
  <c r="N20" i="50" s="1"/>
  <c r="F20" i="50"/>
  <c r="L19" i="50"/>
  <c r="M19" i="50" s="1"/>
  <c r="C18" i="50"/>
  <c r="C6" i="4"/>
  <c r="G7" i="43"/>
  <c r="G8" i="43"/>
  <c r="O61" i="43"/>
  <c r="N61" i="43"/>
  <c r="M61" i="43"/>
  <c r="L61" i="43"/>
  <c r="F10" i="38"/>
  <c r="F11" i="38"/>
  <c r="F12" i="38"/>
  <c r="F13" i="38"/>
  <c r="F14" i="38"/>
  <c r="F15" i="38"/>
  <c r="F16" i="38"/>
  <c r="F6" i="38"/>
  <c r="F7" i="38"/>
  <c r="F8" i="38"/>
  <c r="F9" i="38"/>
  <c r="F5" i="38"/>
  <c r="I76" i="48"/>
  <c r="I77" i="48" s="1"/>
  <c r="H76" i="48"/>
  <c r="H77" i="48" s="1"/>
  <c r="G76" i="48"/>
  <c r="G77" i="48" s="1"/>
  <c r="F76" i="48"/>
  <c r="F77" i="48" s="1"/>
  <c r="D26" i="47"/>
  <c r="F98" i="48"/>
  <c r="J104" i="48" s="1"/>
  <c r="K104" i="48" s="1"/>
  <c r="C94" i="48" s="1"/>
  <c r="F96" i="48"/>
  <c r="J103" i="48" s="1"/>
  <c r="K103" i="48" s="1"/>
  <c r="C93" i="48" s="1"/>
  <c r="F92" i="48"/>
  <c r="C74" i="48"/>
  <c r="F20" i="48"/>
  <c r="C18" i="48" s="1"/>
  <c r="F24" i="48"/>
  <c r="C33" i="48" s="1"/>
  <c r="F69" i="48"/>
  <c r="I69" i="48"/>
  <c r="H69" i="48"/>
  <c r="G69" i="48"/>
  <c r="I71" i="48"/>
  <c r="H71" i="48"/>
  <c r="G71" i="48"/>
  <c r="F71" i="48"/>
  <c r="C139" i="48"/>
  <c r="B23" i="47"/>
  <c r="C37" i="47"/>
  <c r="B37" i="47"/>
  <c r="AN37" i="9"/>
  <c r="AN29" i="9"/>
  <c r="AN28" i="9"/>
  <c r="AN23" i="9"/>
  <c r="AN21" i="9"/>
  <c r="AN11" i="9"/>
  <c r="C17" i="47"/>
  <c r="C151" i="48"/>
  <c r="E124" i="48"/>
  <c r="C116" i="48"/>
  <c r="C114" i="48"/>
  <c r="C113" i="48"/>
  <c r="C115" i="48" s="1"/>
  <c r="I105" i="48"/>
  <c r="I104" i="48"/>
  <c r="I103" i="48"/>
  <c r="L95" i="48"/>
  <c r="L94" i="48"/>
  <c r="L93" i="48"/>
  <c r="I74" i="48"/>
  <c r="H74" i="48"/>
  <c r="G74" i="48"/>
  <c r="F74" i="48"/>
  <c r="E73" i="48"/>
  <c r="J72" i="48"/>
  <c r="C75" i="48" s="1"/>
  <c r="E69" i="48"/>
  <c r="F58" i="48"/>
  <c r="L22" i="48" s="1"/>
  <c r="M22" i="48" s="1"/>
  <c r="N22" i="48" s="1"/>
  <c r="F55" i="48"/>
  <c r="F52" i="48"/>
  <c r="F48" i="48"/>
  <c r="F45" i="48"/>
  <c r="F42" i="48"/>
  <c r="F39" i="48"/>
  <c r="F35" i="48"/>
  <c r="F32" i="48"/>
  <c r="B30" i="48"/>
  <c r="F29" i="48"/>
  <c r="C28" i="48"/>
  <c r="L21" i="48"/>
  <c r="M21" i="48" s="1"/>
  <c r="L20" i="48"/>
  <c r="M20" i="48" s="1"/>
  <c r="L19" i="48"/>
  <c r="M19" i="48" s="1"/>
  <c r="C20" i="47"/>
  <c r="G19" i="47"/>
  <c r="C19" i="47"/>
  <c r="C151" i="44"/>
  <c r="AN35" i="9" s="1"/>
  <c r="C124" i="44"/>
  <c r="AN8" i="9" s="1"/>
  <c r="C137" i="44" a="1"/>
  <c r="C137" i="44" s="1"/>
  <c r="C34" i="44"/>
  <c r="C28" i="44"/>
  <c r="C32" i="44" s="1"/>
  <c r="E6" i="36"/>
  <c r="E124" i="44"/>
  <c r="J73" i="44"/>
  <c r="B26" i="35"/>
  <c r="G73" i="37" s="1"/>
  <c r="G79" i="37" s="1"/>
  <c r="B27" i="35"/>
  <c r="B28" i="35"/>
  <c r="I73" i="37" s="1"/>
  <c r="I79" i="37" s="1"/>
  <c r="B25" i="35"/>
  <c r="F73" i="37" s="1"/>
  <c r="I69" i="44"/>
  <c r="H69" i="44"/>
  <c r="G69" i="44"/>
  <c r="F69" i="44"/>
  <c r="E69" i="44"/>
  <c r="E73" i="44"/>
  <c r="C25" i="44"/>
  <c r="B30" i="44"/>
  <c r="B18" i="35"/>
  <c r="B17" i="35"/>
  <c r="B15" i="35"/>
  <c r="E3" i="15"/>
  <c r="D3" i="15"/>
  <c r="C139" i="44"/>
  <c r="C116" i="44"/>
  <c r="C114" i="44"/>
  <c r="C113" i="44"/>
  <c r="C115" i="44" s="1"/>
  <c r="I105" i="44"/>
  <c r="I104" i="44"/>
  <c r="I103" i="44"/>
  <c r="F98" i="44"/>
  <c r="J104" i="44" s="1"/>
  <c r="K104" i="44" s="1"/>
  <c r="C94" i="44" s="1"/>
  <c r="F96" i="44"/>
  <c r="J103" i="44" s="1"/>
  <c r="K103" i="44" s="1"/>
  <c r="C93" i="44" s="1"/>
  <c r="L95" i="44"/>
  <c r="L94" i="44"/>
  <c r="L93" i="44"/>
  <c r="F92" i="44"/>
  <c r="I76" i="44"/>
  <c r="I77" i="44" s="1"/>
  <c r="H76" i="44"/>
  <c r="H77" i="44" s="1"/>
  <c r="G76" i="44"/>
  <c r="G77" i="44" s="1"/>
  <c r="F76" i="44"/>
  <c r="F77" i="44" s="1"/>
  <c r="J77" i="44" s="1"/>
  <c r="J96" i="44" s="1"/>
  <c r="I74" i="44"/>
  <c r="H74" i="44"/>
  <c r="G74" i="44"/>
  <c r="F74" i="44"/>
  <c r="C74" i="44"/>
  <c r="I79" i="44"/>
  <c r="H79" i="44"/>
  <c r="G79" i="44"/>
  <c r="J72" i="44"/>
  <c r="C75" i="44" s="1"/>
  <c r="I72" i="44"/>
  <c r="H72" i="44"/>
  <c r="G72" i="44"/>
  <c r="F72" i="44"/>
  <c r="I71" i="44"/>
  <c r="H71" i="44"/>
  <c r="G71" i="44"/>
  <c r="F71" i="44"/>
  <c r="K71" i="44" s="1"/>
  <c r="C68" i="44"/>
  <c r="F58" i="44"/>
  <c r="F55" i="44"/>
  <c r="F52" i="44"/>
  <c r="F48" i="44"/>
  <c r="F45" i="44"/>
  <c r="F42" i="44"/>
  <c r="F39" i="44"/>
  <c r="F35" i="44"/>
  <c r="F32" i="44"/>
  <c r="F29" i="44"/>
  <c r="L22" i="44"/>
  <c r="M22" i="44" s="1"/>
  <c r="L21" i="44"/>
  <c r="M21" i="44" s="1"/>
  <c r="L20" i="44"/>
  <c r="M20" i="44" s="1"/>
  <c r="F20" i="44"/>
  <c r="L19" i="44"/>
  <c r="M19" i="44" s="1"/>
  <c r="C18" i="44"/>
  <c r="G8" i="36"/>
  <c r="G11" i="36"/>
  <c r="E8" i="36"/>
  <c r="E4" i="15"/>
  <c r="E12" i="19"/>
  <c r="E24" i="19" s="1"/>
  <c r="E26" i="19" s="1"/>
  <c r="I105" i="33"/>
  <c r="C92" i="33"/>
  <c r="F72" i="33"/>
  <c r="G72" i="33"/>
  <c r="H72" i="33"/>
  <c r="I72" i="33"/>
  <c r="O46" i="43"/>
  <c r="N46" i="43"/>
  <c r="M46" i="43"/>
  <c r="L46" i="43"/>
  <c r="G6" i="43"/>
  <c r="F17" i="35"/>
  <c r="I105" i="37"/>
  <c r="B20" i="35"/>
  <c r="B21" i="35"/>
  <c r="B22" i="35"/>
  <c r="B23" i="35"/>
  <c r="E22" i="19"/>
  <c r="E124" i="25"/>
  <c r="G72" i="37"/>
  <c r="C116" i="37"/>
  <c r="C139" i="37"/>
  <c r="F98" i="37"/>
  <c r="F96" i="37"/>
  <c r="I71" i="37"/>
  <c r="H71" i="37"/>
  <c r="G71" i="37"/>
  <c r="F92" i="37"/>
  <c r="I93" i="37" s="1"/>
  <c r="F71" i="37"/>
  <c r="I76" i="37"/>
  <c r="I77" i="37" s="1"/>
  <c r="H76" i="37"/>
  <c r="H77" i="37" s="1"/>
  <c r="G76" i="37"/>
  <c r="G77" i="37" s="1"/>
  <c r="F76" i="37"/>
  <c r="F77" i="37" s="1"/>
  <c r="I74" i="37"/>
  <c r="H74" i="37"/>
  <c r="G74" i="37"/>
  <c r="F74" i="37"/>
  <c r="F72" i="37"/>
  <c r="C74" i="37"/>
  <c r="C25" i="37"/>
  <c r="F20" i="37"/>
  <c r="C18" i="37" s="1"/>
  <c r="C151" i="37"/>
  <c r="C141" i="37"/>
  <c r="C140" i="37"/>
  <c r="C138" i="37"/>
  <c r="C136" i="37"/>
  <c r="C132" i="37"/>
  <c r="C114" i="37"/>
  <c r="C113" i="37"/>
  <c r="C115" i="37" s="1"/>
  <c r="J104" i="37"/>
  <c r="K104" i="37" s="1"/>
  <c r="C94" i="37" s="1"/>
  <c r="C131" i="37" s="1"/>
  <c r="I104" i="37"/>
  <c r="J103" i="37"/>
  <c r="K103" i="37" s="1"/>
  <c r="C93" i="37" s="1"/>
  <c r="C129" i="37" s="1"/>
  <c r="I103" i="37"/>
  <c r="I102" i="37"/>
  <c r="I96" i="37"/>
  <c r="L95" i="37"/>
  <c r="I95" i="37"/>
  <c r="L94" i="37"/>
  <c r="I94" i="37"/>
  <c r="L93" i="37"/>
  <c r="F58" i="37"/>
  <c r="F55" i="37"/>
  <c r="F52" i="37"/>
  <c r="F48" i="37"/>
  <c r="F45" i="37"/>
  <c r="F42" i="37"/>
  <c r="F39" i="37"/>
  <c r="F35" i="37"/>
  <c r="F32" i="37"/>
  <c r="F29" i="37"/>
  <c r="L22" i="37"/>
  <c r="M22" i="37" s="1"/>
  <c r="L21" i="37"/>
  <c r="M21" i="37" s="1"/>
  <c r="L20" i="37"/>
  <c r="M20" i="37" s="1"/>
  <c r="L19" i="37"/>
  <c r="M19" i="37" s="1"/>
  <c r="C11" i="36"/>
  <c r="F8" i="36"/>
  <c r="D8" i="36"/>
  <c r="D9" i="36" s="1"/>
  <c r="D11" i="36" s="1"/>
  <c r="C8" i="36"/>
  <c r="D6" i="36"/>
  <c r="E6" i="15"/>
  <c r="E7" i="15"/>
  <c r="E8" i="15"/>
  <c r="E9" i="15"/>
  <c r="E10" i="15"/>
  <c r="E11" i="15"/>
  <c r="E12" i="15"/>
  <c r="E13" i="15"/>
  <c r="E14" i="15"/>
  <c r="E15" i="15"/>
  <c r="E16" i="15"/>
  <c r="E17" i="15"/>
  <c r="E18" i="15"/>
  <c r="E19" i="15"/>
  <c r="E20" i="15"/>
  <c r="E21" i="15"/>
  <c r="E23" i="15"/>
  <c r="E24" i="15"/>
  <c r="E26" i="15"/>
  <c r="E27" i="15"/>
  <c r="E28" i="15"/>
  <c r="E30" i="15"/>
  <c r="E31" i="15"/>
  <c r="E32" i="15"/>
  <c r="E33" i="15"/>
  <c r="E2" i="15"/>
  <c r="AM8" i="9"/>
  <c r="AM9" i="9"/>
  <c r="AM11" i="9"/>
  <c r="AM12" i="9"/>
  <c r="AM13" i="9"/>
  <c r="AM14" i="9"/>
  <c r="AM15" i="9"/>
  <c r="AM16" i="9"/>
  <c r="AM17" i="9"/>
  <c r="AM18" i="9"/>
  <c r="AM19" i="9"/>
  <c r="AM20" i="9"/>
  <c r="AM21" i="9"/>
  <c r="AM22" i="9"/>
  <c r="AM23" i="9"/>
  <c r="AM24" i="9"/>
  <c r="AM25" i="9"/>
  <c r="AM26" i="9"/>
  <c r="AM28" i="9"/>
  <c r="AM29" i="9"/>
  <c r="AM31" i="9"/>
  <c r="AM32" i="9"/>
  <c r="AM33" i="9"/>
  <c r="AM35" i="9"/>
  <c r="AM36" i="9"/>
  <c r="AM37" i="9"/>
  <c r="AM38" i="9"/>
  <c r="AM7" i="9"/>
  <c r="C139" i="33"/>
  <c r="C151" i="33"/>
  <c r="BA14" i="9"/>
  <c r="BB11" i="9"/>
  <c r="BC11" i="9"/>
  <c r="BD11" i="9"/>
  <c r="BA11" i="9"/>
  <c r="BB9" i="9"/>
  <c r="BC9" i="9" s="1"/>
  <c r="BD9" i="9" s="1"/>
  <c r="BE9" i="9" s="1"/>
  <c r="BF9" i="9" s="1"/>
  <c r="BG9" i="9" s="1"/>
  <c r="BH9" i="9" s="1"/>
  <c r="BI9" i="9" s="1"/>
  <c r="BJ9" i="9" s="1"/>
  <c r="BK9" i="9" s="1"/>
  <c r="BL9" i="9" s="1"/>
  <c r="E125" i="32"/>
  <c r="E125" i="25"/>
  <c r="E126" i="25" s="1"/>
  <c r="E128" i="32"/>
  <c r="E126" i="32"/>
  <c r="E127" i="32" s="1"/>
  <c r="E124" i="32"/>
  <c r="C36" i="30"/>
  <c r="D36" i="30"/>
  <c r="B36" i="30"/>
  <c r="C27" i="30"/>
  <c r="D27" i="30"/>
  <c r="B27" i="30"/>
  <c r="C18" i="30"/>
  <c r="D18" i="30"/>
  <c r="B18" i="30"/>
  <c r="C8" i="30"/>
  <c r="D8" i="30"/>
  <c r="B8" i="30"/>
  <c r="C132" i="33"/>
  <c r="C136" i="33"/>
  <c r="C138" i="33"/>
  <c r="C140" i="33"/>
  <c r="C141" i="33"/>
  <c r="C113" i="33"/>
  <c r="C114" i="33"/>
  <c r="C115" i="33" s="1"/>
  <c r="I102" i="33"/>
  <c r="I103" i="33"/>
  <c r="J103" i="33"/>
  <c r="K103" i="33" s="1"/>
  <c r="C93" i="33" s="1"/>
  <c r="C129" i="33" s="1"/>
  <c r="I104" i="33"/>
  <c r="J104" i="33"/>
  <c r="K104" i="33" s="1"/>
  <c r="C94" i="33" s="1"/>
  <c r="C131" i="33" s="1"/>
  <c r="I93" i="33"/>
  <c r="L93" i="33"/>
  <c r="I94" i="33"/>
  <c r="L94" i="33"/>
  <c r="I95" i="33"/>
  <c r="L95" i="33"/>
  <c r="I96" i="33"/>
  <c r="G79" i="33"/>
  <c r="H79" i="33"/>
  <c r="I79" i="33"/>
  <c r="G75" i="33"/>
  <c r="H75" i="33"/>
  <c r="I75" i="33"/>
  <c r="J77" i="33"/>
  <c r="J96" i="33" s="1"/>
  <c r="C18" i="33"/>
  <c r="C133" i="33" s="1"/>
  <c r="L19" i="33"/>
  <c r="M19" i="33"/>
  <c r="M23" i="33" s="1"/>
  <c r="M24" i="33" s="1"/>
  <c r="N24" i="33" s="1"/>
  <c r="L20" i="33"/>
  <c r="M20" i="33" s="1"/>
  <c r="N20" i="33" s="1"/>
  <c r="L21" i="33"/>
  <c r="M21" i="33" s="1"/>
  <c r="N21" i="33" s="1"/>
  <c r="F29" i="33"/>
  <c r="C30" i="33"/>
  <c r="C32" i="33"/>
  <c r="F32" i="33"/>
  <c r="C33" i="33"/>
  <c r="C34" i="33" s="1"/>
  <c r="F35" i="33"/>
  <c r="F39" i="33"/>
  <c r="F42" i="33"/>
  <c r="F45" i="33"/>
  <c r="F48" i="33"/>
  <c r="F52" i="33"/>
  <c r="F55" i="33"/>
  <c r="F58" i="33"/>
  <c r="L22" i="33" s="1"/>
  <c r="M22" i="33" s="1"/>
  <c r="N22" i="33" s="1"/>
  <c r="G77" i="32"/>
  <c r="H77" i="32"/>
  <c r="I77" i="32"/>
  <c r="J77" i="32" s="1"/>
  <c r="J96" i="32" s="1"/>
  <c r="F77" i="32"/>
  <c r="G77" i="26"/>
  <c r="H77" i="26"/>
  <c r="G72" i="32"/>
  <c r="G69" i="32" s="1"/>
  <c r="H72" i="32"/>
  <c r="I72" i="32"/>
  <c r="C28" i="32"/>
  <c r="C32" i="32" s="1"/>
  <c r="C34" i="32" s="1"/>
  <c r="C30" i="26"/>
  <c r="C32" i="26" s="1"/>
  <c r="C34" i="26" s="1"/>
  <c r="C35" i="26" s="1"/>
  <c r="C20" i="26" s="1"/>
  <c r="H126" i="32"/>
  <c r="I126" i="32" s="1"/>
  <c r="C132" i="32"/>
  <c r="C133" i="32"/>
  <c r="C138" i="32"/>
  <c r="C140" i="32"/>
  <c r="C141" i="32"/>
  <c r="C114" i="32"/>
  <c r="C115" i="32"/>
  <c r="C116" i="32"/>
  <c r="C136" i="32" s="1"/>
  <c r="I102" i="32"/>
  <c r="I103" i="32"/>
  <c r="J103" i="32"/>
  <c r="K103" i="32"/>
  <c r="I104" i="32"/>
  <c r="J104" i="32"/>
  <c r="K104" i="32" s="1"/>
  <c r="C94" i="32" s="1"/>
  <c r="C131" i="32" s="1"/>
  <c r="I105" i="32"/>
  <c r="C93" i="32"/>
  <c r="C129" i="32" s="1"/>
  <c r="I93" i="32"/>
  <c r="L93" i="32"/>
  <c r="I94" i="32"/>
  <c r="L94" i="32"/>
  <c r="I95" i="32"/>
  <c r="L95" i="32"/>
  <c r="I96" i="32"/>
  <c r="C68" i="32"/>
  <c r="C70" i="32" s="1"/>
  <c r="H69" i="32"/>
  <c r="I69" i="32"/>
  <c r="J73" i="32"/>
  <c r="C76" i="32" s="1"/>
  <c r="H128" i="32" s="1"/>
  <c r="H75" i="32"/>
  <c r="I75" i="32"/>
  <c r="C18" i="32"/>
  <c r="L19" i="32"/>
  <c r="M19" i="32"/>
  <c r="N19" i="32" s="1"/>
  <c r="N23" i="32" s="1"/>
  <c r="C19" i="32" s="1"/>
  <c r="L20" i="32"/>
  <c r="M20" i="32" s="1"/>
  <c r="N20" i="32" s="1"/>
  <c r="L21" i="32"/>
  <c r="M21" i="32" s="1"/>
  <c r="N21" i="32" s="1"/>
  <c r="C25" i="32"/>
  <c r="F29" i="32"/>
  <c r="F32" i="32"/>
  <c r="C33" i="32"/>
  <c r="F35" i="32"/>
  <c r="F39" i="32"/>
  <c r="F42" i="32"/>
  <c r="F45" i="32"/>
  <c r="F48" i="32"/>
  <c r="F52" i="32"/>
  <c r="F55" i="32"/>
  <c r="F58" i="32"/>
  <c r="L22" i="32" s="1"/>
  <c r="M22" i="32" s="1"/>
  <c r="N22" i="32" s="1"/>
  <c r="C137" i="26"/>
  <c r="C124" i="26"/>
  <c r="G82" i="25"/>
  <c r="H82" i="25"/>
  <c r="I82" i="25"/>
  <c r="F82" i="25"/>
  <c r="C151" i="25"/>
  <c r="D28" i="26"/>
  <c r="C28" i="26"/>
  <c r="C27" i="26"/>
  <c r="C132" i="26"/>
  <c r="C133" i="26"/>
  <c r="C136" i="26"/>
  <c r="C138" i="26"/>
  <c r="C140" i="26"/>
  <c r="C141" i="26"/>
  <c r="C113" i="26"/>
  <c r="C115" i="26" s="1"/>
  <c r="C114" i="26"/>
  <c r="I102" i="26"/>
  <c r="I103" i="26"/>
  <c r="J103" i="26"/>
  <c r="K103" i="26"/>
  <c r="C93" i="26" s="1"/>
  <c r="C129" i="26" s="1"/>
  <c r="I104" i="26"/>
  <c r="J104" i="26"/>
  <c r="K104" i="26" s="1"/>
  <c r="C94" i="26" s="1"/>
  <c r="C131" i="26" s="1"/>
  <c r="I105" i="26"/>
  <c r="I93" i="26"/>
  <c r="L93" i="26"/>
  <c r="I94" i="26"/>
  <c r="L94" i="26"/>
  <c r="I95" i="26"/>
  <c r="L95" i="26"/>
  <c r="I96" i="26"/>
  <c r="G73" i="26"/>
  <c r="G79" i="26" s="1"/>
  <c r="H73" i="26"/>
  <c r="H79" i="26" s="1"/>
  <c r="I73" i="26"/>
  <c r="I79" i="26" s="1"/>
  <c r="G75" i="26"/>
  <c r="H75" i="26"/>
  <c r="I75" i="26"/>
  <c r="F77" i="26"/>
  <c r="I77" i="26"/>
  <c r="J77" i="26"/>
  <c r="J96" i="26" s="1"/>
  <c r="C18" i="26"/>
  <c r="L19" i="26"/>
  <c r="M19" i="26" s="1"/>
  <c r="L21" i="26"/>
  <c r="M21" i="26"/>
  <c r="N21" i="26"/>
  <c r="L22" i="26"/>
  <c r="M22" i="26" s="1"/>
  <c r="N22" i="26" s="1"/>
  <c r="F29" i="26"/>
  <c r="F32" i="26"/>
  <c r="L20" i="26" s="1"/>
  <c r="M20" i="26" s="1"/>
  <c r="N20" i="26" s="1"/>
  <c r="C33" i="26"/>
  <c r="F35" i="26"/>
  <c r="F39" i="26"/>
  <c r="F42" i="26"/>
  <c r="F45" i="26"/>
  <c r="F48" i="26"/>
  <c r="F52" i="26"/>
  <c r="F55" i="26"/>
  <c r="F58" i="26"/>
  <c r="G80" i="25"/>
  <c r="H80" i="25"/>
  <c r="I80" i="25"/>
  <c r="F80" i="25"/>
  <c r="AJ8" i="9"/>
  <c r="AK8" i="9"/>
  <c r="AL8" i="9"/>
  <c r="AJ9" i="9"/>
  <c r="AK9" i="9"/>
  <c r="AL9" i="9"/>
  <c r="AJ11" i="9"/>
  <c r="AK11" i="9"/>
  <c r="AL11" i="9"/>
  <c r="AJ12" i="9"/>
  <c r="AK12" i="9"/>
  <c r="AL12" i="9"/>
  <c r="AJ13" i="9"/>
  <c r="AK13" i="9"/>
  <c r="AL13" i="9"/>
  <c r="AJ14" i="9"/>
  <c r="AK14" i="9"/>
  <c r="AL14" i="9"/>
  <c r="AJ15" i="9"/>
  <c r="AK15" i="9"/>
  <c r="AL15" i="9"/>
  <c r="AJ16" i="9"/>
  <c r="AK16" i="9"/>
  <c r="AL16" i="9"/>
  <c r="AJ17" i="9"/>
  <c r="AK17" i="9"/>
  <c r="AL17" i="9"/>
  <c r="AJ18" i="9"/>
  <c r="AK18" i="9"/>
  <c r="AL18" i="9"/>
  <c r="AJ19" i="9"/>
  <c r="AK19" i="9"/>
  <c r="AL19" i="9"/>
  <c r="AJ20" i="9"/>
  <c r="AK20" i="9"/>
  <c r="AL20" i="9"/>
  <c r="AJ21" i="9"/>
  <c r="AK21" i="9"/>
  <c r="AL21" i="9"/>
  <c r="AJ22" i="9"/>
  <c r="AK22" i="9"/>
  <c r="AL22" i="9"/>
  <c r="AJ23" i="9"/>
  <c r="AK23" i="9"/>
  <c r="AL23" i="9"/>
  <c r="AJ24" i="9"/>
  <c r="AK24" i="9"/>
  <c r="AL24" i="9"/>
  <c r="AJ25" i="9"/>
  <c r="AK25" i="9"/>
  <c r="AL25" i="9"/>
  <c r="AJ26" i="9"/>
  <c r="AK26" i="9"/>
  <c r="AL26" i="9"/>
  <c r="AJ28" i="9"/>
  <c r="AK28" i="9"/>
  <c r="AL28" i="9"/>
  <c r="AJ29" i="9"/>
  <c r="AK29" i="9"/>
  <c r="AL29" i="9"/>
  <c r="AJ31" i="9"/>
  <c r="AK31" i="9"/>
  <c r="AL31" i="9"/>
  <c r="AJ32" i="9"/>
  <c r="AK32" i="9"/>
  <c r="AL32" i="9"/>
  <c r="AJ33" i="9"/>
  <c r="AK33" i="9"/>
  <c r="AL33" i="9"/>
  <c r="AJ35" i="9"/>
  <c r="AK35" i="9"/>
  <c r="AL35" i="9"/>
  <c r="AJ36" i="9"/>
  <c r="AK36" i="9"/>
  <c r="AJ37" i="9"/>
  <c r="AK37" i="9"/>
  <c r="AL37" i="9"/>
  <c r="AJ38" i="9"/>
  <c r="AK38" i="9"/>
  <c r="AL7" i="9"/>
  <c r="AK7" i="9"/>
  <c r="AJ7" i="9"/>
  <c r="D4" i="15"/>
  <c r="D6" i="15"/>
  <c r="D7" i="15"/>
  <c r="D8" i="15"/>
  <c r="D9" i="15"/>
  <c r="D10" i="15"/>
  <c r="D11" i="15"/>
  <c r="D12" i="15"/>
  <c r="D13" i="15"/>
  <c r="D14" i="15"/>
  <c r="D15" i="15"/>
  <c r="D16" i="15"/>
  <c r="D17" i="15"/>
  <c r="D18" i="15"/>
  <c r="D19" i="15"/>
  <c r="D20" i="15"/>
  <c r="D21" i="15"/>
  <c r="D23" i="15"/>
  <c r="D24" i="15"/>
  <c r="D26" i="15"/>
  <c r="D27" i="15"/>
  <c r="D28" i="15"/>
  <c r="D30" i="15"/>
  <c r="D32" i="15"/>
  <c r="D2" i="15"/>
  <c r="Z10" i="9"/>
  <c r="Y10" i="9"/>
  <c r="X10" i="9"/>
  <c r="W10" i="9"/>
  <c r="C34" i="25"/>
  <c r="G69" i="25"/>
  <c r="H69" i="25"/>
  <c r="I69" i="25"/>
  <c r="F69" i="25"/>
  <c r="C32" i="25"/>
  <c r="C25" i="25"/>
  <c r="C141" i="25"/>
  <c r="C140" i="25"/>
  <c r="C138" i="25"/>
  <c r="C136" i="25"/>
  <c r="C132" i="25"/>
  <c r="C116" i="25"/>
  <c r="C114" i="25"/>
  <c r="C113" i="25"/>
  <c r="C115" i="25" s="1"/>
  <c r="I105" i="25"/>
  <c r="J104" i="25"/>
  <c r="K104" i="25" s="1"/>
  <c r="C94" i="25" s="1"/>
  <c r="C131" i="25" s="1"/>
  <c r="I104" i="25"/>
  <c r="J103" i="25"/>
  <c r="K103" i="25" s="1"/>
  <c r="C93" i="25" s="1"/>
  <c r="C129" i="25" s="1"/>
  <c r="I103" i="25"/>
  <c r="I102" i="25"/>
  <c r="I96" i="25"/>
  <c r="L95" i="25"/>
  <c r="I95" i="25"/>
  <c r="L94" i="25"/>
  <c r="I94" i="25"/>
  <c r="L93" i="25"/>
  <c r="I93" i="25"/>
  <c r="I77" i="25"/>
  <c r="H77" i="25"/>
  <c r="G77" i="25"/>
  <c r="F77" i="25"/>
  <c r="J77" i="25" s="1"/>
  <c r="J96" i="25" s="1"/>
  <c r="I75" i="25"/>
  <c r="H75" i="25"/>
  <c r="G75" i="25"/>
  <c r="F58" i="25"/>
  <c r="L22" i="25" s="1"/>
  <c r="M22" i="25" s="1"/>
  <c r="N22" i="25" s="1"/>
  <c r="F55" i="25"/>
  <c r="F52" i="25"/>
  <c r="F48" i="25"/>
  <c r="L21" i="25" s="1"/>
  <c r="M21" i="25" s="1"/>
  <c r="N21" i="25" s="1"/>
  <c r="F45" i="25"/>
  <c r="F42" i="25"/>
  <c r="F39" i="25"/>
  <c r="F35" i="25"/>
  <c r="C33" i="25"/>
  <c r="F32" i="25"/>
  <c r="L20" i="25" s="1"/>
  <c r="M20" i="25" s="1"/>
  <c r="N20" i="25" s="1"/>
  <c r="F29" i="25"/>
  <c r="C28" i="25"/>
  <c r="C27" i="25"/>
  <c r="L19" i="25"/>
  <c r="M19" i="25" s="1"/>
  <c r="C18" i="25"/>
  <c r="C116" i="14"/>
  <c r="C113" i="14"/>
  <c r="I105" i="14"/>
  <c r="C30" i="14"/>
  <c r="C32" i="14" s="1"/>
  <c r="C28" i="14"/>
  <c r="D26" i="19"/>
  <c r="C26" i="19"/>
  <c r="D24" i="19"/>
  <c r="C24" i="19"/>
  <c r="B24" i="19"/>
  <c r="D12" i="19"/>
  <c r="C12" i="19"/>
  <c r="B26" i="19"/>
  <c r="D22" i="19"/>
  <c r="C22" i="19"/>
  <c r="B22" i="19"/>
  <c r="C3" i="15"/>
  <c r="C4" i="15"/>
  <c r="C6" i="15"/>
  <c r="C7" i="15"/>
  <c r="C8" i="15"/>
  <c r="C9" i="15"/>
  <c r="C10" i="15"/>
  <c r="C11" i="15"/>
  <c r="C12" i="15"/>
  <c r="C13" i="15"/>
  <c r="C14" i="15"/>
  <c r="C15" i="15"/>
  <c r="C16" i="15"/>
  <c r="C17" i="15"/>
  <c r="C18" i="15"/>
  <c r="C19" i="15"/>
  <c r="C20" i="15"/>
  <c r="C21" i="15"/>
  <c r="C23" i="15"/>
  <c r="C24" i="15"/>
  <c r="C26" i="15"/>
  <c r="C27" i="15"/>
  <c r="C28" i="15"/>
  <c r="C30" i="15"/>
  <c r="C31" i="15"/>
  <c r="C32" i="15"/>
  <c r="C33" i="15"/>
  <c r="C2" i="15"/>
  <c r="B3" i="15"/>
  <c r="B4" i="15"/>
  <c r="B6" i="15"/>
  <c r="B7" i="15"/>
  <c r="B8" i="15"/>
  <c r="B9" i="15"/>
  <c r="B10" i="15"/>
  <c r="B11" i="15"/>
  <c r="B12" i="15"/>
  <c r="B13" i="15"/>
  <c r="B14" i="15"/>
  <c r="B15" i="15"/>
  <c r="B16" i="15"/>
  <c r="B17" i="15"/>
  <c r="B18" i="15"/>
  <c r="B19" i="15"/>
  <c r="B20" i="15"/>
  <c r="B21" i="15"/>
  <c r="B23" i="15"/>
  <c r="B24" i="15"/>
  <c r="B26" i="15"/>
  <c r="B27" i="15"/>
  <c r="B28" i="15"/>
  <c r="B30" i="15"/>
  <c r="B31" i="15"/>
  <c r="B32" i="15"/>
  <c r="B33" i="15"/>
  <c r="B2" i="15"/>
  <c r="G73" i="14"/>
  <c r="G79" i="14" s="1"/>
  <c r="H73" i="14"/>
  <c r="H79" i="14" s="1"/>
  <c r="I73" i="14"/>
  <c r="C27" i="14"/>
  <c r="J13" i="13"/>
  <c r="C114" i="14"/>
  <c r="I93" i="14"/>
  <c r="L93" i="14"/>
  <c r="I94" i="14"/>
  <c r="L94" i="14"/>
  <c r="I95" i="14"/>
  <c r="L95" i="14"/>
  <c r="I96" i="14"/>
  <c r="I102" i="14"/>
  <c r="I103" i="14"/>
  <c r="J103" i="14"/>
  <c r="K103" i="14" s="1"/>
  <c r="C93" i="14" s="1"/>
  <c r="I104" i="14"/>
  <c r="J104" i="14"/>
  <c r="K104" i="14"/>
  <c r="C94" i="14" s="1"/>
  <c r="G75" i="14"/>
  <c r="H75" i="14"/>
  <c r="I75" i="14"/>
  <c r="C18" i="14"/>
  <c r="C33" i="14"/>
  <c r="L19" i="14"/>
  <c r="M19" i="14" s="1"/>
  <c r="N19" i="14" s="1"/>
  <c r="F29" i="14"/>
  <c r="F32" i="14"/>
  <c r="L20" i="14" s="1"/>
  <c r="M20" i="14" s="1"/>
  <c r="N20" i="14" s="1"/>
  <c r="F35" i="14"/>
  <c r="F39" i="14"/>
  <c r="F42" i="14"/>
  <c r="F45" i="14"/>
  <c r="F48" i="14"/>
  <c r="L21" i="14" s="1"/>
  <c r="M21" i="14" s="1"/>
  <c r="N21" i="14" s="1"/>
  <c r="F52" i="14"/>
  <c r="F55" i="14"/>
  <c r="F58" i="14"/>
  <c r="L22" i="14" s="1"/>
  <c r="M22" i="14" s="1"/>
  <c r="N22" i="14" s="1"/>
  <c r="J11" i="13"/>
  <c r="J10" i="13"/>
  <c r="J9" i="13"/>
  <c r="B104" i="13"/>
  <c r="B101" i="13"/>
  <c r="B100" i="13"/>
  <c r="J86" i="13"/>
  <c r="I95" i="13"/>
  <c r="B59" i="13"/>
  <c r="B111" i="13" s="1"/>
  <c r="B113" i="13" s="1"/>
  <c r="F70" i="13"/>
  <c r="G70" i="13"/>
  <c r="H70" i="13"/>
  <c r="E70" i="13"/>
  <c r="G68" i="13"/>
  <c r="H77" i="14" s="1"/>
  <c r="F66" i="13"/>
  <c r="G66" i="13"/>
  <c r="H66" i="13"/>
  <c r="E66" i="13"/>
  <c r="I66" i="13" s="1"/>
  <c r="B60" i="13" s="1"/>
  <c r="B122" i="13" s="1"/>
  <c r="B58" i="13"/>
  <c r="B57" i="13"/>
  <c r="J6" i="13"/>
  <c r="B120" i="13"/>
  <c r="B124" i="13"/>
  <c r="B126" i="13"/>
  <c r="B127" i="13"/>
  <c r="B128" i="13"/>
  <c r="B129" i="13"/>
  <c r="I83" i="13"/>
  <c r="L83" i="13"/>
  <c r="L87" i="13" s="1"/>
  <c r="I84" i="13"/>
  <c r="L84" i="13"/>
  <c r="I85" i="13"/>
  <c r="L85" i="13"/>
  <c r="I86" i="13"/>
  <c r="L86" i="13"/>
  <c r="J87" i="13"/>
  <c r="I92" i="13"/>
  <c r="I93" i="13"/>
  <c r="J93" i="13"/>
  <c r="K93" i="13"/>
  <c r="B82" i="13" s="1"/>
  <c r="B117" i="13" s="1"/>
  <c r="I94" i="13"/>
  <c r="J94" i="13"/>
  <c r="K94" i="13"/>
  <c r="B83" i="13" s="1"/>
  <c r="B119" i="13" s="1"/>
  <c r="J95" i="13"/>
  <c r="K95" i="13" s="1"/>
  <c r="B84" i="13" s="1"/>
  <c r="B118" i="13" s="1"/>
  <c r="B8" i="13"/>
  <c r="B121" i="13" s="1"/>
  <c r="K16" i="13"/>
  <c r="L16" i="13" s="1"/>
  <c r="K17" i="13"/>
  <c r="L17" i="13" s="1"/>
  <c r="M17" i="13" s="1"/>
  <c r="K18" i="13"/>
  <c r="L18" i="13"/>
  <c r="M18" i="13" s="1"/>
  <c r="E18" i="13"/>
  <c r="E21" i="13"/>
  <c r="I38" i="13"/>
  <c r="J38" i="13"/>
  <c r="K38" i="13"/>
  <c r="L38" i="13"/>
  <c r="E24" i="13"/>
  <c r="E28" i="13"/>
  <c r="E31" i="13"/>
  <c r="E34" i="13"/>
  <c r="E37" i="13"/>
  <c r="E41" i="13"/>
  <c r="E44" i="13"/>
  <c r="E47" i="13"/>
  <c r="K19" i="13" s="1"/>
  <c r="L19" i="13" s="1"/>
  <c r="M19" i="13" s="1"/>
  <c r="I78" i="12"/>
  <c r="B91" i="12"/>
  <c r="B99" i="12"/>
  <c r="B101" i="12"/>
  <c r="B104" i="12"/>
  <c r="B105" i="12"/>
  <c r="B106" i="12"/>
  <c r="B107" i="12"/>
  <c r="B108" i="12"/>
  <c r="B90" i="12"/>
  <c r="B92" i="12" s="1"/>
  <c r="K10" i="12"/>
  <c r="B83" i="12"/>
  <c r="B103" i="12" s="1"/>
  <c r="I67" i="12"/>
  <c r="I68" i="12"/>
  <c r="I69" i="12"/>
  <c r="I66" i="12"/>
  <c r="L66" i="12"/>
  <c r="L67" i="12"/>
  <c r="L68" i="12"/>
  <c r="I75" i="12"/>
  <c r="I76" i="12"/>
  <c r="J76" i="12"/>
  <c r="K76" i="12"/>
  <c r="B65" i="12" s="1"/>
  <c r="B96" i="12" s="1"/>
  <c r="I77" i="12"/>
  <c r="J77" i="12"/>
  <c r="K77" i="12" s="1"/>
  <c r="B66" i="12" s="1"/>
  <c r="B98" i="12" s="1"/>
  <c r="F61" i="12"/>
  <c r="F68" i="13" s="1"/>
  <c r="G77" i="14" s="1"/>
  <c r="G61" i="12"/>
  <c r="H61" i="12"/>
  <c r="H68" i="13" s="1"/>
  <c r="I77" i="14" s="1"/>
  <c r="E61" i="12"/>
  <c r="E68" i="13" s="1"/>
  <c r="F77" i="14" s="1"/>
  <c r="I61" i="12"/>
  <c r="J69" i="12" s="1"/>
  <c r="B8" i="12"/>
  <c r="B100" i="12" s="1"/>
  <c r="B7" i="12"/>
  <c r="L10" i="12"/>
  <c r="M10" i="12"/>
  <c r="K11" i="12"/>
  <c r="L11" i="12" s="1"/>
  <c r="M11" i="12" s="1"/>
  <c r="K12" i="12"/>
  <c r="L12" i="12"/>
  <c r="M12" i="12" s="1"/>
  <c r="K13" i="12"/>
  <c r="L13" i="12"/>
  <c r="M13" i="12"/>
  <c r="E18" i="12"/>
  <c r="E21" i="12"/>
  <c r="I23" i="12"/>
  <c r="J23" i="12"/>
  <c r="K23" i="12"/>
  <c r="I17" i="12" s="1"/>
  <c r="L23" i="12"/>
  <c r="E24" i="12"/>
  <c r="E28" i="12"/>
  <c r="E31" i="12"/>
  <c r="E34" i="12"/>
  <c r="E37" i="12"/>
  <c r="E41" i="12"/>
  <c r="E44" i="12"/>
  <c r="E47" i="12"/>
  <c r="C103" i="11"/>
  <c r="C105" i="11"/>
  <c r="G96" i="11"/>
  <c r="G86" i="11"/>
  <c r="C93" i="11"/>
  <c r="H67" i="11"/>
  <c r="I66" i="11"/>
  <c r="J66" i="11" s="1"/>
  <c r="I65" i="11"/>
  <c r="J65" i="11" s="1"/>
  <c r="H66" i="11"/>
  <c r="H65" i="11"/>
  <c r="H64" i="11"/>
  <c r="H56" i="11"/>
  <c r="H57" i="11"/>
  <c r="H58" i="11"/>
  <c r="H55" i="11"/>
  <c r="G114" i="11"/>
  <c r="H114" i="11" s="1"/>
  <c r="J116" i="11" s="1"/>
  <c r="E114" i="11"/>
  <c r="D114" i="11"/>
  <c r="M113" i="11" s="1"/>
  <c r="C114" i="11"/>
  <c r="L113" i="11" s="1"/>
  <c r="O113" i="11"/>
  <c r="N113" i="11"/>
  <c r="I113" i="11"/>
  <c r="E113" i="11"/>
  <c r="D113" i="11"/>
  <c r="C113" i="11"/>
  <c r="K55" i="11"/>
  <c r="K56" i="11"/>
  <c r="K57" i="11"/>
  <c r="K58" i="11"/>
  <c r="I59" i="11"/>
  <c r="I67" i="11" s="1"/>
  <c r="C173" i="11"/>
  <c r="F97" i="11"/>
  <c r="E97" i="11"/>
  <c r="D97" i="11"/>
  <c r="C97" i="11"/>
  <c r="F94" i="11"/>
  <c r="F95" i="11" s="1"/>
  <c r="E94" i="11"/>
  <c r="E95" i="11" s="1"/>
  <c r="D94" i="11"/>
  <c r="D95" i="11" s="1"/>
  <c r="C94" i="11"/>
  <c r="C95" i="11" s="1"/>
  <c r="F93" i="11"/>
  <c r="E93" i="11"/>
  <c r="D93" i="11"/>
  <c r="F84" i="11"/>
  <c r="E84" i="11"/>
  <c r="D84" i="11"/>
  <c r="C84" i="11"/>
  <c r="G80" i="11"/>
  <c r="G79" i="11"/>
  <c r="D47" i="11"/>
  <c r="J13" i="11" s="1"/>
  <c r="K13" i="11" s="1"/>
  <c r="L13" i="11" s="1"/>
  <c r="D44" i="11"/>
  <c r="D41" i="11"/>
  <c r="F156" i="11"/>
  <c r="E156" i="11"/>
  <c r="D156" i="11"/>
  <c r="C155" i="11"/>
  <c r="K23" i="11"/>
  <c r="F155" i="11" s="1"/>
  <c r="J23" i="11"/>
  <c r="E155" i="11" s="1"/>
  <c r="E157" i="11" s="1"/>
  <c r="I23" i="11"/>
  <c r="D155" i="11" s="1"/>
  <c r="H23" i="11"/>
  <c r="C154" i="11" s="1"/>
  <c r="D37" i="11"/>
  <c r="D34" i="11"/>
  <c r="D31" i="11"/>
  <c r="D28" i="11"/>
  <c r="D24" i="11"/>
  <c r="D21" i="11"/>
  <c r="D18" i="11"/>
  <c r="J10" i="11"/>
  <c r="K10" i="11" s="1"/>
  <c r="K42" i="6"/>
  <c r="J42" i="6"/>
  <c r="R175" i="6"/>
  <c r="R174" i="6"/>
  <c r="R173" i="6"/>
  <c r="C182" i="6"/>
  <c r="C179" i="6" s="1"/>
  <c r="P171" i="6"/>
  <c r="O171" i="6"/>
  <c r="E122" i="6"/>
  <c r="E123" i="6"/>
  <c r="E124" i="6"/>
  <c r="E121" i="6"/>
  <c r="Q129" i="6"/>
  <c r="Q130" i="6"/>
  <c r="Q131" i="6"/>
  <c r="Q128" i="6"/>
  <c r="P129" i="6"/>
  <c r="P130" i="6"/>
  <c r="P131" i="6"/>
  <c r="P128" i="6"/>
  <c r="P125" i="6"/>
  <c r="P124" i="6"/>
  <c r="P122" i="6"/>
  <c r="P123" i="6"/>
  <c r="P121" i="6"/>
  <c r="O129" i="6"/>
  <c r="O130" i="6"/>
  <c r="O131" i="6"/>
  <c r="O128" i="6"/>
  <c r="N129" i="6"/>
  <c r="N130" i="6"/>
  <c r="N131" i="6"/>
  <c r="N128" i="6"/>
  <c r="N124" i="6"/>
  <c r="N118" i="6"/>
  <c r="O124" i="6" s="1"/>
  <c r="P117" i="6"/>
  <c r="P116" i="6"/>
  <c r="P115" i="6"/>
  <c r="P114" i="6"/>
  <c r="P118" i="6" s="1"/>
  <c r="C187" i="6"/>
  <c r="D98" i="6"/>
  <c r="E98" i="6"/>
  <c r="F98" i="6"/>
  <c r="C98" i="6"/>
  <c r="W170" i="6"/>
  <c r="C94" i="6"/>
  <c r="D94" i="6"/>
  <c r="E94" i="6"/>
  <c r="F94" i="6"/>
  <c r="C95" i="6"/>
  <c r="C96" i="6" s="1"/>
  <c r="M171" i="6"/>
  <c r="V170" i="6" s="1"/>
  <c r="M170" i="6"/>
  <c r="L171" i="6"/>
  <c r="U170" i="6" s="1"/>
  <c r="L170" i="6"/>
  <c r="K171" i="6"/>
  <c r="T170" i="6" s="1"/>
  <c r="K170" i="6"/>
  <c r="Q170" i="6"/>
  <c r="D95" i="6"/>
  <c r="D96" i="6" s="1"/>
  <c r="E95" i="6"/>
  <c r="E96" i="6" s="1"/>
  <c r="F95" i="6"/>
  <c r="F96" i="6" s="1"/>
  <c r="E27" i="6"/>
  <c r="E28" i="6"/>
  <c r="E29" i="6"/>
  <c r="C84" i="6"/>
  <c r="F84" i="6" s="1"/>
  <c r="G89" i="6"/>
  <c r="G88" i="6"/>
  <c r="I69" i="6"/>
  <c r="D169" i="6" s="1"/>
  <c r="J69" i="6"/>
  <c r="E169" i="6" s="1"/>
  <c r="K69" i="6"/>
  <c r="F169" i="6" s="1"/>
  <c r="H69" i="6"/>
  <c r="I68" i="6"/>
  <c r="J68" i="6"/>
  <c r="E168" i="6" s="1"/>
  <c r="K68" i="6"/>
  <c r="F168" i="6" s="1"/>
  <c r="H68" i="6"/>
  <c r="C168" i="6" s="1"/>
  <c r="C91" i="6"/>
  <c r="V47" i="6"/>
  <c r="W47" i="6" s="1"/>
  <c r="X47" i="6" s="1"/>
  <c r="V40" i="6"/>
  <c r="W40" i="6" s="1"/>
  <c r="X40" i="6" s="1"/>
  <c r="J39" i="6"/>
  <c r="K39" i="6" s="1"/>
  <c r="E115" i="6"/>
  <c r="E116" i="6"/>
  <c r="E117" i="6"/>
  <c r="E114" i="6"/>
  <c r="C118" i="6"/>
  <c r="C124" i="6"/>
  <c r="G93" i="6"/>
  <c r="E91" i="6"/>
  <c r="F91" i="6"/>
  <c r="D91" i="6"/>
  <c r="M48" i="6"/>
  <c r="N48" i="6"/>
  <c r="M27" i="6"/>
  <c r="O27" i="6"/>
  <c r="P26" i="6"/>
  <c r="R26" i="6"/>
  <c r="E31" i="6" s="1"/>
  <c r="D76" i="6"/>
  <c r="V50" i="6" s="1"/>
  <c r="W50" i="6" s="1"/>
  <c r="X50" i="6" s="1"/>
  <c r="D73" i="6"/>
  <c r="D70" i="6"/>
  <c r="D66" i="6"/>
  <c r="D63" i="6"/>
  <c r="D53" i="6"/>
  <c r="D60" i="6"/>
  <c r="D57" i="6"/>
  <c r="D50" i="6"/>
  <c r="D47" i="6"/>
  <c r="K4" i="4"/>
  <c r="K5" i="4" s="1"/>
  <c r="K6" i="4" s="1"/>
  <c r="J4" i="4"/>
  <c r="J5" i="4" s="1"/>
  <c r="J6" i="4" s="1"/>
  <c r="C4" i="4"/>
  <c r="C5" i="4" s="1"/>
  <c r="K16" i="5"/>
  <c r="H32" i="5"/>
  <c r="D30" i="5"/>
  <c r="C29" i="5"/>
  <c r="H26" i="5"/>
  <c r="H27" i="5" s="1"/>
  <c r="D26" i="5"/>
  <c r="J24" i="5"/>
  <c r="I23" i="5"/>
  <c r="H23" i="5"/>
  <c r="D23" i="5"/>
  <c r="I22" i="5"/>
  <c r="C22" i="5"/>
  <c r="J14" i="5" s="1"/>
  <c r="K14" i="5" s="1"/>
  <c r="L14" i="5" s="1"/>
  <c r="I21" i="5"/>
  <c r="H21" i="5"/>
  <c r="I20" i="5"/>
  <c r="H20" i="5"/>
  <c r="D19" i="5"/>
  <c r="D16" i="5"/>
  <c r="C15" i="5"/>
  <c r="J13" i="5"/>
  <c r="K13" i="5" s="1"/>
  <c r="L13" i="5" s="1"/>
  <c r="J12" i="5"/>
  <c r="K12" i="5" s="1"/>
  <c r="H25" i="2"/>
  <c r="H20" i="2"/>
  <c r="H19" i="2"/>
  <c r="H17" i="2"/>
  <c r="I17" i="2"/>
  <c r="J17" i="2"/>
  <c r="H14" i="2"/>
  <c r="H15" i="2"/>
  <c r="H16" i="2"/>
  <c r="H13" i="2"/>
  <c r="I14" i="2"/>
  <c r="I15" i="2"/>
  <c r="I16" i="2"/>
  <c r="I13" i="2"/>
  <c r="J5" i="2"/>
  <c r="K5" i="2" s="1"/>
  <c r="L5" i="2" s="1"/>
  <c r="C22" i="2"/>
  <c r="J7" i="2" s="1"/>
  <c r="K7" i="2" s="1"/>
  <c r="L7" i="2" s="1"/>
  <c r="C15" i="2"/>
  <c r="J6" i="2" s="1"/>
  <c r="K6" i="2" s="1"/>
  <c r="C8" i="2"/>
  <c r="D23" i="2"/>
  <c r="D19" i="2"/>
  <c r="D16" i="2"/>
  <c r="D12" i="2"/>
  <c r="D9" i="2"/>
  <c r="H126" i="78" l="1"/>
  <c r="AU8" i="9"/>
  <c r="M3" i="15"/>
  <c r="G9" i="43"/>
  <c r="L154" i="43"/>
  <c r="L156" i="43" s="1"/>
  <c r="H46" i="43"/>
  <c r="G120" i="43"/>
  <c r="M154" i="43"/>
  <c r="M156" i="43" s="1"/>
  <c r="H70" i="43"/>
  <c r="L140" i="43"/>
  <c r="L142" i="43" s="1"/>
  <c r="G140" i="43"/>
  <c r="M140" i="43"/>
  <c r="M142" i="43" s="1"/>
  <c r="G87" i="43"/>
  <c r="G151" i="43"/>
  <c r="O154" i="43"/>
  <c r="O156" i="43" s="1"/>
  <c r="N154" i="43"/>
  <c r="N156" i="43" s="1"/>
  <c r="O140" i="43"/>
  <c r="O142" i="43" s="1"/>
  <c r="N140" i="43"/>
  <c r="N142" i="43" s="1"/>
  <c r="L155" i="43"/>
  <c r="M155" i="43"/>
  <c r="N155" i="43"/>
  <c r="O155" i="43"/>
  <c r="L141" i="43"/>
  <c r="M141" i="43"/>
  <c r="N141" i="43"/>
  <c r="O141" i="43"/>
  <c r="G102" i="43"/>
  <c r="L76" i="43"/>
  <c r="L78" i="43" s="1"/>
  <c r="H58" i="43"/>
  <c r="M76" i="43"/>
  <c r="M78" i="43" s="1"/>
  <c r="N76" i="43"/>
  <c r="N78" i="43" s="1"/>
  <c r="O76" i="43"/>
  <c r="O78" i="43" s="1"/>
  <c r="L77" i="43"/>
  <c r="M77" i="43"/>
  <c r="N77" i="43"/>
  <c r="O77" i="43"/>
  <c r="H8" i="43"/>
  <c r="C30" i="78"/>
  <c r="C34" i="78"/>
  <c r="F73" i="78"/>
  <c r="G73" i="78"/>
  <c r="H73" i="78"/>
  <c r="M23" i="78"/>
  <c r="M24" i="78" s="1"/>
  <c r="C35" i="78"/>
  <c r="C140" i="78"/>
  <c r="C141" i="78"/>
  <c r="C138" i="78"/>
  <c r="C132" i="78"/>
  <c r="C21" i="77"/>
  <c r="C22" i="77" s="1"/>
  <c r="C23" i="77" s="1"/>
  <c r="C160" i="76"/>
  <c r="H126" i="76"/>
  <c r="C140" i="76"/>
  <c r="C138" i="76"/>
  <c r="C132" i="76"/>
  <c r="C141" i="76"/>
  <c r="M23" i="76"/>
  <c r="M24" i="76" s="1"/>
  <c r="C21" i="74"/>
  <c r="C22" i="74" s="1"/>
  <c r="C23" i="74" s="1"/>
  <c r="C34" i="75"/>
  <c r="H73" i="75"/>
  <c r="G73" i="75"/>
  <c r="I73" i="75"/>
  <c r="F73" i="75"/>
  <c r="C141" i="75"/>
  <c r="C140" i="75"/>
  <c r="C138" i="75"/>
  <c r="C132" i="75"/>
  <c r="M23" i="75"/>
  <c r="M24" i="75" s="1"/>
  <c r="C21" i="66"/>
  <c r="C22" i="66" s="1"/>
  <c r="C23" i="66" s="1"/>
  <c r="K16" i="15"/>
  <c r="AS21" i="9"/>
  <c r="C21" i="60"/>
  <c r="C22" i="60" s="1"/>
  <c r="C23" i="60" s="1"/>
  <c r="C21" i="68"/>
  <c r="C22" i="68" s="1"/>
  <c r="C23" i="68" s="1"/>
  <c r="C141" i="73"/>
  <c r="C132" i="73"/>
  <c r="C140" i="73"/>
  <c r="C138" i="73"/>
  <c r="M23" i="73"/>
  <c r="M24" i="73" s="1"/>
  <c r="I73" i="72"/>
  <c r="G73" i="72"/>
  <c r="F73" i="72"/>
  <c r="H73" i="72"/>
  <c r="C140" i="72"/>
  <c r="C132" i="72"/>
  <c r="C138" i="72"/>
  <c r="C141" i="72"/>
  <c r="M23" i="72"/>
  <c r="M24" i="72" s="1"/>
  <c r="C21" i="54"/>
  <c r="C22" i="54" s="1"/>
  <c r="C23" i="54" s="1"/>
  <c r="J3" i="15"/>
  <c r="AR8" i="9"/>
  <c r="J16" i="15"/>
  <c r="AR21" i="9"/>
  <c r="H16" i="15"/>
  <c r="AP21" i="9"/>
  <c r="L122" i="43"/>
  <c r="L124" i="43" s="1"/>
  <c r="L123" i="43"/>
  <c r="L125" i="43"/>
  <c r="M122" i="43"/>
  <c r="M124" i="43" s="1"/>
  <c r="M123" i="43"/>
  <c r="M125" i="43"/>
  <c r="N122" i="43"/>
  <c r="N124" i="43" s="1"/>
  <c r="N123" i="43"/>
  <c r="N125" i="43"/>
  <c r="O122" i="43"/>
  <c r="O124" i="43" s="1"/>
  <c r="O123" i="43"/>
  <c r="O125" i="43"/>
  <c r="C160" i="62"/>
  <c r="AQ8" i="9"/>
  <c r="C138" i="69"/>
  <c r="C132" i="69"/>
  <c r="C140" i="69"/>
  <c r="C141" i="69"/>
  <c r="M23" i="69"/>
  <c r="M24" i="69" s="1"/>
  <c r="I73" i="67"/>
  <c r="G73" i="67"/>
  <c r="F73" i="67"/>
  <c r="H73" i="67"/>
  <c r="C141" i="67"/>
  <c r="C132" i="67"/>
  <c r="C138" i="67"/>
  <c r="C140" i="67"/>
  <c r="M23" i="67"/>
  <c r="M24" i="67" s="1"/>
  <c r="C21" i="61"/>
  <c r="C22" i="61" s="1"/>
  <c r="C23" i="61" s="1"/>
  <c r="L65" i="43"/>
  <c r="M65" i="43"/>
  <c r="N65" i="43"/>
  <c r="O65" i="43"/>
  <c r="L106" i="43"/>
  <c r="L108" i="43" s="1"/>
  <c r="L107" i="43"/>
  <c r="M106" i="43"/>
  <c r="M108" i="43" s="1"/>
  <c r="M107" i="43"/>
  <c r="N106" i="43"/>
  <c r="N108" i="43" s="1"/>
  <c r="N107" i="43"/>
  <c r="O106" i="43"/>
  <c r="O108" i="43" s="1"/>
  <c r="O107" i="43"/>
  <c r="C35" i="66"/>
  <c r="H143" i="62"/>
  <c r="H126" i="62"/>
  <c r="I3" i="15"/>
  <c r="C140" i="64"/>
  <c r="C141" i="64"/>
  <c r="C138" i="64"/>
  <c r="C132" i="64"/>
  <c r="M23" i="64"/>
  <c r="M24" i="64" s="1"/>
  <c r="C34" i="62"/>
  <c r="G73" i="62"/>
  <c r="I73" i="62"/>
  <c r="H73" i="62"/>
  <c r="F73" i="62"/>
  <c r="C136" i="62"/>
  <c r="C138" i="62"/>
  <c r="C140" i="62"/>
  <c r="C132" i="62"/>
  <c r="C141" i="62"/>
  <c r="M23" i="62"/>
  <c r="M24" i="62" s="1"/>
  <c r="O94" i="43"/>
  <c r="O92" i="43"/>
  <c r="O91" i="43"/>
  <c r="O93" i="43" s="1"/>
  <c r="N94" i="43"/>
  <c r="N92" i="43"/>
  <c r="N91" i="43"/>
  <c r="N93" i="43" s="1"/>
  <c r="M94" i="43"/>
  <c r="M92" i="43"/>
  <c r="M91" i="43"/>
  <c r="M93" i="43" s="1"/>
  <c r="L94" i="43"/>
  <c r="L92" i="43"/>
  <c r="L91" i="43"/>
  <c r="L93" i="43" s="1"/>
  <c r="C138" i="58"/>
  <c r="C140" i="58"/>
  <c r="C141" i="58"/>
  <c r="C132" i="58"/>
  <c r="M23" i="58"/>
  <c r="M24" i="58" s="1"/>
  <c r="C132" i="57"/>
  <c r="C140" i="57"/>
  <c r="C141" i="57"/>
  <c r="C138" i="57"/>
  <c r="M23" i="57"/>
  <c r="M24" i="57" s="1"/>
  <c r="C34" i="57"/>
  <c r="C21" i="52"/>
  <c r="C23" i="52" s="1"/>
  <c r="C33" i="52" s="1"/>
  <c r="C27" i="50"/>
  <c r="C27" i="51"/>
  <c r="G16" i="15"/>
  <c r="AO21" i="9"/>
  <c r="C34" i="56"/>
  <c r="C138" i="56"/>
  <c r="C132" i="56"/>
  <c r="C140" i="56"/>
  <c r="C141" i="56"/>
  <c r="M23" i="56"/>
  <c r="M24" i="56" s="1"/>
  <c r="BB12" i="9"/>
  <c r="BB14" i="9" s="1"/>
  <c r="BC12" i="9" s="1"/>
  <c r="BC14" i="9" s="1"/>
  <c r="BD12" i="9" s="1"/>
  <c r="BD14" i="9" s="1"/>
  <c r="J77" i="51"/>
  <c r="J96" i="51" s="1"/>
  <c r="I94" i="51"/>
  <c r="I102" i="51"/>
  <c r="I96" i="51"/>
  <c r="I95" i="51"/>
  <c r="I93" i="51"/>
  <c r="C141" i="51"/>
  <c r="C136" i="51"/>
  <c r="C140" i="51"/>
  <c r="C132" i="51"/>
  <c r="C131" i="51"/>
  <c r="C138" i="51"/>
  <c r="C129" i="51"/>
  <c r="M23" i="51"/>
  <c r="M24" i="51" s="1"/>
  <c r="N19" i="51"/>
  <c r="N23" i="51" s="1"/>
  <c r="C19" i="51" s="1"/>
  <c r="C133" i="51"/>
  <c r="G30" i="15"/>
  <c r="I102" i="50"/>
  <c r="I96" i="50"/>
  <c r="I95" i="50"/>
  <c r="I94" i="50"/>
  <c r="I93" i="50"/>
  <c r="C138" i="50"/>
  <c r="C141" i="50"/>
  <c r="C132" i="50"/>
  <c r="C136" i="50"/>
  <c r="C140" i="50"/>
  <c r="C129" i="50"/>
  <c r="C131" i="50"/>
  <c r="M23" i="50"/>
  <c r="M24" i="50" s="1"/>
  <c r="N19" i="50"/>
  <c r="N23" i="50" s="1"/>
  <c r="C19" i="50" s="1"/>
  <c r="C133" i="50"/>
  <c r="J77" i="50"/>
  <c r="J96" i="50" s="1"/>
  <c r="C27" i="44"/>
  <c r="C27" i="48"/>
  <c r="O63" i="43"/>
  <c r="O62" i="43"/>
  <c r="O64" i="43" s="1"/>
  <c r="N63" i="43"/>
  <c r="N62" i="43"/>
  <c r="N64" i="43" s="1"/>
  <c r="M63" i="43"/>
  <c r="M62" i="43"/>
  <c r="M64" i="43" s="1"/>
  <c r="L63" i="43"/>
  <c r="L62" i="43"/>
  <c r="L64" i="43" s="1"/>
  <c r="J77" i="48"/>
  <c r="J96" i="48" s="1"/>
  <c r="N20" i="48"/>
  <c r="N21" i="48"/>
  <c r="C21" i="47"/>
  <c r="C23" i="47" s="1"/>
  <c r="I93" i="48"/>
  <c r="I102" i="48"/>
  <c r="I94" i="48"/>
  <c r="I96" i="48"/>
  <c r="I95" i="48"/>
  <c r="C131" i="48"/>
  <c r="C138" i="48"/>
  <c r="C129" i="48"/>
  <c r="C132" i="48"/>
  <c r="C140" i="48"/>
  <c r="C136" i="48"/>
  <c r="C141" i="48"/>
  <c r="N19" i="48"/>
  <c r="N23" i="48" s="1"/>
  <c r="C19" i="48" s="1"/>
  <c r="M23" i="48"/>
  <c r="M24" i="48" s="1"/>
  <c r="C133" i="48"/>
  <c r="I75" i="44"/>
  <c r="H75" i="44"/>
  <c r="G75" i="44"/>
  <c r="F75" i="44"/>
  <c r="J75" i="44" s="1"/>
  <c r="C69" i="44" s="1"/>
  <c r="C129" i="44"/>
  <c r="AN13" i="9" s="1"/>
  <c r="C134" i="44"/>
  <c r="AN18" i="9" s="1"/>
  <c r="C138" i="44"/>
  <c r="AN22" i="9" s="1"/>
  <c r="C136" i="44"/>
  <c r="AN20" i="9" s="1"/>
  <c r="C131" i="44"/>
  <c r="AN15" i="9" s="1"/>
  <c r="C132" i="44"/>
  <c r="AN16" i="9" s="1"/>
  <c r="C141" i="44"/>
  <c r="AN25" i="9" s="1"/>
  <c r="C140" i="44"/>
  <c r="AN24" i="9" s="1"/>
  <c r="E9" i="36"/>
  <c r="E11" i="36" s="1"/>
  <c r="F11" i="36" s="1"/>
  <c r="I96" i="44"/>
  <c r="I102" i="44"/>
  <c r="I95" i="44"/>
  <c r="I94" i="44"/>
  <c r="I93" i="44"/>
  <c r="L96" i="44"/>
  <c r="L97" i="44" s="1"/>
  <c r="J97" i="44"/>
  <c r="J105" i="44" s="1"/>
  <c r="K105" i="44" s="1"/>
  <c r="C95" i="44" s="1"/>
  <c r="C130" i="44" s="1"/>
  <c r="AN14" i="9" s="1"/>
  <c r="F79" i="44"/>
  <c r="C70" i="44"/>
  <c r="C71" i="44" s="1"/>
  <c r="C123" i="44"/>
  <c r="AN7" i="9" s="1"/>
  <c r="M23" i="44"/>
  <c r="M24" i="44" s="1"/>
  <c r="C20" i="44" s="1"/>
  <c r="C133" i="44"/>
  <c r="AN17" i="9" s="1"/>
  <c r="N19" i="33"/>
  <c r="O47" i="43"/>
  <c r="O49" i="43" s="1"/>
  <c r="O48" i="43"/>
  <c r="O50" i="43"/>
  <c r="N47" i="43"/>
  <c r="N49" i="43" s="1"/>
  <c r="N48" i="43"/>
  <c r="N50" i="43"/>
  <c r="M50" i="43"/>
  <c r="M47" i="43"/>
  <c r="M49" i="43" s="1"/>
  <c r="M48" i="43"/>
  <c r="L50" i="43"/>
  <c r="L47" i="43"/>
  <c r="L49" i="43" s="1"/>
  <c r="L48" i="43"/>
  <c r="O34" i="43"/>
  <c r="O31" i="43"/>
  <c r="O33" i="43" s="1"/>
  <c r="O32" i="43"/>
  <c r="N34" i="43"/>
  <c r="N31" i="43"/>
  <c r="N33" i="43" s="1"/>
  <c r="N32" i="43"/>
  <c r="M34" i="43"/>
  <c r="M31" i="43"/>
  <c r="M33" i="43" s="1"/>
  <c r="M32" i="43"/>
  <c r="L34" i="43"/>
  <c r="L31" i="43"/>
  <c r="L33" i="43" s="1"/>
  <c r="L32" i="43"/>
  <c r="O11" i="43"/>
  <c r="O13" i="43"/>
  <c r="O12" i="43"/>
  <c r="N12" i="43"/>
  <c r="N13" i="43"/>
  <c r="N11" i="43"/>
  <c r="M11" i="43"/>
  <c r="M13" i="43"/>
  <c r="M12" i="43"/>
  <c r="L11" i="43"/>
  <c r="L10" i="43"/>
  <c r="L12" i="43" s="1"/>
  <c r="G75" i="37"/>
  <c r="I72" i="37"/>
  <c r="I75" i="37" s="1"/>
  <c r="J77" i="37"/>
  <c r="J96" i="37" s="1"/>
  <c r="C28" i="37"/>
  <c r="C27" i="37"/>
  <c r="M23" i="37"/>
  <c r="M24" i="37" s="1"/>
  <c r="C133" i="37"/>
  <c r="C35" i="33"/>
  <c r="C20" i="33" s="1"/>
  <c r="C135" i="33" s="1"/>
  <c r="C75" i="33"/>
  <c r="K71" i="33"/>
  <c r="J97" i="33"/>
  <c r="J105" i="33" s="1"/>
  <c r="L96" i="33"/>
  <c r="L97" i="33" s="1"/>
  <c r="J97" i="32"/>
  <c r="J105" i="32" s="1"/>
  <c r="K105" i="32" s="1"/>
  <c r="C95" i="32" s="1"/>
  <c r="C130" i="32" s="1"/>
  <c r="L96" i="32"/>
  <c r="L97" i="32"/>
  <c r="N23" i="33"/>
  <c r="C19" i="33" s="1"/>
  <c r="C123" i="32"/>
  <c r="G75" i="32"/>
  <c r="M23" i="32"/>
  <c r="M24" i="32" s="1"/>
  <c r="N24" i="32" s="1"/>
  <c r="J72" i="26"/>
  <c r="C75" i="26" s="1"/>
  <c r="M23" i="26"/>
  <c r="M24" i="26" s="1"/>
  <c r="N24" i="26" s="1"/>
  <c r="J97" i="26"/>
  <c r="J105" i="26" s="1"/>
  <c r="K105" i="26" s="1"/>
  <c r="C95" i="26" s="1"/>
  <c r="C130" i="26" s="1"/>
  <c r="L96" i="26"/>
  <c r="L97" i="26" s="1"/>
  <c r="C135" i="26"/>
  <c r="N19" i="26"/>
  <c r="N23" i="26" s="1"/>
  <c r="C19" i="26" s="1"/>
  <c r="L96" i="25"/>
  <c r="L97" i="25" s="1"/>
  <c r="J97" i="25"/>
  <c r="J105" i="25" s="1"/>
  <c r="K105" i="25" s="1"/>
  <c r="C95" i="25" s="1"/>
  <c r="C130" i="25" s="1"/>
  <c r="C75" i="25"/>
  <c r="N19" i="25"/>
  <c r="N23" i="25" s="1"/>
  <c r="C19" i="25" s="1"/>
  <c r="M23" i="25"/>
  <c r="M24" i="25" s="1"/>
  <c r="C133" i="25"/>
  <c r="C133" i="14"/>
  <c r="J72" i="14"/>
  <c r="F72" i="14" s="1"/>
  <c r="C115" i="14"/>
  <c r="C34" i="14"/>
  <c r="I79" i="14"/>
  <c r="L69" i="12"/>
  <c r="J70" i="12"/>
  <c r="J78" i="12" s="1"/>
  <c r="K78" i="12" s="1"/>
  <c r="B67" i="12" s="1"/>
  <c r="B97" i="12" s="1"/>
  <c r="L70" i="12"/>
  <c r="L20" i="13"/>
  <c r="M16" i="13"/>
  <c r="M20" i="13" s="1"/>
  <c r="M14" i="12"/>
  <c r="L14" i="12"/>
  <c r="J77" i="14"/>
  <c r="J96" i="14" s="1"/>
  <c r="J92" i="13"/>
  <c r="K92" i="13" s="1"/>
  <c r="K96" i="13" s="1"/>
  <c r="F80" i="13" s="1"/>
  <c r="I88" i="13"/>
  <c r="B81" i="13" s="1"/>
  <c r="N23" i="14"/>
  <c r="C19" i="14" s="1"/>
  <c r="M23" i="14"/>
  <c r="B62" i="13"/>
  <c r="F157" i="11"/>
  <c r="G93" i="11"/>
  <c r="G84" i="11"/>
  <c r="G95" i="11"/>
  <c r="G94" i="11"/>
  <c r="D157" i="11"/>
  <c r="J117" i="11"/>
  <c r="J118" i="11" s="1"/>
  <c r="O114" i="11"/>
  <c r="K59" i="11"/>
  <c r="J67" i="11"/>
  <c r="J11" i="11"/>
  <c r="K11" i="11" s="1"/>
  <c r="L11" i="11" s="1"/>
  <c r="H17" i="11"/>
  <c r="J12" i="11"/>
  <c r="K12" i="11" s="1"/>
  <c r="L12" i="11" s="1"/>
  <c r="F74" i="11"/>
  <c r="G74" i="11"/>
  <c r="C156" i="11"/>
  <c r="C159" i="11" s="1"/>
  <c r="D164" i="11" s="1"/>
  <c r="C168" i="11" s="1"/>
  <c r="C165" i="11" s="1"/>
  <c r="L10" i="11"/>
  <c r="E170" i="6"/>
  <c r="F170" i="6"/>
  <c r="V42" i="6"/>
  <c r="W42" i="6" s="1"/>
  <c r="X42" i="6" s="1"/>
  <c r="V49" i="6"/>
  <c r="W49" i="6" s="1"/>
  <c r="X49" i="6" s="1"/>
  <c r="J41" i="6"/>
  <c r="K41" i="6" s="1"/>
  <c r="L41" i="6" s="1"/>
  <c r="D168" i="6"/>
  <c r="C173" i="6" s="1"/>
  <c r="D177" i="6" s="1"/>
  <c r="C169" i="6"/>
  <c r="C170" i="6" s="1"/>
  <c r="V43" i="6"/>
  <c r="W43" i="6" s="1"/>
  <c r="X43" i="6" s="1"/>
  <c r="N50" i="6"/>
  <c r="M50" i="6"/>
  <c r="E118" i="6"/>
  <c r="J40" i="6"/>
  <c r="K40" i="6" s="1"/>
  <c r="V41" i="6"/>
  <c r="W41" i="6" s="1"/>
  <c r="V48" i="6"/>
  <c r="W48" i="6" s="1"/>
  <c r="L39" i="6"/>
  <c r="R27" i="6"/>
  <c r="G84" i="6"/>
  <c r="N51" i="6"/>
  <c r="M51" i="6"/>
  <c r="N49" i="6"/>
  <c r="M49" i="6"/>
  <c r="D124" i="6"/>
  <c r="H22" i="5"/>
  <c r="H24" i="5" s="1"/>
  <c r="I24" i="5"/>
  <c r="K15" i="5"/>
  <c r="L12" i="5"/>
  <c r="L15" i="5" s="1"/>
  <c r="C11" i="5" s="1"/>
  <c r="L6" i="2"/>
  <c r="L8" i="2" s="1"/>
  <c r="C4" i="2" s="1"/>
  <c r="K8" i="2"/>
  <c r="K9" i="2" s="1"/>
  <c r="I76" i="73" a="1"/>
  <c r="F71" i="72" a="1"/>
  <c r="G71" i="72" a="1"/>
  <c r="F92" i="73" a="1"/>
  <c r="F92" i="78" a="1"/>
  <c r="F24" i="56" a="1"/>
  <c r="F74" i="75" a="1"/>
  <c r="B7" i="75" a="1"/>
  <c r="I76" i="67" a="1"/>
  <c r="F20" i="75" a="1"/>
  <c r="F98" i="57" a="1"/>
  <c r="B7" i="73" a="1"/>
  <c r="H71" i="58" a="1"/>
  <c r="F76" i="78" a="1"/>
  <c r="F20" i="78" a="1"/>
  <c r="G74" i="78" a="1"/>
  <c r="G74" i="62" a="1"/>
  <c r="F76" i="72" a="1"/>
  <c r="I74" i="75" a="1"/>
  <c r="F71" i="58" a="1"/>
  <c r="F74" i="57" a="1"/>
  <c r="F76" i="62" a="1"/>
  <c r="C116" i="57" a="1"/>
  <c r="F92" i="67" a="1"/>
  <c r="F24" i="64" a="1"/>
  <c r="H69" i="58" a="1"/>
  <c r="F92" i="72" a="1"/>
  <c r="I74" i="73" a="1"/>
  <c r="F96" i="56" a="1"/>
  <c r="G69" i="58" a="1"/>
  <c r="C116" i="67" a="1"/>
  <c r="F71" i="78" a="1"/>
  <c r="F74" i="78" a="1"/>
  <c r="F98" i="73" a="1"/>
  <c r="C74" i="67" a="1"/>
  <c r="H74" i="58" a="1"/>
  <c r="C139" i="62" a="1"/>
  <c r="C74" i="56" a="1"/>
  <c r="H71" i="67" a="1"/>
  <c r="I71" i="57" a="1"/>
  <c r="C139" i="57" a="1"/>
  <c r="C116" i="72" a="1"/>
  <c r="H71" i="57" a="1"/>
  <c r="F74" i="67" a="1"/>
  <c r="H74" i="76" a="1"/>
  <c r="C139" i="76" a="1"/>
  <c r="I74" i="58" a="1"/>
  <c r="F74" i="69" a="1"/>
  <c r="I71" i="72" a="1"/>
  <c r="H74" i="62" a="1"/>
  <c r="C139" i="69" a="1"/>
  <c r="B7" i="67" a="1"/>
  <c r="H71" i="56" a="1"/>
  <c r="F98" i="72" a="1"/>
  <c r="F24" i="69" a="1"/>
  <c r="F76" i="73" a="1"/>
  <c r="I74" i="64" a="1"/>
  <c r="H74" i="78" a="1"/>
  <c r="F74" i="58" a="1"/>
  <c r="C25" i="69" a="1"/>
  <c r="F92" i="57" a="1"/>
  <c r="I76" i="78" a="1"/>
  <c r="H74" i="75" a="1"/>
  <c r="G74" i="76" a="1"/>
  <c r="I71" i="64" a="1"/>
  <c r="H71" i="76" a="1"/>
  <c r="F92" i="62" a="1"/>
  <c r="C139" i="67" a="1"/>
  <c r="G74" i="67" a="1"/>
  <c r="H76" i="78" a="1"/>
  <c r="I74" i="78" a="1"/>
  <c r="F71" i="56" a="1"/>
  <c r="F76" i="64" a="1"/>
  <c r="H71" i="64" a="1"/>
  <c r="I76" i="76" a="1"/>
  <c r="B7" i="72" a="1"/>
  <c r="C74" i="64" a="1"/>
  <c r="H71" i="75" a="1"/>
  <c r="F24" i="73" a="1"/>
  <c r="H74" i="64" a="1"/>
  <c r="H74" i="69" a="1"/>
  <c r="F98" i="64" a="1"/>
  <c r="H71" i="78" a="1"/>
  <c r="I74" i="56" a="1"/>
  <c r="F24" i="72" a="1"/>
  <c r="G76" i="64" a="1"/>
  <c r="H76" i="64" a="1"/>
  <c r="F92" i="75" a="1"/>
  <c r="G71" i="67" a="1"/>
  <c r="F20" i="58" a="1"/>
  <c r="B7" i="78" a="1"/>
  <c r="I76" i="57" a="1"/>
  <c r="H71" i="73" a="1"/>
  <c r="F24" i="75" a="1"/>
  <c r="H76" i="75" a="1"/>
  <c r="F20" i="56" a="1"/>
  <c r="C74" i="73" a="1"/>
  <c r="F92" i="76" a="1"/>
  <c r="G76" i="75" a="1"/>
  <c r="F69" i="58" a="1"/>
  <c r="C25" i="64" a="1"/>
  <c r="G76" i="58" a="1"/>
  <c r="G71" i="78" a="1"/>
  <c r="G76" i="57" a="1"/>
  <c r="I71" i="67" a="1"/>
  <c r="G71" i="64" a="1"/>
  <c r="F71" i="64" a="1"/>
  <c r="F71" i="57" a="1"/>
  <c r="F76" i="58" a="1"/>
  <c r="H76" i="56" a="1"/>
  <c r="F20" i="62" a="1"/>
  <c r="F98" i="62" a="1"/>
  <c r="I69" i="58" a="1"/>
  <c r="F71" i="62" a="1"/>
  <c r="F71" i="69" a="1"/>
  <c r="F74" i="56" a="1"/>
  <c r="C139" i="58" a="1"/>
  <c r="C74" i="72" a="1"/>
  <c r="G74" i="75" a="1"/>
  <c r="F92" i="64" a="1"/>
  <c r="G76" i="56" a="1"/>
  <c r="I71" i="76" a="1"/>
  <c r="H74" i="57" a="1"/>
  <c r="I72" i="72" a="1"/>
  <c r="H76" i="69" a="1"/>
  <c r="F96" i="75" a="1"/>
  <c r="F98" i="78" a="1"/>
  <c r="H76" i="76" a="1"/>
  <c r="F76" i="56" a="1"/>
  <c r="F96" i="57" a="1"/>
  <c r="H71" i="72" a="1"/>
  <c r="G74" i="72" a="1"/>
  <c r="F96" i="73" a="1"/>
  <c r="F96" i="72" a="1"/>
  <c r="C139" i="73" a="1"/>
  <c r="G76" i="72" a="1"/>
  <c r="C139" i="56" a="1"/>
  <c r="C74" i="78" a="1"/>
  <c r="F24" i="67" a="1"/>
  <c r="G74" i="56" a="1"/>
  <c r="I74" i="76" a="1"/>
  <c r="G76" i="67" a="1"/>
  <c r="F71" i="73" a="1"/>
  <c r="G71" i="76" a="1"/>
  <c r="C74" i="75" a="1"/>
  <c r="F76" i="69" a="1"/>
  <c r="I76" i="62" a="1"/>
  <c r="H74" i="73" a="1"/>
  <c r="H76" i="62" a="1"/>
  <c r="H71" i="69" a="1"/>
  <c r="C74" i="58" a="1"/>
  <c r="C116" i="73" a="1"/>
  <c r="H76" i="73" a="1"/>
  <c r="I71" i="75" a="1"/>
  <c r="F69" i="64" a="1"/>
  <c r="I71" i="78" a="1"/>
  <c r="C116" i="56" a="1"/>
  <c r="F92" i="58" a="1"/>
  <c r="I76" i="58" a="1"/>
  <c r="H74" i="72" a="1"/>
  <c r="G71" i="73" a="1"/>
  <c r="C139" i="72" a="1"/>
  <c r="I76" i="75" a="1"/>
  <c r="F98" i="67" a="1"/>
  <c r="H74" i="67" a="1"/>
  <c r="H74" i="56" a="1"/>
  <c r="F74" i="72" a="1"/>
  <c r="F24" i="58" a="1"/>
  <c r="F20" i="69" a="1"/>
  <c r="I71" i="69" a="1"/>
  <c r="I74" i="62" a="1"/>
  <c r="I76" i="69" a="1"/>
  <c r="F20" i="67" a="1"/>
  <c r="C74" i="57" a="1"/>
  <c r="G76" i="73" a="1"/>
  <c r="C116" i="69" a="1"/>
  <c r="B7" i="69" a="1"/>
  <c r="F20" i="72" a="1"/>
  <c r="G76" i="62" a="1"/>
  <c r="B7" i="56" a="1"/>
  <c r="F74" i="64" a="1"/>
  <c r="C139" i="75" a="1"/>
  <c r="F96" i="69" a="1"/>
  <c r="I71" i="56" a="1"/>
  <c r="F98" i="75" a="1"/>
  <c r="C74" i="62" a="1"/>
  <c r="F71" i="76" a="1"/>
  <c r="G74" i="58" a="1"/>
  <c r="F98" i="76" a="1"/>
  <c r="F76" i="75" a="1"/>
  <c r="G71" i="56" a="1"/>
  <c r="C74" i="76" a="1"/>
  <c r="I71" i="62" a="1"/>
  <c r="C139" i="78" a="1"/>
  <c r="F96" i="76" a="1"/>
  <c r="F74" i="62" a="1"/>
  <c r="F98" i="56" a="1"/>
  <c r="F96" i="78" a="1"/>
  <c r="I76" i="64" a="1"/>
  <c r="H76" i="67" a="1"/>
  <c r="F20" i="57" a="1"/>
  <c r="C25" i="58" a="1"/>
  <c r="G74" i="64" a="1"/>
  <c r="G71" i="57" a="1"/>
  <c r="G76" i="78" a="1"/>
  <c r="G71" i="75" a="1"/>
  <c r="I69" i="64" a="1"/>
  <c r="F20" i="76" a="1"/>
  <c r="F20" i="73" a="1"/>
  <c r="F76" i="67" a="1"/>
  <c r="I74" i="57" a="1"/>
  <c r="F24" i="62" a="1"/>
  <c r="F74" i="73" a="1"/>
  <c r="C29" i="67" a="1"/>
  <c r="F92" i="69" a="1"/>
  <c r="B7" i="64" a="1"/>
  <c r="H76" i="72" a="1"/>
  <c r="G69" i="64" a="1"/>
  <c r="G74" i="69" a="1"/>
  <c r="F96" i="67" a="1"/>
  <c r="F71" i="75" a="1"/>
  <c r="C139" i="64" a="1"/>
  <c r="I74" i="72" a="1"/>
  <c r="F76" i="57" a="1"/>
  <c r="C116" i="78" a="1"/>
  <c r="I71" i="73" a="1"/>
  <c r="F74" i="76" a="1"/>
  <c r="I74" i="69" a="1"/>
  <c r="F24" i="76" a="1"/>
  <c r="G74" i="57" a="1"/>
  <c r="I76" i="72" a="1"/>
  <c r="G71" i="62" a="1"/>
  <c r="C116" i="64" a="1"/>
  <c r="C116" i="58" a="1"/>
  <c r="I76" i="56" a="1"/>
  <c r="F98" i="69" a="1"/>
  <c r="F24" i="57" a="1"/>
  <c r="H69" i="64" a="1"/>
  <c r="F71" i="67" a="1"/>
  <c r="F96" i="64" a="1"/>
  <c r="H76" i="57" a="1"/>
  <c r="G76" i="69" a="1"/>
  <c r="I71" i="58" a="1"/>
  <c r="C74" i="69" a="1"/>
  <c r="G76" i="76" a="1"/>
  <c r="F76" i="76" a="1"/>
  <c r="H71" i="62" a="1"/>
  <c r="C116" i="76" a="1"/>
  <c r="B7" i="76" a="1"/>
  <c r="I74" i="67" a="1"/>
  <c r="F96" i="62" a="1"/>
  <c r="F20" i="64" a="1"/>
  <c r="C116" i="75" a="1"/>
  <c r="F24" i="78" a="1"/>
  <c r="G71" i="58" a="1"/>
  <c r="F98" i="58" a="1"/>
  <c r="G71" i="69" a="1"/>
  <c r="G74" i="73" a="1"/>
  <c r="F96" i="58" a="1"/>
  <c r="F92" i="56" a="1"/>
  <c r="H76" i="58" a="1"/>
  <c r="AU16" i="9" l="1"/>
  <c r="M11" i="15"/>
  <c r="AU22" i="9"/>
  <c r="M17" i="15"/>
  <c r="AU25" i="9"/>
  <c r="M20" i="15"/>
  <c r="AU24" i="9"/>
  <c r="M19" i="15"/>
  <c r="C20" i="78"/>
  <c r="C135" i="78" s="1"/>
  <c r="I74" i="73"/>
  <c r="F20" i="64"/>
  <c r="C18" i="64" s="1"/>
  <c r="C133" i="64" s="1"/>
  <c r="I71" i="62"/>
  <c r="G71" i="73"/>
  <c r="I71" i="58"/>
  <c r="F71" i="78"/>
  <c r="C116" i="69"/>
  <c r="C136" i="69" s="1"/>
  <c r="C139" i="64"/>
  <c r="H74" i="78"/>
  <c r="F76" i="62"/>
  <c r="F77" i="62" s="1"/>
  <c r="F96" i="69"/>
  <c r="J103" i="69" s="1"/>
  <c r="K103" i="69" s="1"/>
  <c r="C93" i="69" s="1"/>
  <c r="C129" i="69" s="1"/>
  <c r="H71" i="67"/>
  <c r="F76" i="72"/>
  <c r="F77" i="72" s="1"/>
  <c r="C139" i="67"/>
  <c r="J18" i="15" s="1"/>
  <c r="F24" i="76"/>
  <c r="N20" i="76" s="1"/>
  <c r="H74" i="67"/>
  <c r="F98" i="78"/>
  <c r="J104" i="78" s="1"/>
  <c r="K104" i="78" s="1"/>
  <c r="C94" i="78" s="1"/>
  <c r="C131" i="78" s="1"/>
  <c r="I74" i="57"/>
  <c r="I74" i="56"/>
  <c r="I76" i="76"/>
  <c r="I77" i="76" s="1"/>
  <c r="G74" i="76"/>
  <c r="H71" i="62"/>
  <c r="C139" i="73"/>
  <c r="G76" i="67"/>
  <c r="G77" i="67" s="1"/>
  <c r="F92" i="57"/>
  <c r="F74" i="75"/>
  <c r="B7" i="69"/>
  <c r="C127" i="69" s="1"/>
  <c r="F20" i="69"/>
  <c r="C18" i="69" s="1"/>
  <c r="C133" i="69" s="1"/>
  <c r="I69" i="64"/>
  <c r="F96" i="58"/>
  <c r="J103" i="58" s="1"/>
  <c r="K103" i="58" s="1"/>
  <c r="C93" i="58" s="1"/>
  <c r="C129" i="58" s="1"/>
  <c r="I69" i="58"/>
  <c r="F98" i="58"/>
  <c r="J104" i="58" s="1"/>
  <c r="K104" i="58" s="1"/>
  <c r="C94" i="58" s="1"/>
  <c r="C131" i="58" s="1"/>
  <c r="I76" i="75"/>
  <c r="I77" i="75" s="1"/>
  <c r="H71" i="72"/>
  <c r="F92" i="76"/>
  <c r="I96" i="76" s="1"/>
  <c r="B7" i="56"/>
  <c r="C127" i="56" s="1"/>
  <c r="H71" i="58"/>
  <c r="F98" i="56"/>
  <c r="J104" i="56" s="1"/>
  <c r="K104" i="56" s="1"/>
  <c r="C94" i="56" s="1"/>
  <c r="C131" i="56" s="1"/>
  <c r="G71" i="78"/>
  <c r="F76" i="73"/>
  <c r="F77" i="73" s="1"/>
  <c r="F24" i="62"/>
  <c r="F71" i="76"/>
  <c r="G74" i="72"/>
  <c r="G71" i="57"/>
  <c r="G71" i="72"/>
  <c r="C116" i="64"/>
  <c r="C136" i="64" s="1"/>
  <c r="H76" i="62"/>
  <c r="H77" i="62" s="1"/>
  <c r="F24" i="73"/>
  <c r="C33" i="73" s="1"/>
  <c r="C139" i="57"/>
  <c r="AP23" i="9" s="1"/>
  <c r="H74" i="76"/>
  <c r="G71" i="75"/>
  <c r="F96" i="64"/>
  <c r="J103" i="64" s="1"/>
  <c r="K103" i="64" s="1"/>
  <c r="C93" i="64" s="1"/>
  <c r="C129" i="64" s="1"/>
  <c r="B7" i="78"/>
  <c r="C127" i="78" s="1"/>
  <c r="C139" i="58"/>
  <c r="I71" i="72"/>
  <c r="G71" i="58"/>
  <c r="H74" i="56"/>
  <c r="F71" i="64"/>
  <c r="H74" i="64"/>
  <c r="I72" i="72"/>
  <c r="I69" i="72" s="1" a="1"/>
  <c r="I69" i="72" s="1"/>
  <c r="F92" i="69"/>
  <c r="H76" i="73"/>
  <c r="H77" i="73" s="1"/>
  <c r="F92" i="72"/>
  <c r="I94" i="72" s="1"/>
  <c r="C116" i="78"/>
  <c r="C136" i="78" s="1"/>
  <c r="C74" i="64"/>
  <c r="F24" i="72"/>
  <c r="G76" i="69"/>
  <c r="G77" i="69" s="1"/>
  <c r="H74" i="72"/>
  <c r="F98" i="76"/>
  <c r="J104" i="76" s="1"/>
  <c r="K104" i="76" s="1"/>
  <c r="C94" i="76" s="1"/>
  <c r="C131" i="76" s="1"/>
  <c r="C116" i="67"/>
  <c r="C136" i="67" s="1"/>
  <c r="AR20" i="9" s="1"/>
  <c r="G74" i="62"/>
  <c r="F71" i="75"/>
  <c r="I76" i="56"/>
  <c r="I77" i="56" s="1"/>
  <c r="F74" i="57"/>
  <c r="H74" i="75"/>
  <c r="C74" i="56"/>
  <c r="H76" i="64"/>
  <c r="H77" i="64" s="1"/>
  <c r="F92" i="62"/>
  <c r="I94" i="62" s="1"/>
  <c r="I74" i="72"/>
  <c r="F69" i="58"/>
  <c r="G74" i="75"/>
  <c r="F76" i="67"/>
  <c r="F77" i="67" s="1"/>
  <c r="C116" i="75"/>
  <c r="C136" i="75" s="1"/>
  <c r="L15" i="15" s="1"/>
  <c r="H71" i="64"/>
  <c r="F76" i="58"/>
  <c r="F77" i="58" s="1"/>
  <c r="F74" i="72"/>
  <c r="F96" i="75"/>
  <c r="J103" i="75" s="1"/>
  <c r="K103" i="75" s="1"/>
  <c r="C93" i="75" s="1"/>
  <c r="C129" i="75" s="1"/>
  <c r="AT13" i="9" s="1"/>
  <c r="I74" i="76"/>
  <c r="F69" i="64"/>
  <c r="F24" i="56"/>
  <c r="N19" i="56" s="1"/>
  <c r="B7" i="73"/>
  <c r="C127" i="73" s="1"/>
  <c r="H71" i="78"/>
  <c r="B7" i="64"/>
  <c r="C127" i="64" s="1"/>
  <c r="H71" i="73"/>
  <c r="I71" i="73"/>
  <c r="C74" i="75"/>
  <c r="F74" i="78"/>
  <c r="F96" i="57"/>
  <c r="J103" i="57" s="1"/>
  <c r="K103" i="57" s="1"/>
  <c r="C93" i="57" s="1"/>
  <c r="C129" i="57" s="1"/>
  <c r="H8" i="15" s="1"/>
  <c r="F71" i="72"/>
  <c r="G76" i="62"/>
  <c r="G77" i="62" s="1"/>
  <c r="C116" i="57"/>
  <c r="C136" i="57" s="1"/>
  <c r="F74" i="62"/>
  <c r="C139" i="72"/>
  <c r="AS23" i="9" s="1"/>
  <c r="F24" i="69"/>
  <c r="C34" i="69" s="1"/>
  <c r="G74" i="67"/>
  <c r="C74" i="62"/>
  <c r="F20" i="72"/>
  <c r="C18" i="72" s="1"/>
  <c r="C133" i="72" s="1"/>
  <c r="AS17" i="9" s="1"/>
  <c r="G74" i="64"/>
  <c r="G76" i="72"/>
  <c r="G77" i="72" s="1"/>
  <c r="G71" i="62"/>
  <c r="F71" i="73"/>
  <c r="C74" i="69"/>
  <c r="H74" i="69"/>
  <c r="F74" i="67"/>
  <c r="C29" i="67"/>
  <c r="C25" i="67" s="1" a="1"/>
  <c r="C25" i="67" s="1"/>
  <c r="F71" i="67"/>
  <c r="B7" i="75"/>
  <c r="C127" i="75" s="1"/>
  <c r="L6" i="15" s="1"/>
  <c r="F74" i="56"/>
  <c r="I71" i="57"/>
  <c r="G76" i="73"/>
  <c r="G77" i="73" s="1"/>
  <c r="F24" i="75"/>
  <c r="G71" i="64"/>
  <c r="C74" i="76"/>
  <c r="H74" i="57"/>
  <c r="H74" i="62"/>
  <c r="C116" i="73"/>
  <c r="C136" i="73" s="1"/>
  <c r="F20" i="78"/>
  <c r="C18" i="78" s="1"/>
  <c r="C133" i="78" s="1"/>
  <c r="F74" i="58"/>
  <c r="F96" i="78"/>
  <c r="J103" i="78" s="1"/>
  <c r="K103" i="78" s="1"/>
  <c r="C93" i="78" s="1"/>
  <c r="C129" i="78" s="1"/>
  <c r="I74" i="62"/>
  <c r="C139" i="75"/>
  <c r="AT23" i="9" s="1"/>
  <c r="I76" i="58"/>
  <c r="I77" i="58" s="1"/>
  <c r="G74" i="58"/>
  <c r="G69" i="58"/>
  <c r="B7" i="72"/>
  <c r="C127" i="72" s="1"/>
  <c r="K6" i="15" s="1"/>
  <c r="F96" i="67"/>
  <c r="J103" i="67" s="1"/>
  <c r="K103" i="67" s="1"/>
  <c r="C93" i="67" s="1"/>
  <c r="C129" i="67" s="1"/>
  <c r="J8" i="15" s="1"/>
  <c r="C116" i="58"/>
  <c r="C136" i="58" s="1"/>
  <c r="F71" i="58"/>
  <c r="I74" i="69"/>
  <c r="C139" i="62"/>
  <c r="I18" i="15" s="1"/>
  <c r="F20" i="67"/>
  <c r="C18" i="67" s="1"/>
  <c r="C133" i="67" s="1"/>
  <c r="AR17" i="9" s="1"/>
  <c r="H71" i="76"/>
  <c r="C139" i="76"/>
  <c r="F20" i="58"/>
  <c r="C18" i="58" s="1"/>
  <c r="C133" i="58" s="1"/>
  <c r="C74" i="72"/>
  <c r="F20" i="73"/>
  <c r="C18" i="73" s="1"/>
  <c r="C133" i="73" s="1"/>
  <c r="F96" i="72"/>
  <c r="J103" i="72" s="1"/>
  <c r="K103" i="72" s="1"/>
  <c r="C93" i="72" s="1"/>
  <c r="C129" i="72" s="1"/>
  <c r="AS13" i="9" s="1"/>
  <c r="F76" i="64"/>
  <c r="F77" i="64" s="1"/>
  <c r="F71" i="57"/>
  <c r="F76" i="76"/>
  <c r="F77" i="76" s="1"/>
  <c r="I74" i="67"/>
  <c r="G74" i="56"/>
  <c r="I71" i="75"/>
  <c r="F92" i="78"/>
  <c r="I93" i="78" s="1"/>
  <c r="F98" i="62"/>
  <c r="J104" i="62" s="1"/>
  <c r="K104" i="62" s="1"/>
  <c r="C94" i="62" s="1"/>
  <c r="C131" i="62" s="1"/>
  <c r="I10" i="15" s="1"/>
  <c r="B7" i="76"/>
  <c r="C127" i="76" s="1"/>
  <c r="G69" i="64"/>
  <c r="I76" i="57"/>
  <c r="I77" i="57" s="1"/>
  <c r="F76" i="69"/>
  <c r="F77" i="69" s="1"/>
  <c r="F76" i="57"/>
  <c r="F77" i="57" s="1"/>
  <c r="C74" i="67"/>
  <c r="F76" i="56"/>
  <c r="F77" i="56" s="1"/>
  <c r="G76" i="58"/>
  <c r="G77" i="58" s="1"/>
  <c r="H76" i="58"/>
  <c r="H77" i="58" s="1"/>
  <c r="F24" i="64"/>
  <c r="C33" i="64" s="1"/>
  <c r="F96" i="76"/>
  <c r="J103" i="76" s="1"/>
  <c r="K103" i="76" s="1"/>
  <c r="C93" i="76" s="1"/>
  <c r="C129" i="76" s="1"/>
  <c r="C74" i="73"/>
  <c r="F98" i="72"/>
  <c r="J104" i="72" s="1"/>
  <c r="K104" i="72" s="1"/>
  <c r="C94" i="72" s="1"/>
  <c r="C131" i="72" s="1"/>
  <c r="AS15" i="9" s="1"/>
  <c r="I74" i="78"/>
  <c r="F98" i="75"/>
  <c r="J104" i="75" s="1"/>
  <c r="K104" i="75" s="1"/>
  <c r="C94" i="75" s="1"/>
  <c r="C131" i="75" s="1"/>
  <c r="L10" i="15" s="1"/>
  <c r="H74" i="73"/>
  <c r="C25" i="58"/>
  <c r="C74" i="78"/>
  <c r="I76" i="72"/>
  <c r="I77" i="72" s="1"/>
  <c r="I74" i="64"/>
  <c r="I74" i="58"/>
  <c r="F98" i="64"/>
  <c r="J104" i="64" s="1"/>
  <c r="K104" i="64" s="1"/>
  <c r="C94" i="64" s="1"/>
  <c r="C131" i="64" s="1"/>
  <c r="H71" i="57"/>
  <c r="F74" i="69"/>
  <c r="H69" i="64"/>
  <c r="F20" i="75"/>
  <c r="C18" i="75" s="1"/>
  <c r="C133" i="75" s="1"/>
  <c r="AT17" i="9" s="1"/>
  <c r="F71" i="69"/>
  <c r="G76" i="78"/>
  <c r="G77" i="78" s="1"/>
  <c r="F92" i="75"/>
  <c r="I102" i="75" s="1"/>
  <c r="H76" i="75"/>
  <c r="H77" i="75" s="1"/>
  <c r="I71" i="67"/>
  <c r="H69" i="58"/>
  <c r="I71" i="76"/>
  <c r="B7" i="67"/>
  <c r="C127" i="67" s="1"/>
  <c r="AR11" i="9" s="1"/>
  <c r="C74" i="58"/>
  <c r="G74" i="78"/>
  <c r="G71" i="76"/>
  <c r="H76" i="67"/>
  <c r="H77" i="67" s="1"/>
  <c r="F96" i="62"/>
  <c r="J103" i="62" s="1"/>
  <c r="K103" i="62" s="1"/>
  <c r="C93" i="62" s="1"/>
  <c r="C129" i="62" s="1"/>
  <c r="I8" i="15" s="1"/>
  <c r="G76" i="76"/>
  <c r="G77" i="76" s="1"/>
  <c r="F92" i="58"/>
  <c r="I102" i="58" s="1"/>
  <c r="F76" i="75"/>
  <c r="F77" i="75" s="1"/>
  <c r="F96" i="56"/>
  <c r="J103" i="56" s="1"/>
  <c r="K103" i="56" s="1"/>
  <c r="C93" i="56" s="1"/>
  <c r="C129" i="56" s="1"/>
  <c r="I76" i="78"/>
  <c r="I77" i="78" s="1"/>
  <c r="G74" i="69"/>
  <c r="F98" i="69"/>
  <c r="J104" i="69" s="1"/>
  <c r="K104" i="69" s="1"/>
  <c r="C94" i="69" s="1"/>
  <c r="C131" i="69" s="1"/>
  <c r="I74" i="75"/>
  <c r="H76" i="57"/>
  <c r="H77" i="57" s="1"/>
  <c r="H74" i="58"/>
  <c r="F24" i="78"/>
  <c r="C33" i="78" s="1"/>
  <c r="I71" i="64"/>
  <c r="G76" i="64"/>
  <c r="G77" i="64" s="1"/>
  <c r="I76" i="69"/>
  <c r="I77" i="69" s="1"/>
  <c r="F92" i="64"/>
  <c r="I102" i="64" s="1"/>
  <c r="F20" i="76"/>
  <c r="C18" i="76" s="1"/>
  <c r="C133" i="76" s="1"/>
  <c r="G71" i="67"/>
  <c r="F71" i="56"/>
  <c r="H76" i="56"/>
  <c r="H77" i="56" s="1"/>
  <c r="F76" i="78"/>
  <c r="F77" i="78" s="1"/>
  <c r="F98" i="57"/>
  <c r="J104" i="57" s="1"/>
  <c r="K104" i="57" s="1"/>
  <c r="C94" i="57" s="1"/>
  <c r="C131" i="57" s="1"/>
  <c r="AP15" i="9" s="1"/>
  <c r="F24" i="67"/>
  <c r="C33" i="67" s="1"/>
  <c r="I71" i="78"/>
  <c r="F92" i="73"/>
  <c r="I96" i="73" s="1"/>
  <c r="I76" i="73"/>
  <c r="I77" i="73" s="1"/>
  <c r="F24" i="58"/>
  <c r="N21" i="58" s="1"/>
  <c r="H76" i="72"/>
  <c r="H77" i="72" s="1"/>
  <c r="G74" i="73"/>
  <c r="H76" i="69"/>
  <c r="H77" i="69" s="1"/>
  <c r="F98" i="67"/>
  <c r="J104" i="67" s="1"/>
  <c r="K104" i="67" s="1"/>
  <c r="C94" i="67" s="1"/>
  <c r="C131" i="67" s="1"/>
  <c r="J10" i="15" s="1"/>
  <c r="F98" i="73"/>
  <c r="J104" i="73" s="1"/>
  <c r="K104" i="73" s="1"/>
  <c r="C94" i="73" s="1"/>
  <c r="C131" i="73" s="1"/>
  <c r="H76" i="76"/>
  <c r="H77" i="76" s="1"/>
  <c r="G71" i="69"/>
  <c r="F20" i="56"/>
  <c r="C18" i="56" s="1"/>
  <c r="C133" i="56" s="1"/>
  <c r="F92" i="67"/>
  <c r="I94" i="67" s="1"/>
  <c r="C139" i="78"/>
  <c r="F74" i="73"/>
  <c r="H71" i="56"/>
  <c r="H76" i="78"/>
  <c r="H77" i="78" s="1"/>
  <c r="I71" i="56"/>
  <c r="G71" i="56"/>
  <c r="F20" i="57"/>
  <c r="C18" i="57" s="1"/>
  <c r="C133" i="57" s="1"/>
  <c r="H12" i="15" s="1"/>
  <c r="C139" i="56"/>
  <c r="G74" i="57"/>
  <c r="F74" i="64"/>
  <c r="H71" i="75"/>
  <c r="C116" i="76"/>
  <c r="C136" i="76" s="1"/>
  <c r="C116" i="72"/>
  <c r="C136" i="72" s="1"/>
  <c r="AS20" i="9" s="1"/>
  <c r="F74" i="76"/>
  <c r="F24" i="57"/>
  <c r="C33" i="57" s="1"/>
  <c r="I76" i="67"/>
  <c r="I77" i="67" s="1"/>
  <c r="F71" i="62"/>
  <c r="F96" i="73"/>
  <c r="J103" i="73" s="1"/>
  <c r="K103" i="73" s="1"/>
  <c r="C93" i="73" s="1"/>
  <c r="C129" i="73" s="1"/>
  <c r="C74" i="57"/>
  <c r="F92" i="56"/>
  <c r="I96" i="56" s="1"/>
  <c r="G76" i="57"/>
  <c r="G77" i="57" s="1"/>
  <c r="F20" i="62"/>
  <c r="C18" i="62" s="1"/>
  <c r="C133" i="62" s="1"/>
  <c r="I12" i="15" s="1"/>
  <c r="G76" i="56"/>
  <c r="G77" i="56" s="1"/>
  <c r="C139" i="69"/>
  <c r="H71" i="69"/>
  <c r="C25" i="64"/>
  <c r="G76" i="75"/>
  <c r="G77" i="75" s="1"/>
  <c r="I76" i="64"/>
  <c r="I77" i="64" s="1"/>
  <c r="I71" i="69"/>
  <c r="I76" i="62"/>
  <c r="I77" i="62" s="1"/>
  <c r="C116" i="56"/>
  <c r="C136" i="56" s="1"/>
  <c r="C32" i="77"/>
  <c r="L20" i="15"/>
  <c r="AT25" i="9"/>
  <c r="L19" i="15"/>
  <c r="AT24" i="9"/>
  <c r="L17" i="15"/>
  <c r="AT22" i="9"/>
  <c r="L11" i="15"/>
  <c r="AT16" i="9"/>
  <c r="C137" i="78" a="1"/>
  <c r="C137" i="78" s="1"/>
  <c r="C33" i="77"/>
  <c r="C24" i="77"/>
  <c r="C25" i="77"/>
  <c r="C26" i="77"/>
  <c r="C24" i="68"/>
  <c r="C25" i="68"/>
  <c r="C26" i="68"/>
  <c r="C33" i="68"/>
  <c r="J73" i="75"/>
  <c r="C137" i="75" a="1"/>
  <c r="C137" i="75" s="1"/>
  <c r="C35" i="75"/>
  <c r="C20" i="75"/>
  <c r="C135" i="75" s="1"/>
  <c r="L96" i="51"/>
  <c r="L97" i="51" s="1"/>
  <c r="J97" i="51"/>
  <c r="J105" i="51" s="1"/>
  <c r="K105" i="51" s="1"/>
  <c r="C95" i="51" s="1"/>
  <c r="C130" i="51" s="1"/>
  <c r="C25" i="60"/>
  <c r="C30" i="60" s="1"/>
  <c r="F30" i="60" s="1"/>
  <c r="C27" i="60"/>
  <c r="C32" i="60" s="1"/>
  <c r="F32" i="60" s="1"/>
  <c r="C24" i="60"/>
  <c r="C29" i="60" s="1"/>
  <c r="C26" i="60"/>
  <c r="C31" i="60" s="1"/>
  <c r="F31" i="60" s="1"/>
  <c r="C33" i="60"/>
  <c r="C35" i="60" s="1"/>
  <c r="C33" i="74"/>
  <c r="K19" i="15"/>
  <c r="AS24" i="9"/>
  <c r="K11" i="15"/>
  <c r="AS16" i="9"/>
  <c r="K17" i="15"/>
  <c r="AS22" i="9"/>
  <c r="K20" i="15"/>
  <c r="AS25" i="9"/>
  <c r="C25" i="74"/>
  <c r="C24" i="74"/>
  <c r="C26" i="74"/>
  <c r="J73" i="72"/>
  <c r="C35" i="72"/>
  <c r="C20" i="72"/>
  <c r="C24" i="66"/>
  <c r="C29" i="66" s="1"/>
  <c r="F29" i="66" s="1"/>
  <c r="C25" i="66"/>
  <c r="C30" i="66" s="1"/>
  <c r="C26" i="66"/>
  <c r="C31" i="66" s="1"/>
  <c r="F31" i="66" s="1"/>
  <c r="C27" i="66"/>
  <c r="C32" i="66" s="1"/>
  <c r="J20" i="15"/>
  <c r="AR25" i="9"/>
  <c r="J11" i="15"/>
  <c r="AR16" i="9"/>
  <c r="J17" i="15"/>
  <c r="AR22" i="9"/>
  <c r="J19" i="15"/>
  <c r="AR24" i="9"/>
  <c r="H11" i="15"/>
  <c r="AP16" i="9"/>
  <c r="H19" i="15"/>
  <c r="AP24" i="9"/>
  <c r="H20" i="15"/>
  <c r="AP25" i="9"/>
  <c r="H17" i="15"/>
  <c r="AP22" i="9"/>
  <c r="C25" i="69"/>
  <c r="C32" i="68"/>
  <c r="I15" i="15"/>
  <c r="AQ20" i="9"/>
  <c r="I17" i="15"/>
  <c r="AQ22" i="9"/>
  <c r="I19" i="15"/>
  <c r="AQ24" i="9"/>
  <c r="I11" i="15"/>
  <c r="AQ16" i="9"/>
  <c r="I20" i="15"/>
  <c r="AQ25" i="9"/>
  <c r="J73" i="67"/>
  <c r="C35" i="67"/>
  <c r="C20" i="67"/>
  <c r="C135" i="67" s="1"/>
  <c r="AR19" i="9" s="1"/>
  <c r="C24" i="61"/>
  <c r="C25" i="61"/>
  <c r="C27" i="61"/>
  <c r="C33" i="61"/>
  <c r="C35" i="61" s="1"/>
  <c r="C137" i="62" a="1"/>
  <c r="C137" i="62" s="1"/>
  <c r="J73" i="62"/>
  <c r="C164" i="62" s="1"/>
  <c r="C20" i="62"/>
  <c r="C35" i="62"/>
  <c r="C20" i="57"/>
  <c r="C35" i="57"/>
  <c r="G17" i="15"/>
  <c r="AO22" i="9"/>
  <c r="G20" i="15"/>
  <c r="AO25" i="9"/>
  <c r="G11" i="15"/>
  <c r="AO16" i="9"/>
  <c r="G15" i="15"/>
  <c r="AO20" i="9"/>
  <c r="G19" i="15"/>
  <c r="AO24" i="9"/>
  <c r="G8" i="15"/>
  <c r="AO13" i="9"/>
  <c r="G10" i="15"/>
  <c r="AO15" i="9"/>
  <c r="G12" i="15"/>
  <c r="AO17" i="9"/>
  <c r="C24" i="54"/>
  <c r="C29" i="54" s="1"/>
  <c r="C26" i="54"/>
  <c r="C31" i="54" s="1"/>
  <c r="C25" i="54"/>
  <c r="C30" i="54" s="1"/>
  <c r="C33" i="54"/>
  <c r="C35" i="54" s="1"/>
  <c r="C27" i="54"/>
  <c r="C32" i="54" s="1"/>
  <c r="C35" i="56"/>
  <c r="C20" i="56"/>
  <c r="C25" i="52"/>
  <c r="C24" i="52"/>
  <c r="C26" i="52"/>
  <c r="C27" i="52"/>
  <c r="J102" i="51"/>
  <c r="K102" i="51" s="1"/>
  <c r="K106" i="51" s="1"/>
  <c r="I98" i="51"/>
  <c r="C92" i="51" s="1"/>
  <c r="C128" i="51" s="1"/>
  <c r="N24" i="51"/>
  <c r="J97" i="50"/>
  <c r="J105" i="50" s="1"/>
  <c r="K105" i="50" s="1"/>
  <c r="C95" i="50" s="1"/>
  <c r="C130" i="50" s="1"/>
  <c r="L96" i="50"/>
  <c r="L97" i="50" s="1"/>
  <c r="N24" i="50"/>
  <c r="C25" i="47"/>
  <c r="C24" i="47"/>
  <c r="C26" i="47"/>
  <c r="C27" i="47"/>
  <c r="L96" i="48"/>
  <c r="L97" i="48" s="1"/>
  <c r="J97" i="48"/>
  <c r="J105" i="48" s="1"/>
  <c r="K105" i="48" s="1"/>
  <c r="C95" i="48" s="1"/>
  <c r="C130" i="48" s="1"/>
  <c r="N24" i="48"/>
  <c r="J102" i="44"/>
  <c r="K102" i="44" s="1"/>
  <c r="K106" i="44" s="1"/>
  <c r="I98" i="44"/>
  <c r="C92" i="44" s="1"/>
  <c r="K105" i="33"/>
  <c r="C95" i="33" s="1"/>
  <c r="C130" i="33" s="1"/>
  <c r="J97" i="37"/>
  <c r="J105" i="37" s="1"/>
  <c r="K105" i="37" s="1"/>
  <c r="C95" i="37" s="1"/>
  <c r="C130" i="37" s="1"/>
  <c r="L96" i="37"/>
  <c r="L97" i="37" s="1"/>
  <c r="I98" i="33"/>
  <c r="J102" i="33"/>
  <c r="K102" i="33" s="1"/>
  <c r="K106" i="33" s="1"/>
  <c r="C137" i="33" a="1"/>
  <c r="C137" i="33" s="1"/>
  <c r="F75" i="33"/>
  <c r="J75" i="33" s="1"/>
  <c r="C69" i="33" s="1"/>
  <c r="C134" i="33" s="1"/>
  <c r="H125" i="33" s="1"/>
  <c r="I98" i="32"/>
  <c r="C92" i="32" s="1"/>
  <c r="J102" i="32"/>
  <c r="K102" i="32" s="1"/>
  <c r="K106" i="32" s="1"/>
  <c r="C125" i="32"/>
  <c r="C35" i="32"/>
  <c r="C20" i="32" s="1"/>
  <c r="C22" i="33"/>
  <c r="F72" i="26"/>
  <c r="F72" i="32" s="1"/>
  <c r="C22" i="26"/>
  <c r="F73" i="26"/>
  <c r="F79" i="26" s="1"/>
  <c r="F75" i="26"/>
  <c r="J75" i="26" s="1"/>
  <c r="C69" i="26" s="1"/>
  <c r="C134" i="26" s="1"/>
  <c r="H125" i="26" s="1"/>
  <c r="J102" i="26"/>
  <c r="K102" i="26" s="1"/>
  <c r="K106" i="26" s="1"/>
  <c r="I98" i="26"/>
  <c r="C92" i="26" s="1"/>
  <c r="J102" i="25"/>
  <c r="K102" i="25" s="1"/>
  <c r="K106" i="25" s="1"/>
  <c r="I98" i="25"/>
  <c r="C92" i="25" s="1"/>
  <c r="F75" i="25"/>
  <c r="J75" i="25" s="1"/>
  <c r="C69" i="25" s="1"/>
  <c r="C134" i="25" s="1"/>
  <c r="C35" i="25"/>
  <c r="C20" i="25" s="1"/>
  <c r="N24" i="25"/>
  <c r="F73" i="14"/>
  <c r="C68" i="14" s="1"/>
  <c r="F75" i="14"/>
  <c r="J75" i="14" s="1"/>
  <c r="C69" i="14" s="1"/>
  <c r="C134" i="14" s="1"/>
  <c r="L96" i="14"/>
  <c r="L97" i="14" s="1"/>
  <c r="J97" i="14"/>
  <c r="J105" i="14" s="1"/>
  <c r="K105" i="14" s="1"/>
  <c r="C95" i="14" s="1"/>
  <c r="E6" i="13"/>
  <c r="B9" i="13" s="1"/>
  <c r="B11" i="13" s="1"/>
  <c r="L21" i="13"/>
  <c r="E113" i="13"/>
  <c r="E114" i="13" s="1"/>
  <c r="B85" i="13"/>
  <c r="B116" i="13"/>
  <c r="L15" i="12"/>
  <c r="M15" i="12" s="1"/>
  <c r="B13" i="12" s="1"/>
  <c r="B102" i="12" s="1"/>
  <c r="E6" i="12"/>
  <c r="B9" i="12" s="1"/>
  <c r="B11" i="12" s="1"/>
  <c r="M24" i="14"/>
  <c r="C35" i="14" s="1"/>
  <c r="J75" i="12"/>
  <c r="K75" i="12" s="1"/>
  <c r="K79" i="12" s="1"/>
  <c r="F63" i="12" s="1"/>
  <c r="I71" i="12"/>
  <c r="B64" i="12" s="1"/>
  <c r="H60" i="11"/>
  <c r="I64" i="11"/>
  <c r="J64" i="11" s="1"/>
  <c r="J68" i="11" s="1"/>
  <c r="K14" i="11"/>
  <c r="D6" i="11" s="1"/>
  <c r="L14" i="11"/>
  <c r="L42" i="6"/>
  <c r="K43" i="6"/>
  <c r="K45" i="6" s="1"/>
  <c r="M45" i="6" s="1"/>
  <c r="O121" i="6"/>
  <c r="D121" i="6"/>
  <c r="E125" i="6" s="1"/>
  <c r="D170" i="6"/>
  <c r="W171" i="6"/>
  <c r="N52" i="6"/>
  <c r="M52" i="6"/>
  <c r="L40" i="6"/>
  <c r="L43" i="6" s="1"/>
  <c r="X41" i="6"/>
  <c r="X44" i="6" s="1"/>
  <c r="W44" i="6"/>
  <c r="W45" i="6" s="1"/>
  <c r="X48" i="6"/>
  <c r="X51" i="6" s="1"/>
  <c r="W51" i="6"/>
  <c r="C29" i="64" a="1"/>
  <c r="I72" i="64" a="1"/>
  <c r="G72" i="67" a="1"/>
  <c r="I72" i="75" a="1"/>
  <c r="G72" i="62" a="1"/>
  <c r="F72" i="69" a="1"/>
  <c r="I72" i="58" a="1"/>
  <c r="I72" i="76" a="1"/>
  <c r="I72" i="69" a="1"/>
  <c r="F72" i="67" a="1"/>
  <c r="I72" i="67" a="1"/>
  <c r="F72" i="62" a="1"/>
  <c r="C29" i="58" a="1"/>
  <c r="I72" i="62" a="1"/>
  <c r="C29" i="78" a="1"/>
  <c r="F69" i="73" a="1"/>
  <c r="F72" i="78" a="1"/>
  <c r="G72" i="78" a="1"/>
  <c r="F72" i="64" a="1"/>
  <c r="G72" i="69" a="1"/>
  <c r="C29" i="62" a="1"/>
  <c r="H72" i="64" a="1"/>
  <c r="C29" i="69" a="1"/>
  <c r="F69" i="69" a="1"/>
  <c r="C29" i="56" a="1"/>
  <c r="G72" i="58" a="1"/>
  <c r="F69" i="76" a="1"/>
  <c r="H72" i="67" a="1"/>
  <c r="G72" i="64" a="1"/>
  <c r="H72" i="69" a="1"/>
  <c r="F72" i="58" a="1"/>
  <c r="H72" i="75" a="1"/>
  <c r="G72" i="75" a="1"/>
  <c r="I72" i="78" a="1"/>
  <c r="C29" i="57" a="1"/>
  <c r="F72" i="75" a="1"/>
  <c r="AU21" i="9" l="1"/>
  <c r="M16" i="15"/>
  <c r="AU19" i="9"/>
  <c r="M14" i="15"/>
  <c r="I96" i="69"/>
  <c r="I95" i="69"/>
  <c r="C33" i="75"/>
  <c r="N20" i="75"/>
  <c r="N24" i="75"/>
  <c r="I96" i="57"/>
  <c r="I102" i="57"/>
  <c r="I94" i="57"/>
  <c r="I95" i="57"/>
  <c r="I93" i="57"/>
  <c r="C33" i="62"/>
  <c r="N19" i="62"/>
  <c r="N20" i="62"/>
  <c r="N21" i="62"/>
  <c r="N24" i="62"/>
  <c r="N19" i="72"/>
  <c r="N22" i="72"/>
  <c r="AP20" i="9"/>
  <c r="H15" i="15"/>
  <c r="I93" i="62"/>
  <c r="AR23" i="9"/>
  <c r="N21" i="72"/>
  <c r="N22" i="62"/>
  <c r="I93" i="69"/>
  <c r="AT11" i="9"/>
  <c r="C68" i="72"/>
  <c r="C123" i="72" s="1"/>
  <c r="N21" i="76"/>
  <c r="L8" i="15"/>
  <c r="C33" i="76"/>
  <c r="N24" i="56"/>
  <c r="N21" i="56"/>
  <c r="K18" i="15"/>
  <c r="L18" i="15"/>
  <c r="C68" i="62"/>
  <c r="C70" i="62" s="1"/>
  <c r="N24" i="76"/>
  <c r="H18" i="15"/>
  <c r="I94" i="69"/>
  <c r="I93" i="64"/>
  <c r="N22" i="75"/>
  <c r="N22" i="64"/>
  <c r="I102" i="69"/>
  <c r="L12" i="15"/>
  <c r="N19" i="75"/>
  <c r="N21" i="75"/>
  <c r="J6" i="15"/>
  <c r="N21" i="64"/>
  <c r="I94" i="64"/>
  <c r="J12" i="15"/>
  <c r="C33" i="56"/>
  <c r="J15" i="15"/>
  <c r="C33" i="72"/>
  <c r="I95" i="62"/>
  <c r="I102" i="62"/>
  <c r="N20" i="56"/>
  <c r="AP13" i="9"/>
  <c r="N21" i="78"/>
  <c r="I96" i="67"/>
  <c r="N24" i="78"/>
  <c r="N24" i="64"/>
  <c r="C34" i="64"/>
  <c r="C20" i="64" s="1"/>
  <c r="C135" i="64" s="1"/>
  <c r="I96" i="64"/>
  <c r="I102" i="67"/>
  <c r="N20" i="78"/>
  <c r="C68" i="75"/>
  <c r="C123" i="75" s="1"/>
  <c r="I93" i="56"/>
  <c r="N19" i="64"/>
  <c r="N20" i="64"/>
  <c r="I102" i="56"/>
  <c r="C33" i="58"/>
  <c r="M18" i="15"/>
  <c r="AU23" i="9"/>
  <c r="N22" i="56"/>
  <c r="N20" i="72"/>
  <c r="M15" i="15"/>
  <c r="AU20" i="9"/>
  <c r="I96" i="78"/>
  <c r="M12" i="15"/>
  <c r="AU17" i="9"/>
  <c r="M10" i="15"/>
  <c r="AU15" i="9"/>
  <c r="I95" i="73"/>
  <c r="I95" i="78"/>
  <c r="AQ13" i="9"/>
  <c r="I102" i="78"/>
  <c r="I94" i="73"/>
  <c r="H10" i="15"/>
  <c r="K8" i="15"/>
  <c r="AS11" i="9"/>
  <c r="M8" i="15"/>
  <c r="AU13" i="9"/>
  <c r="J77" i="72"/>
  <c r="J96" i="72" s="1"/>
  <c r="J97" i="72" s="1"/>
  <c r="J105" i="72" s="1"/>
  <c r="K105" i="72" s="1"/>
  <c r="C95" i="72" s="1"/>
  <c r="C130" i="72" s="1"/>
  <c r="K9" i="15" s="1"/>
  <c r="I95" i="56"/>
  <c r="I93" i="67"/>
  <c r="I94" i="56"/>
  <c r="N19" i="78"/>
  <c r="M6" i="15"/>
  <c r="AU11" i="9"/>
  <c r="I95" i="64"/>
  <c r="I95" i="67"/>
  <c r="I102" i="73"/>
  <c r="AT15" i="9"/>
  <c r="N22" i="78"/>
  <c r="J77" i="75"/>
  <c r="J96" i="75" s="1"/>
  <c r="L96" i="75" s="1"/>
  <c r="L97" i="75" s="1"/>
  <c r="J102" i="75" s="1"/>
  <c r="K102" i="75" s="1"/>
  <c r="J77" i="56"/>
  <c r="J96" i="56" s="1"/>
  <c r="L96" i="56" s="1"/>
  <c r="L97" i="56" s="1"/>
  <c r="I98" i="56" s="1"/>
  <c r="C92" i="56" s="1"/>
  <c r="J77" i="57"/>
  <c r="J96" i="57" s="1"/>
  <c r="J97" i="57" s="1"/>
  <c r="J105" i="57" s="1"/>
  <c r="K105" i="57" s="1"/>
  <c r="C95" i="57" s="1"/>
  <c r="C130" i="57" s="1"/>
  <c r="H9" i="15" s="1"/>
  <c r="J77" i="64"/>
  <c r="J96" i="64" s="1"/>
  <c r="L96" i="64" s="1"/>
  <c r="L97" i="64" s="1"/>
  <c r="J102" i="64" s="1"/>
  <c r="K102" i="64" s="1"/>
  <c r="C68" i="67"/>
  <c r="C123" i="67" s="1"/>
  <c r="J77" i="62"/>
  <c r="J96" i="62" s="1"/>
  <c r="J97" i="62" s="1"/>
  <c r="J105" i="62" s="1"/>
  <c r="K105" i="62" s="1"/>
  <c r="C95" i="62" s="1"/>
  <c r="C130" i="62" s="1"/>
  <c r="AQ14" i="9" s="1"/>
  <c r="J77" i="67"/>
  <c r="J96" i="67" s="1"/>
  <c r="L96" i="67" s="1"/>
  <c r="L97" i="67" s="1"/>
  <c r="I98" i="67" s="1"/>
  <c r="C92" i="67" s="1"/>
  <c r="J77" i="58"/>
  <c r="J96" i="58" s="1"/>
  <c r="J97" i="58" s="1"/>
  <c r="J105" i="58" s="1"/>
  <c r="K105" i="58" s="1"/>
  <c r="C95" i="58" s="1"/>
  <c r="C130" i="58" s="1"/>
  <c r="J77" i="78"/>
  <c r="J96" i="78" s="1"/>
  <c r="J97" i="78" s="1"/>
  <c r="J105" i="78" s="1"/>
  <c r="K105" i="78" s="1"/>
  <c r="C95" i="78" s="1"/>
  <c r="C130" i="78" s="1"/>
  <c r="AQ17" i="9"/>
  <c r="J77" i="73"/>
  <c r="J96" i="73" s="1"/>
  <c r="L96" i="73" s="1"/>
  <c r="L97" i="73" s="1"/>
  <c r="N24" i="69"/>
  <c r="AQ23" i="9"/>
  <c r="N19" i="69"/>
  <c r="C33" i="69"/>
  <c r="I96" i="75"/>
  <c r="J77" i="69"/>
  <c r="J96" i="69" s="1"/>
  <c r="L96" i="69" s="1"/>
  <c r="L97" i="69" s="1"/>
  <c r="AR13" i="9"/>
  <c r="I75" i="72"/>
  <c r="I94" i="76"/>
  <c r="J77" i="76"/>
  <c r="J96" i="76" s="1"/>
  <c r="J97" i="76" s="1"/>
  <c r="J105" i="76" s="1"/>
  <c r="K105" i="76" s="1"/>
  <c r="C95" i="76" s="1"/>
  <c r="C130" i="76" s="1"/>
  <c r="K12" i="15"/>
  <c r="C34" i="58"/>
  <c r="C20" i="58" s="1"/>
  <c r="C135" i="58" s="1"/>
  <c r="I96" i="62"/>
  <c r="N19" i="57"/>
  <c r="N19" i="58"/>
  <c r="N20" i="69"/>
  <c r="N21" i="69"/>
  <c r="N24" i="72"/>
  <c r="I93" i="73"/>
  <c r="K15" i="15"/>
  <c r="I94" i="78"/>
  <c r="N22" i="76"/>
  <c r="I96" i="58"/>
  <c r="I93" i="58"/>
  <c r="N22" i="58"/>
  <c r="N24" i="67"/>
  <c r="AP17" i="9"/>
  <c r="AQ15" i="9"/>
  <c r="AR15" i="9"/>
  <c r="N24" i="73"/>
  <c r="N22" i="73"/>
  <c r="I93" i="72"/>
  <c r="C34" i="73"/>
  <c r="C35" i="73" s="1"/>
  <c r="I102" i="72"/>
  <c r="K10" i="15"/>
  <c r="I96" i="72"/>
  <c r="AT20" i="9"/>
  <c r="I102" i="76"/>
  <c r="I95" i="76"/>
  <c r="I95" i="75"/>
  <c r="N21" i="57"/>
  <c r="I94" i="58"/>
  <c r="N24" i="57"/>
  <c r="N22" i="57"/>
  <c r="I95" i="58"/>
  <c r="N20" i="58"/>
  <c r="N24" i="58"/>
  <c r="N21" i="67"/>
  <c r="N22" i="67"/>
  <c r="N19" i="67"/>
  <c r="N20" i="73"/>
  <c r="I94" i="75"/>
  <c r="I93" i="75"/>
  <c r="N20" i="57"/>
  <c r="N20" i="67"/>
  <c r="N22" i="69"/>
  <c r="N21" i="73"/>
  <c r="N19" i="73"/>
  <c r="I95" i="72"/>
  <c r="I93" i="76"/>
  <c r="C34" i="76"/>
  <c r="C35" i="76" s="1"/>
  <c r="N19" i="76"/>
  <c r="I72" i="75"/>
  <c r="I75" i="75" s="1"/>
  <c r="G72" i="78"/>
  <c r="G69" i="78" s="1" a="1"/>
  <c r="G69" i="78" s="1"/>
  <c r="F72" i="75"/>
  <c r="F75" i="75" s="1"/>
  <c r="F69" i="76"/>
  <c r="C29" i="78"/>
  <c r="C25" i="78" s="1" a="1"/>
  <c r="C25" i="78" s="1"/>
  <c r="I72" i="78"/>
  <c r="I75" i="78" s="1"/>
  <c r="H72" i="75"/>
  <c r="F72" i="78"/>
  <c r="F75" i="78" s="1"/>
  <c r="G72" i="75"/>
  <c r="G75" i="75" s="1"/>
  <c r="I72" i="76"/>
  <c r="I75" i="76" s="1"/>
  <c r="F29" i="60"/>
  <c r="C28" i="60"/>
  <c r="F27" i="77"/>
  <c r="C29" i="68"/>
  <c r="C35" i="68"/>
  <c r="L16" i="15"/>
  <c r="AT21" i="9"/>
  <c r="L14" i="15"/>
  <c r="AT19" i="9"/>
  <c r="C35" i="77"/>
  <c r="C29" i="77"/>
  <c r="C30" i="77"/>
  <c r="C31" i="77"/>
  <c r="C30" i="68"/>
  <c r="C31" i="68"/>
  <c r="C35" i="74"/>
  <c r="C164" i="75"/>
  <c r="C76" i="75"/>
  <c r="F27" i="74"/>
  <c r="F69" i="73"/>
  <c r="C29" i="61"/>
  <c r="I24" i="61"/>
  <c r="C30" i="61"/>
  <c r="I25" i="61"/>
  <c r="C32" i="61"/>
  <c r="I27" i="61"/>
  <c r="C26" i="61"/>
  <c r="I26" i="61" s="1"/>
  <c r="C30" i="74"/>
  <c r="C29" i="74"/>
  <c r="C31" i="74"/>
  <c r="C32" i="74"/>
  <c r="C164" i="72"/>
  <c r="C76" i="72"/>
  <c r="C135" i="72"/>
  <c r="C35" i="69"/>
  <c r="C20" i="69"/>
  <c r="C135" i="69" s="1"/>
  <c r="C28" i="66"/>
  <c r="C29" i="62"/>
  <c r="C25" i="62" s="1" a="1"/>
  <c r="C25" i="62" s="1"/>
  <c r="C29" i="69"/>
  <c r="I72" i="69"/>
  <c r="I75" i="69" s="1"/>
  <c r="F72" i="67"/>
  <c r="F75" i="67" s="1"/>
  <c r="I72" i="62"/>
  <c r="I75" i="62" s="1"/>
  <c r="I72" i="67"/>
  <c r="I69" i="67" s="1" a="1"/>
  <c r="I69" i="67" s="1"/>
  <c r="F69" i="69"/>
  <c r="H72" i="69"/>
  <c r="H75" i="69" s="1"/>
  <c r="F72" i="69"/>
  <c r="F75" i="69" s="1"/>
  <c r="G72" i="62"/>
  <c r="G69" i="62" s="1" a="1"/>
  <c r="G69" i="62" s="1"/>
  <c r="G72" i="67"/>
  <c r="G75" i="67" s="1"/>
  <c r="F72" i="62"/>
  <c r="F75" i="62" s="1"/>
  <c r="H72" i="67"/>
  <c r="H75" i="67" s="1"/>
  <c r="G72" i="69"/>
  <c r="G75" i="69" s="1"/>
  <c r="C28" i="68"/>
  <c r="F10" i="68" s="1"/>
  <c r="I16" i="15"/>
  <c r="AQ21" i="9"/>
  <c r="C76" i="67"/>
  <c r="C164" i="67"/>
  <c r="J14" i="15"/>
  <c r="C29" i="56"/>
  <c r="C25" i="56" s="1" a="1"/>
  <c r="C25" i="56" s="1"/>
  <c r="G72" i="58"/>
  <c r="G75" i="58" s="1"/>
  <c r="C29" i="58"/>
  <c r="F72" i="58"/>
  <c r="F75" i="58" s="1"/>
  <c r="C29" i="57"/>
  <c r="C25" i="57" s="1" a="1"/>
  <c r="C25" i="57" s="1"/>
  <c r="F72" i="64"/>
  <c r="F73" i="64" s="1"/>
  <c r="I72" i="64"/>
  <c r="I75" i="64" s="1"/>
  <c r="I72" i="58"/>
  <c r="I75" i="58" s="1"/>
  <c r="C29" i="64"/>
  <c r="G72" i="64"/>
  <c r="G73" i="64" s="1"/>
  <c r="H72" i="64"/>
  <c r="H75" i="64" s="1"/>
  <c r="C76" i="62"/>
  <c r="H147" i="62"/>
  <c r="C135" i="62"/>
  <c r="C135" i="57"/>
  <c r="C28" i="54"/>
  <c r="E10" i="54" s="1"/>
  <c r="G9" i="15"/>
  <c r="AO14" i="9"/>
  <c r="C135" i="56"/>
  <c r="C35" i="52"/>
  <c r="C30" i="51" s="1"/>
  <c r="C29" i="51"/>
  <c r="C30" i="52"/>
  <c r="F30" i="52" s="1"/>
  <c r="G72" i="51"/>
  <c r="C29" i="52"/>
  <c r="F29" i="52" s="1"/>
  <c r="F72" i="51"/>
  <c r="C31" i="52"/>
  <c r="F31" i="52" s="1"/>
  <c r="H72" i="51"/>
  <c r="C32" i="52"/>
  <c r="F32" i="52" s="1"/>
  <c r="I72" i="51"/>
  <c r="H72" i="50"/>
  <c r="H75" i="50" s="1"/>
  <c r="I72" i="50"/>
  <c r="I75" i="50" s="1"/>
  <c r="C96" i="51"/>
  <c r="G72" i="48"/>
  <c r="G72" i="50"/>
  <c r="G75" i="50" s="1"/>
  <c r="F72" i="48"/>
  <c r="F72" i="50"/>
  <c r="J102" i="50"/>
  <c r="K102" i="50" s="1"/>
  <c r="K106" i="50" s="1"/>
  <c r="I98" i="50"/>
  <c r="C92" i="50" s="1"/>
  <c r="C32" i="47"/>
  <c r="I72" i="48"/>
  <c r="J102" i="48"/>
  <c r="K102" i="48" s="1"/>
  <c r="K106" i="48" s="1"/>
  <c r="I98" i="48"/>
  <c r="C92" i="48" s="1"/>
  <c r="C96" i="44"/>
  <c r="C128" i="44"/>
  <c r="AN12" i="9" s="1"/>
  <c r="I98" i="37"/>
  <c r="C92" i="37" s="1"/>
  <c r="J102" i="37"/>
  <c r="K102" i="37" s="1"/>
  <c r="K106" i="37" s="1"/>
  <c r="F75" i="37"/>
  <c r="C68" i="33"/>
  <c r="J73" i="33"/>
  <c r="C76" i="33" s="1"/>
  <c r="F79" i="33"/>
  <c r="F69" i="32"/>
  <c r="F75" i="32"/>
  <c r="J75" i="32" s="1"/>
  <c r="C69" i="32" s="1"/>
  <c r="J72" i="32"/>
  <c r="C75" i="32" s="1"/>
  <c r="C77" i="32" s="1"/>
  <c r="C135" i="32"/>
  <c r="C22" i="32"/>
  <c r="C96" i="32"/>
  <c r="C128" i="32"/>
  <c r="C96" i="33"/>
  <c r="C128" i="33"/>
  <c r="C128" i="26"/>
  <c r="C96" i="26"/>
  <c r="J73" i="26"/>
  <c r="C76" i="26" s="1"/>
  <c r="C77" i="26" s="1"/>
  <c r="C68" i="26"/>
  <c r="C96" i="25"/>
  <c r="C128" i="25"/>
  <c r="J73" i="25"/>
  <c r="C76" i="25" s="1"/>
  <c r="C68" i="25"/>
  <c r="C22" i="25"/>
  <c r="C135" i="25"/>
  <c r="H125" i="25" s="1"/>
  <c r="C130" i="14"/>
  <c r="C132" i="14"/>
  <c r="C138" i="14"/>
  <c r="C129" i="14"/>
  <c r="C140" i="14"/>
  <c r="C141" i="14"/>
  <c r="C131" i="14"/>
  <c r="C136" i="14"/>
  <c r="F79" i="14"/>
  <c r="J73" i="14"/>
  <c r="C76" i="14" s="1"/>
  <c r="C124" i="14" s="1"/>
  <c r="C70" i="14"/>
  <c r="C71" i="14" s="1"/>
  <c r="C123" i="14"/>
  <c r="J102" i="14"/>
  <c r="K102" i="14" s="1"/>
  <c r="K106" i="14" s="1"/>
  <c r="I98" i="14"/>
  <c r="C92" i="14" s="1"/>
  <c r="B95" i="12"/>
  <c r="B109" i="12" s="1"/>
  <c r="B114" i="12" s="1"/>
  <c r="B116" i="12" s="1"/>
  <c r="B119" i="12" s="1"/>
  <c r="B121" i="12" s="1"/>
  <c r="B68" i="12"/>
  <c r="C20" i="14"/>
  <c r="N24" i="14"/>
  <c r="M21" i="13"/>
  <c r="J12" i="13"/>
  <c r="B13" i="13" s="1"/>
  <c r="B123" i="13" s="1"/>
  <c r="B130" i="13" s="1"/>
  <c r="B135" i="13" s="1"/>
  <c r="B137" i="13" s="1"/>
  <c r="C52" i="11"/>
  <c r="H136" i="11"/>
  <c r="I49" i="6"/>
  <c r="I51" i="6" s="1"/>
  <c r="I52" i="6" s="1"/>
  <c r="I53" i="6" s="1"/>
  <c r="H150" i="6"/>
  <c r="H72" i="58" a="1"/>
  <c r="C29" i="73" a="1"/>
  <c r="C29" i="75" a="1"/>
  <c r="H72" i="57" a="1"/>
  <c r="H72" i="62" a="1"/>
  <c r="I72" i="73" a="1"/>
  <c r="H72" i="72" a="1"/>
  <c r="F72" i="73" a="1"/>
  <c r="G72" i="76" a="1"/>
  <c r="H72" i="56" a="1"/>
  <c r="G72" i="72" a="1"/>
  <c r="F72" i="56" a="1"/>
  <c r="F72" i="72" a="1"/>
  <c r="F72" i="76" a="1"/>
  <c r="G72" i="56" a="1"/>
  <c r="H72" i="78" a="1"/>
  <c r="H72" i="76" a="1"/>
  <c r="G72" i="57" a="1"/>
  <c r="F72" i="57" a="1"/>
  <c r="H72" i="73" a="1"/>
  <c r="I72" i="57" a="1"/>
  <c r="C29" i="76" a="1"/>
  <c r="G72" i="73" a="1"/>
  <c r="I72" i="56" a="1"/>
  <c r="C29" i="72" a="1"/>
  <c r="N23" i="62" l="1"/>
  <c r="C19" i="62" s="1"/>
  <c r="C22" i="62" s="1"/>
  <c r="N23" i="76"/>
  <c r="C19" i="76" s="1"/>
  <c r="N23" i="72"/>
  <c r="C19" i="72" s="1"/>
  <c r="C22" i="72" s="1"/>
  <c r="C70" i="72"/>
  <c r="C70" i="75"/>
  <c r="C123" i="62"/>
  <c r="C161" i="62" s="1"/>
  <c r="N23" i="75"/>
  <c r="C19" i="75" s="1"/>
  <c r="C22" i="75" s="1"/>
  <c r="J97" i="64"/>
  <c r="J105" i="64" s="1"/>
  <c r="K105" i="64" s="1"/>
  <c r="C95" i="64" s="1"/>
  <c r="C130" i="64" s="1"/>
  <c r="N23" i="56"/>
  <c r="C19" i="56" s="1"/>
  <c r="C22" i="56" s="1"/>
  <c r="J97" i="56"/>
  <c r="J105" i="56" s="1"/>
  <c r="K105" i="56" s="1"/>
  <c r="C95" i="56" s="1"/>
  <c r="C130" i="56" s="1"/>
  <c r="J102" i="56"/>
  <c r="K102" i="56" s="1"/>
  <c r="C35" i="64"/>
  <c r="L96" i="62"/>
  <c r="L97" i="62" s="1"/>
  <c r="I98" i="62" s="1"/>
  <c r="C92" i="62" s="1"/>
  <c r="N23" i="64"/>
  <c r="C19" i="64" s="1"/>
  <c r="C22" i="64" s="1"/>
  <c r="I98" i="64"/>
  <c r="C92" i="64" s="1"/>
  <c r="C128" i="64" s="1"/>
  <c r="I9" i="15"/>
  <c r="C70" i="67"/>
  <c r="AS14" i="9"/>
  <c r="L96" i="72"/>
  <c r="L97" i="72" s="1"/>
  <c r="J102" i="72" s="1"/>
  <c r="K102" i="72" s="1"/>
  <c r="K106" i="72" s="1"/>
  <c r="N23" i="78"/>
  <c r="C19" i="78" s="1"/>
  <c r="C22" i="78" s="1"/>
  <c r="I98" i="75"/>
  <c r="C92" i="75" s="1"/>
  <c r="C128" i="75" s="1"/>
  <c r="M9" i="15"/>
  <c r="AU14" i="9"/>
  <c r="J102" i="67"/>
  <c r="K102" i="67" s="1"/>
  <c r="L96" i="57"/>
  <c r="L97" i="57" s="1"/>
  <c r="I98" i="57" s="1"/>
  <c r="C92" i="57" s="1"/>
  <c r="C96" i="57" s="1"/>
  <c r="AP14" i="9"/>
  <c r="L96" i="58"/>
  <c r="L97" i="58" s="1"/>
  <c r="J102" i="58" s="1"/>
  <c r="K102" i="58" s="1"/>
  <c r="K106" i="58" s="1"/>
  <c r="N23" i="57"/>
  <c r="C19" i="57" s="1"/>
  <c r="C22" i="57" s="1"/>
  <c r="J97" i="73"/>
  <c r="J105" i="73" s="1"/>
  <c r="K105" i="73" s="1"/>
  <c r="C95" i="73" s="1"/>
  <c r="C130" i="73" s="1"/>
  <c r="J97" i="75"/>
  <c r="J105" i="75" s="1"/>
  <c r="K105" i="75" s="1"/>
  <c r="C95" i="75" s="1"/>
  <c r="C130" i="75" s="1"/>
  <c r="L9" i="15" s="1"/>
  <c r="C35" i="58"/>
  <c r="L96" i="78"/>
  <c r="L97" i="78" s="1"/>
  <c r="I98" i="78" s="1"/>
  <c r="C92" i="78" s="1"/>
  <c r="C96" i="78" s="1"/>
  <c r="N23" i="69"/>
  <c r="C19" i="69" s="1"/>
  <c r="C22" i="69" s="1"/>
  <c r="J97" i="67"/>
  <c r="J105" i="67" s="1"/>
  <c r="K105" i="67" s="1"/>
  <c r="C95" i="67" s="1"/>
  <c r="C130" i="67" s="1"/>
  <c r="J9" i="15" s="1"/>
  <c r="N23" i="73"/>
  <c r="C19" i="73" s="1"/>
  <c r="N23" i="67"/>
  <c r="C19" i="67" s="1"/>
  <c r="C22" i="67" s="1"/>
  <c r="N23" i="58"/>
  <c r="C19" i="58" s="1"/>
  <c r="C22" i="58" s="1"/>
  <c r="J97" i="69"/>
  <c r="J105" i="69" s="1"/>
  <c r="K105" i="69" s="1"/>
  <c r="C95" i="69" s="1"/>
  <c r="C130" i="69" s="1"/>
  <c r="C20" i="76"/>
  <c r="C135" i="76" s="1"/>
  <c r="L96" i="76"/>
  <c r="L97" i="76" s="1"/>
  <c r="J102" i="76" s="1"/>
  <c r="K102" i="76" s="1"/>
  <c r="K106" i="76" s="1"/>
  <c r="C20" i="73"/>
  <c r="C135" i="73" s="1"/>
  <c r="I69" i="75" a="1"/>
  <c r="I69" i="75" s="1"/>
  <c r="G75" i="78"/>
  <c r="G69" i="75" a="1"/>
  <c r="G69" i="75" s="1"/>
  <c r="J72" i="75"/>
  <c r="C75" i="75" s="1"/>
  <c r="C77" i="75" s="1"/>
  <c r="H75" i="75"/>
  <c r="J75" i="75" s="1"/>
  <c r="C69" i="75" s="1"/>
  <c r="F69" i="75" a="1"/>
  <c r="F69" i="75" s="1"/>
  <c r="H69" i="75" a="1"/>
  <c r="H69" i="75" s="1"/>
  <c r="G72" i="76"/>
  <c r="G75" i="76" s="1"/>
  <c r="H72" i="76"/>
  <c r="H75" i="76" s="1"/>
  <c r="C29" i="72"/>
  <c r="C25" i="72" s="1" a="1"/>
  <c r="C25" i="72" s="1"/>
  <c r="C29" i="75"/>
  <c r="C25" i="75" s="1" a="1"/>
  <c r="C25" i="75" s="1"/>
  <c r="C29" i="76"/>
  <c r="H72" i="78"/>
  <c r="J72" i="78" s="1"/>
  <c r="C75" i="78" s="1"/>
  <c r="H72" i="72"/>
  <c r="H75" i="72" s="1"/>
  <c r="F72" i="76"/>
  <c r="F73" i="76" s="1"/>
  <c r="F72" i="72"/>
  <c r="F69" i="72" s="1" a="1"/>
  <c r="F69" i="72" s="1"/>
  <c r="G72" i="72"/>
  <c r="G75" i="72" s="1"/>
  <c r="F69" i="78" a="1"/>
  <c r="F69" i="78" s="1"/>
  <c r="L2" i="15"/>
  <c r="AT7" i="9"/>
  <c r="F10" i="77"/>
  <c r="I98" i="73"/>
  <c r="C92" i="73" s="1"/>
  <c r="J102" i="73"/>
  <c r="K102" i="73" s="1"/>
  <c r="C161" i="75"/>
  <c r="C124" i="75"/>
  <c r="H128" i="75"/>
  <c r="I124" i="75" s="1"/>
  <c r="B2" i="4"/>
  <c r="F10" i="66"/>
  <c r="K14" i="15"/>
  <c r="AS19" i="9"/>
  <c r="K2" i="15"/>
  <c r="AS7" i="9"/>
  <c r="C28" i="74"/>
  <c r="F10" i="74" s="1"/>
  <c r="C31" i="61"/>
  <c r="I72" i="73"/>
  <c r="I75" i="73" s="1"/>
  <c r="F72" i="73"/>
  <c r="F75" i="73" s="1"/>
  <c r="H72" i="58"/>
  <c r="H75" i="58" s="1"/>
  <c r="J75" i="58" s="1"/>
  <c r="C69" i="58" s="1"/>
  <c r="C134" i="58" s="1"/>
  <c r="C29" i="73"/>
  <c r="H72" i="73"/>
  <c r="H75" i="73" s="1"/>
  <c r="G72" i="73"/>
  <c r="G75" i="73" s="1"/>
  <c r="C77" i="62"/>
  <c r="H128" i="62"/>
  <c r="I124" i="62" s="1"/>
  <c r="C77" i="72"/>
  <c r="H128" i="72"/>
  <c r="I124" i="72" s="1"/>
  <c r="C161" i="72"/>
  <c r="C124" i="72"/>
  <c r="AS8" i="9" s="1"/>
  <c r="J102" i="69"/>
  <c r="K102" i="69" s="1"/>
  <c r="I98" i="69"/>
  <c r="C92" i="69" s="1"/>
  <c r="H14" i="15"/>
  <c r="AP19" i="9"/>
  <c r="G75" i="62"/>
  <c r="F69" i="67" a="1"/>
  <c r="F69" i="67" s="1"/>
  <c r="I69" i="62" a="1"/>
  <c r="I69" i="62" s="1"/>
  <c r="F69" i="62" a="1"/>
  <c r="F69" i="62" s="1"/>
  <c r="I75" i="67"/>
  <c r="J75" i="67" s="1"/>
  <c r="C69" i="67" s="1"/>
  <c r="F73" i="69"/>
  <c r="J75" i="69"/>
  <c r="C69" i="69" s="1"/>
  <c r="C134" i="69" s="1"/>
  <c r="H72" i="62"/>
  <c r="H69" i="62" s="1" a="1"/>
  <c r="H69" i="62" s="1"/>
  <c r="H69" i="67" a="1"/>
  <c r="H69" i="67" s="1"/>
  <c r="G69" i="67" a="1"/>
  <c r="G69" i="67" s="1"/>
  <c r="I14" i="15"/>
  <c r="AQ19" i="9"/>
  <c r="C128" i="67"/>
  <c r="J2" i="15"/>
  <c r="AR7" i="9"/>
  <c r="C161" i="67"/>
  <c r="C125" i="67"/>
  <c r="C77" i="67"/>
  <c r="H128" i="67"/>
  <c r="I124" i="67" s="1"/>
  <c r="G73" i="58"/>
  <c r="F73" i="58"/>
  <c r="G75" i="64"/>
  <c r="F75" i="64"/>
  <c r="H72" i="57"/>
  <c r="H75" i="57" s="1"/>
  <c r="H72" i="56"/>
  <c r="H75" i="56" s="1"/>
  <c r="G72" i="56"/>
  <c r="G75" i="56" s="1"/>
  <c r="F72" i="57"/>
  <c r="F75" i="57" s="1"/>
  <c r="G72" i="57"/>
  <c r="G75" i="57" s="1"/>
  <c r="I72" i="57"/>
  <c r="I75" i="57" s="1"/>
  <c r="I72" i="56"/>
  <c r="I75" i="56" s="1"/>
  <c r="F72" i="56"/>
  <c r="F75" i="56" s="1"/>
  <c r="I73" i="58"/>
  <c r="H73" i="64"/>
  <c r="I73" i="64"/>
  <c r="C128" i="56"/>
  <c r="K71" i="51"/>
  <c r="C28" i="52"/>
  <c r="G75" i="51"/>
  <c r="D42" i="60" s="1"/>
  <c r="G73" i="51"/>
  <c r="G79" i="51" s="1"/>
  <c r="F75" i="51"/>
  <c r="D41" i="60" s="1"/>
  <c r="F73" i="51"/>
  <c r="F79" i="51" s="1"/>
  <c r="H73" i="51"/>
  <c r="H75" i="51"/>
  <c r="D43" i="60" s="1"/>
  <c r="I73" i="51"/>
  <c r="I79" i="51" s="1"/>
  <c r="I75" i="51"/>
  <c r="D44" i="60" s="1"/>
  <c r="G75" i="48"/>
  <c r="D42" i="47" s="1"/>
  <c r="G73" i="48"/>
  <c r="G79" i="48" s="1"/>
  <c r="F73" i="48"/>
  <c r="F79" i="48" s="1"/>
  <c r="F75" i="48"/>
  <c r="D41" i="47" s="1"/>
  <c r="C96" i="48"/>
  <c r="C128" i="48"/>
  <c r="K71" i="50"/>
  <c r="F75" i="50"/>
  <c r="J75" i="50" s="1"/>
  <c r="C69" i="50" s="1"/>
  <c r="C134" i="50" s="1"/>
  <c r="C128" i="50"/>
  <c r="C96" i="50"/>
  <c r="I73" i="48"/>
  <c r="I79" i="48" s="1"/>
  <c r="I75" i="48"/>
  <c r="D44" i="47" s="1"/>
  <c r="H124" i="44"/>
  <c r="C96" i="37"/>
  <c r="C128" i="37"/>
  <c r="H124" i="37" s="1"/>
  <c r="F79" i="37"/>
  <c r="H124" i="32"/>
  <c r="H128" i="33"/>
  <c r="C77" i="33"/>
  <c r="C134" i="32"/>
  <c r="C71" i="32"/>
  <c r="C123" i="33"/>
  <c r="C70" i="33"/>
  <c r="C71" i="33" s="1"/>
  <c r="C142" i="33"/>
  <c r="H124" i="33"/>
  <c r="H126" i="26"/>
  <c r="H128" i="26"/>
  <c r="I125" i="26" s="1"/>
  <c r="C123" i="26"/>
  <c r="C125" i="26" s="1"/>
  <c r="C147" i="26" s="1"/>
  <c r="C149" i="26" s="1"/>
  <c r="C70" i="26"/>
  <c r="C71" i="26" s="1"/>
  <c r="H124" i="26"/>
  <c r="C142" i="26"/>
  <c r="C142" i="25"/>
  <c r="H124" i="25"/>
  <c r="C77" i="25"/>
  <c r="H126" i="25"/>
  <c r="H128" i="25"/>
  <c r="I125" i="25" s="1"/>
  <c r="C70" i="25"/>
  <c r="C71" i="25"/>
  <c r="C123" i="25"/>
  <c r="C125" i="14"/>
  <c r="H128" i="14"/>
  <c r="B139" i="13"/>
  <c r="B140" i="13" s="1"/>
  <c r="B142" i="13" s="1"/>
  <c r="C151" i="14"/>
  <c r="C128" i="14"/>
  <c r="C96" i="14"/>
  <c r="C25" i="76" a="1"/>
  <c r="C25" i="73" a="1"/>
  <c r="H144" i="62" l="1"/>
  <c r="I2" i="15"/>
  <c r="AQ7" i="9"/>
  <c r="K106" i="64"/>
  <c r="I98" i="58"/>
  <c r="C92" i="58" s="1"/>
  <c r="C128" i="58" s="1"/>
  <c r="H125" i="58" s="1"/>
  <c r="C96" i="56"/>
  <c r="J102" i="62"/>
  <c r="K102" i="62" s="1"/>
  <c r="K106" i="62" s="1"/>
  <c r="K106" i="56"/>
  <c r="C128" i="57"/>
  <c r="AP12" i="9" s="1"/>
  <c r="C96" i="64"/>
  <c r="J102" i="57"/>
  <c r="K102" i="57" s="1"/>
  <c r="K106" i="57" s="1"/>
  <c r="I98" i="72"/>
  <c r="C92" i="72" s="1"/>
  <c r="C128" i="72" s="1"/>
  <c r="K7" i="15" s="1"/>
  <c r="AR14" i="9"/>
  <c r="C128" i="78"/>
  <c r="M7" i="15" s="1"/>
  <c r="K106" i="75"/>
  <c r="AT14" i="9"/>
  <c r="C96" i="67"/>
  <c r="K106" i="73"/>
  <c r="C96" i="75"/>
  <c r="I98" i="76"/>
  <c r="C92" i="76" s="1"/>
  <c r="C96" i="76" s="1"/>
  <c r="J102" i="78"/>
  <c r="K102" i="78" s="1"/>
  <c r="K106" i="78" s="1"/>
  <c r="K106" i="69"/>
  <c r="C22" i="73"/>
  <c r="K106" i="67"/>
  <c r="C22" i="76"/>
  <c r="H75" i="78"/>
  <c r="J75" i="78" s="1"/>
  <c r="C69" i="78" s="1"/>
  <c r="C134" i="78" s="1"/>
  <c r="F75" i="72"/>
  <c r="J75" i="72" s="1"/>
  <c r="C69" i="72" s="1"/>
  <c r="G69" i="72" a="1"/>
  <c r="G69" i="72" s="1"/>
  <c r="H69" i="78" a="1"/>
  <c r="H69" i="78" s="1"/>
  <c r="C25" i="76"/>
  <c r="F75" i="76"/>
  <c r="J75" i="76" s="1"/>
  <c r="C69" i="76" s="1"/>
  <c r="C134" i="76" s="1"/>
  <c r="J72" i="76"/>
  <c r="C75" i="76" s="1"/>
  <c r="H69" i="72" a="1"/>
  <c r="H69" i="72" s="1"/>
  <c r="C125" i="75"/>
  <c r="L4" i="15" s="1"/>
  <c r="AT8" i="9"/>
  <c r="L3" i="15"/>
  <c r="AT12" i="9"/>
  <c r="L7" i="15"/>
  <c r="C128" i="73"/>
  <c r="C96" i="73"/>
  <c r="C71" i="75"/>
  <c r="C134" i="75"/>
  <c r="H126" i="75"/>
  <c r="C160" i="75"/>
  <c r="F73" i="73"/>
  <c r="H73" i="58"/>
  <c r="J73" i="58" s="1"/>
  <c r="C76" i="58" s="1"/>
  <c r="H128" i="58" s="1"/>
  <c r="I124" i="58" s="1"/>
  <c r="J75" i="73"/>
  <c r="C69" i="73" s="1"/>
  <c r="C134" i="73" s="1"/>
  <c r="C25" i="73"/>
  <c r="C128" i="69"/>
  <c r="H125" i="69" s="1"/>
  <c r="C96" i="69"/>
  <c r="C125" i="72"/>
  <c r="AS9" i="9" s="1"/>
  <c r="K3" i="15"/>
  <c r="C160" i="72"/>
  <c r="H126" i="72"/>
  <c r="H75" i="62"/>
  <c r="J75" i="62" s="1"/>
  <c r="C69" i="62" s="1"/>
  <c r="J7" i="15"/>
  <c r="AR12" i="9"/>
  <c r="J4" i="15"/>
  <c r="AR9" i="9"/>
  <c r="C71" i="67"/>
  <c r="C134" i="67"/>
  <c r="C160" i="67"/>
  <c r="H126" i="67"/>
  <c r="C96" i="62"/>
  <c r="C128" i="62"/>
  <c r="AQ12" i="9" s="1"/>
  <c r="J75" i="56"/>
  <c r="C69" i="56" s="1"/>
  <c r="C134" i="56" s="1"/>
  <c r="H125" i="56" s="1"/>
  <c r="J75" i="64"/>
  <c r="C69" i="64" s="1"/>
  <c r="C134" i="64" s="1"/>
  <c r="H125" i="64" s="1"/>
  <c r="B5" i="4" s="1"/>
  <c r="J73" i="64"/>
  <c r="C164" i="64" s="1"/>
  <c r="C137" i="64" a="1"/>
  <c r="C137" i="64" s="1"/>
  <c r="J75" i="57"/>
  <c r="C69" i="57" s="1"/>
  <c r="C134" i="57" s="1"/>
  <c r="C68" i="64"/>
  <c r="I126" i="62"/>
  <c r="C125" i="62"/>
  <c r="D42" i="52"/>
  <c r="D41" i="52"/>
  <c r="D44" i="52"/>
  <c r="G13" i="15"/>
  <c r="AO18" i="9"/>
  <c r="G7" i="15"/>
  <c r="AO12" i="9"/>
  <c r="H79" i="51"/>
  <c r="C68" i="51"/>
  <c r="J73" i="51"/>
  <c r="C76" i="51" s="1"/>
  <c r="C137" i="51" a="1"/>
  <c r="C137" i="51" s="1"/>
  <c r="D43" i="52"/>
  <c r="J75" i="51"/>
  <c r="C69" i="51" s="1"/>
  <c r="C134" i="51" s="1"/>
  <c r="C124" i="33"/>
  <c r="H125" i="32"/>
  <c r="H127" i="32" s="1"/>
  <c r="H129" i="32" s="1"/>
  <c r="C142" i="32"/>
  <c r="I124" i="33"/>
  <c r="I125" i="33"/>
  <c r="I124" i="32"/>
  <c r="H127" i="26"/>
  <c r="H129" i="26" s="1"/>
  <c r="I124" i="26"/>
  <c r="I126" i="26"/>
  <c r="I126" i="25"/>
  <c r="C125" i="25"/>
  <c r="C147" i="25" s="1"/>
  <c r="C149" i="25" s="1"/>
  <c r="C152" i="25" s="1"/>
  <c r="I124" i="25"/>
  <c r="H127" i="25"/>
  <c r="H129" i="25" s="1"/>
  <c r="C135" i="14"/>
  <c r="H125" i="14" s="1"/>
  <c r="I125" i="14" s="1"/>
  <c r="C22" i="14"/>
  <c r="H126" i="14"/>
  <c r="I126" i="14" s="1"/>
  <c r="H124" i="14"/>
  <c r="C75" i="14"/>
  <c r="C77" i="14" s="1"/>
  <c r="C96" i="58" l="1"/>
  <c r="H7" i="15"/>
  <c r="AS12" i="9"/>
  <c r="C96" i="72"/>
  <c r="AU12" i="9"/>
  <c r="M13" i="15"/>
  <c r="AU18" i="9"/>
  <c r="C128" i="76"/>
  <c r="H125" i="76" s="1"/>
  <c r="H127" i="76" s="1"/>
  <c r="C142" i="78"/>
  <c r="H125" i="78"/>
  <c r="H127" i="78" s="1"/>
  <c r="AT9" i="9"/>
  <c r="H125" i="73"/>
  <c r="L13" i="15"/>
  <c r="AT18" i="9"/>
  <c r="C71" i="72"/>
  <c r="C134" i="72"/>
  <c r="C142" i="75"/>
  <c r="H125" i="75"/>
  <c r="I126" i="75"/>
  <c r="C137" i="58" a="1"/>
  <c r="C137" i="58" s="1"/>
  <c r="C142" i="58" s="1"/>
  <c r="C68" i="58"/>
  <c r="C70" i="58" s="1"/>
  <c r="C71" i="58" s="1"/>
  <c r="K4" i="15"/>
  <c r="I126" i="72"/>
  <c r="C71" i="62"/>
  <c r="C134" i="62"/>
  <c r="J13" i="15"/>
  <c r="AR18" i="9"/>
  <c r="H13" i="15"/>
  <c r="AP18" i="9"/>
  <c r="I4" i="15"/>
  <c r="AQ9" i="9"/>
  <c r="H125" i="67"/>
  <c r="C142" i="67"/>
  <c r="I7" i="15"/>
  <c r="I126" i="67"/>
  <c r="C70" i="64"/>
  <c r="C71" i="64" s="1"/>
  <c r="C123" i="64"/>
  <c r="C76" i="64"/>
  <c r="H125" i="57"/>
  <c r="C142" i="64"/>
  <c r="C159" i="64" s="1"/>
  <c r="C77" i="58"/>
  <c r="C142" i="57"/>
  <c r="I125" i="58"/>
  <c r="C123" i="51"/>
  <c r="C70" i="51"/>
  <c r="C71" i="51" s="1"/>
  <c r="H128" i="51"/>
  <c r="I124" i="51" s="1"/>
  <c r="C77" i="51"/>
  <c r="H126" i="33"/>
  <c r="C125" i="33"/>
  <c r="C147" i="33" s="1"/>
  <c r="C149" i="33" s="1"/>
  <c r="J132" i="32"/>
  <c r="J133" i="32" s="1"/>
  <c r="J134" i="32" s="1"/>
  <c r="I132" i="32"/>
  <c r="I133" i="32" s="1"/>
  <c r="I134" i="32" s="1"/>
  <c r="H132" i="32"/>
  <c r="H133" i="32" s="1"/>
  <c r="H134" i="32" s="1"/>
  <c r="C154" i="25"/>
  <c r="AL36" i="9"/>
  <c r="D31" i="15"/>
  <c r="C147" i="32"/>
  <c r="I125" i="32"/>
  <c r="I135" i="32"/>
  <c r="I136" i="32" s="1"/>
  <c r="J135" i="32"/>
  <c r="J136" i="32" s="1"/>
  <c r="H135" i="32"/>
  <c r="H136" i="32" s="1"/>
  <c r="H132" i="26"/>
  <c r="H133" i="26" s="1"/>
  <c r="H134" i="26" s="1"/>
  <c r="H135" i="26" s="1"/>
  <c r="H136" i="26" s="1"/>
  <c r="I132" i="26"/>
  <c r="I133" i="26" s="1"/>
  <c r="I134" i="26" s="1"/>
  <c r="I135" i="26" s="1"/>
  <c r="I136" i="26" s="1"/>
  <c r="J132" i="26"/>
  <c r="J133" i="26" s="1"/>
  <c r="J134" i="26" s="1"/>
  <c r="J135" i="26" s="1"/>
  <c r="J136" i="26" s="1"/>
  <c r="I132" i="25"/>
  <c r="I133" i="25" s="1"/>
  <c r="I134" i="25" s="1"/>
  <c r="I135" i="25" s="1"/>
  <c r="I136" i="25" s="1"/>
  <c r="H132" i="25"/>
  <c r="H133" i="25" s="1"/>
  <c r="H134" i="25" s="1"/>
  <c r="H135" i="25" s="1"/>
  <c r="H136" i="25" s="1"/>
  <c r="J132" i="25"/>
  <c r="J133" i="25" s="1"/>
  <c r="J134" i="25" s="1"/>
  <c r="J135" i="25" s="1"/>
  <c r="J136" i="25" s="1"/>
  <c r="C142" i="14"/>
  <c r="I124" i="14"/>
  <c r="H127" i="14"/>
  <c r="H129" i="14" s="1"/>
  <c r="M21" i="15" l="1"/>
  <c r="AU26" i="9"/>
  <c r="C159" i="78"/>
  <c r="L21" i="15"/>
  <c r="AT26" i="9"/>
  <c r="C142" i="72"/>
  <c r="H125" i="72"/>
  <c r="AS18" i="9"/>
  <c r="K13" i="15"/>
  <c r="C147" i="75"/>
  <c r="C159" i="75"/>
  <c r="C162" i="75" s="1"/>
  <c r="C165" i="75" s="1"/>
  <c r="I125" i="75"/>
  <c r="H127" i="75"/>
  <c r="H129" i="75" s="1"/>
  <c r="I132" i="75" s="1"/>
  <c r="I133" i="75" s="1"/>
  <c r="I134" i="75" s="1"/>
  <c r="I135" i="75" s="1"/>
  <c r="I136" i="75" s="1"/>
  <c r="C123" i="58"/>
  <c r="C124" i="58" s="1"/>
  <c r="H126" i="58" s="1"/>
  <c r="AQ18" i="9"/>
  <c r="I13" i="15"/>
  <c r="H125" i="62"/>
  <c r="C142" i="62"/>
  <c r="J21" i="15"/>
  <c r="AR26" i="9"/>
  <c r="H21" i="15"/>
  <c r="AP26" i="9"/>
  <c r="C147" i="67"/>
  <c r="AR31" i="9" s="1"/>
  <c r="C159" i="67"/>
  <c r="I125" i="67"/>
  <c r="H127" i="67"/>
  <c r="H129" i="67" s="1"/>
  <c r="J132" i="67" s="1"/>
  <c r="J133" i="67" s="1"/>
  <c r="J134" i="67" s="1"/>
  <c r="J135" i="67" s="1"/>
  <c r="J136" i="67" s="1"/>
  <c r="C161" i="64"/>
  <c r="C124" i="64"/>
  <c r="C160" i="64" s="1"/>
  <c r="C77" i="64"/>
  <c r="H128" i="64"/>
  <c r="C124" i="51"/>
  <c r="H127" i="33"/>
  <c r="H129" i="33" s="1"/>
  <c r="I126" i="33"/>
  <c r="C149" i="32"/>
  <c r="C151" i="32"/>
  <c r="AL38" i="9"/>
  <c r="D33" i="15"/>
  <c r="C151" i="26"/>
  <c r="C152" i="26" s="1"/>
  <c r="C154" i="26" s="1"/>
  <c r="C147" i="14"/>
  <c r="I132" i="14"/>
  <c r="I133" i="14" s="1"/>
  <c r="I134" i="14" s="1"/>
  <c r="I135" i="14" s="1"/>
  <c r="I136" i="14" s="1"/>
  <c r="H132" i="14"/>
  <c r="H133" i="14" s="1"/>
  <c r="H134" i="14" s="1"/>
  <c r="H135" i="14" s="1"/>
  <c r="H136" i="14" s="1"/>
  <c r="J132" i="14"/>
  <c r="J133" i="14" s="1"/>
  <c r="J134" i="14" s="1"/>
  <c r="J135" i="14" s="1"/>
  <c r="J136" i="14" s="1"/>
  <c r="L26" i="15" l="1"/>
  <c r="AT31" i="9"/>
  <c r="AS26" i="9"/>
  <c r="K21" i="15"/>
  <c r="C147" i="72"/>
  <c r="C159" i="72"/>
  <c r="C162" i="72" s="1"/>
  <c r="C165" i="72" s="1"/>
  <c r="H127" i="72"/>
  <c r="H129" i="72" s="1"/>
  <c r="I125" i="72"/>
  <c r="C148" i="75"/>
  <c r="AT32" i="9" s="1"/>
  <c r="H132" i="75"/>
  <c r="H133" i="75" s="1"/>
  <c r="H134" i="75" s="1"/>
  <c r="H135" i="75" s="1"/>
  <c r="H136" i="75" s="1"/>
  <c r="J132" i="75"/>
  <c r="J133" i="75" s="1"/>
  <c r="J134" i="75" s="1"/>
  <c r="J135" i="75" s="1"/>
  <c r="J136" i="75" s="1"/>
  <c r="C125" i="58"/>
  <c r="C147" i="58" s="1"/>
  <c r="C148" i="58" s="1"/>
  <c r="C149" i="58" s="1"/>
  <c r="C152" i="58" s="1"/>
  <c r="I125" i="62"/>
  <c r="H127" i="62"/>
  <c r="H129" i="62" s="1"/>
  <c r="AQ26" i="9"/>
  <c r="H142" i="62"/>
  <c r="H145" i="62" s="1"/>
  <c r="H148" i="62" s="1"/>
  <c r="C147" i="62"/>
  <c r="C159" i="62"/>
  <c r="C162" i="62" s="1"/>
  <c r="C165" i="62" s="1"/>
  <c r="I21" i="15"/>
  <c r="C162" i="67"/>
  <c r="C148" i="67"/>
  <c r="AR32" i="9" s="1"/>
  <c r="J26" i="15"/>
  <c r="I125" i="64"/>
  <c r="I124" i="64"/>
  <c r="I132" i="67"/>
  <c r="I133" i="67" s="1"/>
  <c r="I134" i="67" s="1"/>
  <c r="I135" i="67" s="1"/>
  <c r="I136" i="67" s="1"/>
  <c r="H132" i="67"/>
  <c r="H133" i="67" s="1"/>
  <c r="H134" i="67" s="1"/>
  <c r="H135" i="67" s="1"/>
  <c r="H136" i="67" s="1"/>
  <c r="C162" i="64"/>
  <c r="C165" i="64" s="1"/>
  <c r="B4" i="4"/>
  <c r="H126" i="64"/>
  <c r="C125" i="64"/>
  <c r="C147" i="64" s="1"/>
  <c r="C148" i="64" s="1"/>
  <c r="C149" i="64" s="1"/>
  <c r="H127" i="58"/>
  <c r="H129" i="58" s="1"/>
  <c r="I126" i="58"/>
  <c r="H126" i="51"/>
  <c r="I126" i="51" s="1"/>
  <c r="C125" i="51"/>
  <c r="J132" i="33"/>
  <c r="J133" i="33" s="1"/>
  <c r="J134" i="33" s="1"/>
  <c r="J135" i="33" s="1"/>
  <c r="J136" i="33" s="1"/>
  <c r="H132" i="33"/>
  <c r="H133" i="33" s="1"/>
  <c r="H134" i="33" s="1"/>
  <c r="H135" i="33" s="1"/>
  <c r="H136" i="33" s="1"/>
  <c r="I132" i="33"/>
  <c r="I133" i="33" s="1"/>
  <c r="I134" i="33" s="1"/>
  <c r="I135" i="33" s="1"/>
  <c r="I136" i="33" s="1"/>
  <c r="C152" i="32"/>
  <c r="C149" i="14"/>
  <c r="C14" i="66" a="1"/>
  <c r="C14" i="61" a="1"/>
  <c r="F12" i="66" a="1"/>
  <c r="C148" i="72" l="1"/>
  <c r="K26" i="15"/>
  <c r="AS31" i="9"/>
  <c r="I132" i="72"/>
  <c r="I133" i="72" s="1"/>
  <c r="I134" i="72" s="1"/>
  <c r="I135" i="72" s="1"/>
  <c r="I136" i="72" s="1"/>
  <c r="H132" i="72"/>
  <c r="H133" i="72" s="1"/>
  <c r="H134" i="72" s="1"/>
  <c r="H135" i="72" s="1"/>
  <c r="H136" i="72" s="1"/>
  <c r="J132" i="72"/>
  <c r="J133" i="72" s="1"/>
  <c r="J134" i="72" s="1"/>
  <c r="J135" i="72" s="1"/>
  <c r="J136" i="72" s="1"/>
  <c r="C149" i="75"/>
  <c r="AT33" i="9" s="1"/>
  <c r="L27" i="15"/>
  <c r="AQ31" i="9"/>
  <c r="C148" i="62"/>
  <c r="I27" i="15" s="1"/>
  <c r="I26" i="15"/>
  <c r="I132" i="62"/>
  <c r="I133" i="62" s="1"/>
  <c r="I134" i="62" s="1"/>
  <c r="I135" i="62" s="1"/>
  <c r="I136" i="62" s="1"/>
  <c r="J132" i="62"/>
  <c r="J133" i="62" s="1"/>
  <c r="J134" i="62" s="1"/>
  <c r="J135" i="62" s="1"/>
  <c r="J136" i="62" s="1"/>
  <c r="H132" i="62"/>
  <c r="H133" i="62" s="1"/>
  <c r="H134" i="62" s="1"/>
  <c r="H135" i="62" s="1"/>
  <c r="H136" i="62" s="1"/>
  <c r="C165" i="67"/>
  <c r="J27" i="15"/>
  <c r="C149" i="67"/>
  <c r="AR33" i="9" s="1"/>
  <c r="C152" i="64"/>
  <c r="I126" i="64"/>
  <c r="H127" i="64"/>
  <c r="H129" i="64" s="1"/>
  <c r="J132" i="64" s="1"/>
  <c r="J133" i="64" s="1"/>
  <c r="J134" i="64" s="1"/>
  <c r="J135" i="64" s="1"/>
  <c r="J136" i="64" s="1"/>
  <c r="C14" i="61"/>
  <c r="F12" i="66"/>
  <c r="F13" i="66" s="1"/>
  <c r="C14" i="66"/>
  <c r="J132" i="58"/>
  <c r="J133" i="58" s="1"/>
  <c r="J134" i="58" s="1"/>
  <c r="J135" i="58" s="1"/>
  <c r="J136" i="58" s="1"/>
  <c r="I132" i="58"/>
  <c r="I133" i="58" s="1"/>
  <c r="I134" i="58" s="1"/>
  <c r="I135" i="58" s="1"/>
  <c r="I136" i="58" s="1"/>
  <c r="H132" i="58"/>
  <c r="H133" i="58" s="1"/>
  <c r="H134" i="58" s="1"/>
  <c r="H135" i="58" s="1"/>
  <c r="H136" i="58" s="1"/>
  <c r="C154" i="32"/>
  <c r="C152" i="14"/>
  <c r="K27" i="15" l="1"/>
  <c r="C149" i="72"/>
  <c r="AS32" i="9"/>
  <c r="L28" i="15"/>
  <c r="C152" i="75"/>
  <c r="AQ32" i="9"/>
  <c r="C149" i="62"/>
  <c r="I28" i="15" s="1"/>
  <c r="J28" i="15"/>
  <c r="C152" i="67"/>
  <c r="H132" i="64"/>
  <c r="H133" i="64" s="1"/>
  <c r="H134" i="64" s="1"/>
  <c r="H135" i="64" s="1"/>
  <c r="H136" i="64" s="1"/>
  <c r="I132" i="64"/>
  <c r="I133" i="64" s="1"/>
  <c r="I134" i="64" s="1"/>
  <c r="I135" i="64" s="1"/>
  <c r="I136" i="64" s="1"/>
  <c r="C152" i="33"/>
  <c r="C154" i="33" s="1"/>
  <c r="C154" i="14"/>
  <c r="J72" i="37"/>
  <c r="C75" i="37" s="1"/>
  <c r="B29" i="35"/>
  <c r="C29" i="44" s="1"/>
  <c r="L31" i="15" l="1"/>
  <c r="AT36" i="9"/>
  <c r="C152" i="72"/>
  <c r="K28" i="15"/>
  <c r="AS33" i="9"/>
  <c r="AQ33" i="9"/>
  <c r="C152" i="62"/>
  <c r="J31" i="15"/>
  <c r="AR36" i="9"/>
  <c r="C29" i="37"/>
  <c r="B31" i="35"/>
  <c r="H72" i="37"/>
  <c r="AS36" i="9" l="1"/>
  <c r="K31" i="15"/>
  <c r="I31" i="15"/>
  <c r="AQ36" i="9"/>
  <c r="B32" i="35"/>
  <c r="C30" i="37"/>
  <c r="C32" i="37" s="1"/>
  <c r="H75" i="37"/>
  <c r="J75" i="37" s="1"/>
  <c r="C69" i="37" s="1"/>
  <c r="C134" i="37" s="1"/>
  <c r="K71" i="37"/>
  <c r="H73" i="37"/>
  <c r="B24" i="35"/>
  <c r="J73" i="37" l="1"/>
  <c r="C76" i="37" s="1"/>
  <c r="F24" i="37"/>
  <c r="C33" i="37" s="1"/>
  <c r="C34" i="37" s="1"/>
  <c r="C35" i="37" s="1"/>
  <c r="F24" i="44"/>
  <c r="H79" i="37"/>
  <c r="C137" i="37" a="1"/>
  <c r="C137" i="37" s="1"/>
  <c r="C68" i="37"/>
  <c r="H128" i="37" l="1"/>
  <c r="I124" i="37" s="1"/>
  <c r="C77" i="37"/>
  <c r="C76" i="44"/>
  <c r="N24" i="37"/>
  <c r="N22" i="37"/>
  <c r="N21" i="37"/>
  <c r="N20" i="37"/>
  <c r="C20" i="37"/>
  <c r="C135" i="37" s="1"/>
  <c r="N19" i="37"/>
  <c r="C135" i="44"/>
  <c r="AN19" i="9" s="1"/>
  <c r="N24" i="44"/>
  <c r="N19" i="44"/>
  <c r="N20" i="44"/>
  <c r="N21" i="44"/>
  <c r="N22" i="44"/>
  <c r="C33" i="44"/>
  <c r="C35" i="44" s="1"/>
  <c r="C123" i="37"/>
  <c r="C124" i="37" s="1"/>
  <c r="C70" i="37"/>
  <c r="C71" i="37" s="1"/>
  <c r="H126" i="44" l="1"/>
  <c r="C125" i="44"/>
  <c r="AN9" i="9" s="1"/>
  <c r="H128" i="44"/>
  <c r="I124" i="44" s="1"/>
  <c r="C77" i="44"/>
  <c r="N23" i="37"/>
  <c r="C19" i="37" s="1"/>
  <c r="C22" i="37" s="1"/>
  <c r="N23" i="44"/>
  <c r="C19" i="44" s="1"/>
  <c r="C22" i="44" s="1"/>
  <c r="H125" i="37"/>
  <c r="I125" i="37" s="1"/>
  <c r="C142" i="37"/>
  <c r="H125" i="44"/>
  <c r="C142" i="44"/>
  <c r="AN26" i="9" s="1"/>
  <c r="C147" i="44" l="1"/>
  <c r="I126" i="44"/>
  <c r="H127" i="44"/>
  <c r="H129" i="44" s="1"/>
  <c r="I125" i="44"/>
  <c r="H126" i="37"/>
  <c r="C125" i="37"/>
  <c r="C147" i="37" s="1"/>
  <c r="C149" i="37" s="1"/>
  <c r="AN31" i="9" l="1"/>
  <c r="C148" i="44"/>
  <c r="I132" i="44"/>
  <c r="I133" i="44" s="1"/>
  <c r="I134" i="44" s="1"/>
  <c r="I135" i="44" s="1"/>
  <c r="I136" i="44" s="1"/>
  <c r="H132" i="44"/>
  <c r="H133" i="44" s="1"/>
  <c r="H134" i="44" s="1"/>
  <c r="H135" i="44" s="1"/>
  <c r="H136" i="44" s="1"/>
  <c r="J132" i="44"/>
  <c r="J133" i="44" s="1"/>
  <c r="J134" i="44" s="1"/>
  <c r="J135" i="44" s="1"/>
  <c r="J136" i="44" s="1"/>
  <c r="I126" i="37"/>
  <c r="H127" i="37"/>
  <c r="H129" i="37" s="1"/>
  <c r="C152" i="37"/>
  <c r="C154" i="37" s="1"/>
  <c r="B13" i="35" s="1"/>
  <c r="B12" i="35"/>
  <c r="AN32" i="9" l="1"/>
  <c r="C149" i="44"/>
  <c r="I132" i="37"/>
  <c r="I133" i="37" s="1"/>
  <c r="I134" i="37" s="1"/>
  <c r="I135" i="37" s="1"/>
  <c r="I136" i="37" s="1"/>
  <c r="H132" i="37"/>
  <c r="H133" i="37" s="1"/>
  <c r="H134" i="37" s="1"/>
  <c r="H135" i="37" s="1"/>
  <c r="H136" i="37" s="1"/>
  <c r="J132" i="37"/>
  <c r="J133" i="37" s="1"/>
  <c r="J134" i="37" s="1"/>
  <c r="J135" i="37" s="1"/>
  <c r="J136" i="37" s="1"/>
  <c r="C29" i="47"/>
  <c r="C30" i="47"/>
  <c r="C33" i="47"/>
  <c r="C29" i="50" l="1"/>
  <c r="C25" i="50" s="1"/>
  <c r="C34" i="51"/>
  <c r="C35" i="47"/>
  <c r="C25" i="51" s="1"/>
  <c r="C20" i="50"/>
  <c r="C35" i="50"/>
  <c r="C152" i="44"/>
  <c r="AN33" i="9"/>
  <c r="C29" i="48"/>
  <c r="C34" i="48" s="1"/>
  <c r="C31" i="47"/>
  <c r="C28" i="47" s="1"/>
  <c r="H72" i="48"/>
  <c r="C35" i="51" l="1"/>
  <c r="C20" i="51"/>
  <c r="C135" i="50"/>
  <c r="C22" i="50"/>
  <c r="C30" i="48"/>
  <c r="C25" i="48" s="1"/>
  <c r="AN36" i="9"/>
  <c r="C154" i="44"/>
  <c r="AN38" i="9" s="1"/>
  <c r="C35" i="48"/>
  <c r="C20" i="48"/>
  <c r="K71" i="48"/>
  <c r="H73" i="48"/>
  <c r="H75" i="48"/>
  <c r="G14" i="15" l="1"/>
  <c r="AO19" i="9"/>
  <c r="C135" i="51"/>
  <c r="C22" i="51"/>
  <c r="C142" i="50"/>
  <c r="H125" i="50"/>
  <c r="C22" i="48"/>
  <c r="C135" i="48"/>
  <c r="C68" i="48"/>
  <c r="J73" i="48"/>
  <c r="C76" i="48" s="1"/>
  <c r="C137" i="48" a="1"/>
  <c r="C137" i="48" s="1"/>
  <c r="H79" i="48"/>
  <c r="J75" i="48"/>
  <c r="C69" i="48" s="1"/>
  <c r="C134" i="48" s="1"/>
  <c r="D43" i="47"/>
  <c r="H125" i="48" l="1"/>
  <c r="G21" i="15"/>
  <c r="AO26" i="9"/>
  <c r="C142" i="51"/>
  <c r="C147" i="51" s="1"/>
  <c r="C148" i="51" s="1"/>
  <c r="C149" i="51" s="1"/>
  <c r="H125" i="51"/>
  <c r="C70" i="48"/>
  <c r="C71" i="48" s="1"/>
  <c r="C123" i="48"/>
  <c r="H128" i="48"/>
  <c r="I124" i="48" s="1"/>
  <c r="C77" i="48"/>
  <c r="C142" i="48"/>
  <c r="C14" i="60" a="1"/>
  <c r="C14" i="60" l="1"/>
  <c r="I125" i="51"/>
  <c r="H127" i="51"/>
  <c r="H129" i="51" s="1"/>
  <c r="C124" i="48"/>
  <c r="I125" i="48"/>
  <c r="C14" i="52" a="1"/>
  <c r="C14" i="52" l="1"/>
  <c r="H132" i="51"/>
  <c r="H133" i="51" s="1"/>
  <c r="H134" i="51" s="1"/>
  <c r="H135" i="51" s="1"/>
  <c r="H136" i="51" s="1"/>
  <c r="I132" i="51"/>
  <c r="I133" i="51" s="1"/>
  <c r="I134" i="51" s="1"/>
  <c r="I135" i="51" s="1"/>
  <c r="I136" i="51" s="1"/>
  <c r="J132" i="51"/>
  <c r="J133" i="51" s="1"/>
  <c r="J134" i="51" s="1"/>
  <c r="J135" i="51" s="1"/>
  <c r="J136" i="51" s="1"/>
  <c r="H126" i="48"/>
  <c r="C125" i="48"/>
  <c r="C147" i="48" s="1"/>
  <c r="C148" i="48" s="1"/>
  <c r="C149" i="48" s="1"/>
  <c r="H127" i="48" l="1"/>
  <c r="H129" i="48" s="1"/>
  <c r="I126" i="48"/>
  <c r="C152" i="48"/>
  <c r="C154" i="48" s="1"/>
  <c r="C15" i="47" s="1"/>
  <c r="C14" i="47"/>
  <c r="H132" i="48" l="1"/>
  <c r="H133" i="48" s="1"/>
  <c r="H134" i="48" s="1"/>
  <c r="H135" i="48" s="1"/>
  <c r="H136" i="48" s="1"/>
  <c r="I132" i="48"/>
  <c r="I133" i="48" s="1"/>
  <c r="I134" i="48" s="1"/>
  <c r="I135" i="48" s="1"/>
  <c r="I136" i="48" s="1"/>
  <c r="J132" i="48"/>
  <c r="J133" i="48" s="1"/>
  <c r="J134" i="48" s="1"/>
  <c r="J135" i="48" s="1"/>
  <c r="J136" i="48" s="1"/>
  <c r="F69" i="50" l="1"/>
  <c r="C68" i="50" l="1"/>
  <c r="C123" i="50" s="1"/>
  <c r="G69" i="50"/>
  <c r="H69" i="50"/>
  <c r="I69" i="50"/>
  <c r="J73" i="50"/>
  <c r="C76" i="50" s="1"/>
  <c r="AO7" i="9" l="1"/>
  <c r="C124" i="50"/>
  <c r="C125" i="50" s="1"/>
  <c r="AO9" i="9" s="1"/>
  <c r="G2" i="15"/>
  <c r="H128" i="50"/>
  <c r="C77" i="50"/>
  <c r="C70" i="50"/>
  <c r="C71" i="50" s="1"/>
  <c r="I125" i="50" l="1"/>
  <c r="I124" i="50"/>
  <c r="H126" i="50"/>
  <c r="AO8" i="9"/>
  <c r="G3" i="15"/>
  <c r="G4" i="15"/>
  <c r="C147" i="50"/>
  <c r="I126" i="50" l="1"/>
  <c r="H127" i="50"/>
  <c r="H129" i="50" s="1"/>
  <c r="G26" i="15"/>
  <c r="AO31" i="9"/>
  <c r="C148" i="50"/>
  <c r="C149" i="50" s="1"/>
  <c r="I132" i="50" l="1"/>
  <c r="I133" i="50" s="1"/>
  <c r="I134" i="50" s="1"/>
  <c r="I135" i="50" s="1"/>
  <c r="I136" i="50" s="1"/>
  <c r="H132" i="50"/>
  <c r="H133" i="50" s="1"/>
  <c r="H134" i="50" s="1"/>
  <c r="H135" i="50" s="1"/>
  <c r="H136" i="50" s="1"/>
  <c r="J132" i="50"/>
  <c r="J133" i="50" s="1"/>
  <c r="J134" i="50" s="1"/>
  <c r="J135" i="50" s="1"/>
  <c r="J136" i="50" s="1"/>
  <c r="G27" i="15"/>
  <c r="AO32" i="9"/>
  <c r="C152" i="50"/>
  <c r="G28" i="15"/>
  <c r="AO33" i="9"/>
  <c r="AO36" i="9" l="1"/>
  <c r="C154" i="50"/>
  <c r="G31" i="15"/>
  <c r="AO38" i="9" l="1"/>
  <c r="G33" i="15"/>
  <c r="C151" i="57" l="1"/>
  <c r="C17" i="60"/>
  <c r="C17" i="52"/>
  <c r="C151" i="51"/>
  <c r="C152" i="51" s="1"/>
  <c r="C154" i="51" s="1"/>
  <c r="C15" i="60" a="1"/>
  <c r="H30" i="15" l="1"/>
  <c r="AP35" i="9"/>
  <c r="C15" i="60"/>
  <c r="C15" i="52" a="1"/>
  <c r="C15" i="52" l="1"/>
  <c r="C137" i="56" a="1"/>
  <c r="C137" i="56" s="1"/>
  <c r="C142" i="56" s="1"/>
  <c r="C159" i="56" s="1"/>
  <c r="F69" i="57" l="1" a="1"/>
  <c r="F69" i="57" s="1"/>
  <c r="C68" i="57" l="1"/>
  <c r="C123" i="57" s="1"/>
  <c r="G69" i="57" a="1"/>
  <c r="G69" i="57" s="1"/>
  <c r="H69" i="57" a="1"/>
  <c r="H69" i="57" s="1"/>
  <c r="I69" i="57" a="1"/>
  <c r="I69" i="57" s="1"/>
  <c r="J73" i="57"/>
  <c r="C76" i="57" s="1"/>
  <c r="H2" i="15" l="1"/>
  <c r="AP7" i="9"/>
  <c r="C124" i="57"/>
  <c r="C70" i="57"/>
  <c r="C71" i="57" s="1"/>
  <c r="H128" i="57"/>
  <c r="C77" i="57"/>
  <c r="H3" i="15" l="1"/>
  <c r="AP8" i="9"/>
  <c r="I125" i="57"/>
  <c r="I124" i="57"/>
  <c r="H126" i="57"/>
  <c r="C125" i="57"/>
  <c r="AP9" i="9" s="1"/>
  <c r="C147" i="57" l="1"/>
  <c r="AP31" i="9" s="1"/>
  <c r="H4" i="15"/>
  <c r="H127" i="57"/>
  <c r="H129" i="57" s="1"/>
  <c r="I126" i="57"/>
  <c r="H26" i="15" l="1"/>
  <c r="C148" i="57"/>
  <c r="AP32" i="9" s="1"/>
  <c r="I132" i="57"/>
  <c r="I133" i="57" s="1"/>
  <c r="I134" i="57" s="1"/>
  <c r="I135" i="57" s="1"/>
  <c r="I136" i="57" s="1"/>
  <c r="H132" i="57"/>
  <c r="H133" i="57" s="1"/>
  <c r="H134" i="57" s="1"/>
  <c r="H135" i="57" s="1"/>
  <c r="H136" i="57" s="1"/>
  <c r="J132" i="57"/>
  <c r="J133" i="57" s="1"/>
  <c r="J134" i="57" s="1"/>
  <c r="J135" i="57" s="1"/>
  <c r="J136" i="57" s="1"/>
  <c r="C149" i="57" l="1"/>
  <c r="AP33" i="9" s="1"/>
  <c r="H27" i="15"/>
  <c r="C152" i="57" l="1"/>
  <c r="AP36" i="9" s="1"/>
  <c r="H28" i="15"/>
  <c r="C154" i="57" l="1"/>
  <c r="H31" i="15"/>
  <c r="H33" i="15" l="1"/>
  <c r="AP38" i="9"/>
  <c r="C28" i="61"/>
  <c r="C151" i="62" l="1"/>
  <c r="I30" i="15" s="1"/>
  <c r="C151" i="58"/>
  <c r="C154" i="58" s="1"/>
  <c r="C17" i="61"/>
  <c r="C15" i="61" a="1"/>
  <c r="AQ35" i="9" l="1"/>
  <c r="C154" i="62"/>
  <c r="C15" i="61"/>
  <c r="B10" i="4"/>
  <c r="F12" i="4" s="1"/>
  <c r="F13" i="4" s="1"/>
  <c r="I33" i="15" l="1"/>
  <c r="C17" i="66" s="1"/>
  <c r="AQ38" i="9"/>
  <c r="C12" i="4"/>
  <c r="C13" i="4" s="1"/>
  <c r="E12" i="4"/>
  <c r="E13" i="4" s="1"/>
  <c r="B12" i="4"/>
  <c r="B13" i="4" s="1"/>
  <c r="D12" i="4"/>
  <c r="D13" i="4" s="1"/>
  <c r="F16" i="4"/>
  <c r="F14" i="4"/>
  <c r="F15" i="4" s="1"/>
  <c r="F73" i="56"/>
  <c r="F69" i="56" s="1" a="1"/>
  <c r="F69" i="56" s="1"/>
  <c r="G73" i="56"/>
  <c r="G69" i="56" s="1" a="1"/>
  <c r="G69" i="56" s="1"/>
  <c r="H73" i="56"/>
  <c r="H69" i="56" s="1" a="1"/>
  <c r="H69" i="56" s="1"/>
  <c r="I73" i="56"/>
  <c r="I69" i="56" s="1" a="1"/>
  <c r="I69" i="56" s="1"/>
  <c r="C151" i="67" l="1"/>
  <c r="J30" i="15" s="1"/>
  <c r="C151" i="64"/>
  <c r="C154" i="64" s="1"/>
  <c r="C68" i="56"/>
  <c r="J73" i="56"/>
  <c r="B14" i="4"/>
  <c r="B15" i="4" s="1"/>
  <c r="B16" i="4"/>
  <c r="C16" i="4"/>
  <c r="C14" i="4"/>
  <c r="C15" i="4" s="1"/>
  <c r="E14" i="4"/>
  <c r="E15" i="4" s="1"/>
  <c r="E16" i="4"/>
  <c r="D14" i="4"/>
  <c r="D15" i="4" s="1"/>
  <c r="D16" i="4"/>
  <c r="AR35" i="9" l="1"/>
  <c r="C154" i="67"/>
  <c r="J33" i="15" s="1"/>
  <c r="C151" i="72" s="1"/>
  <c r="AS35" i="9" s="1"/>
  <c r="C123" i="56"/>
  <c r="C124" i="56" s="1"/>
  <c r="C70" i="56"/>
  <c r="C71" i="56" s="1"/>
  <c r="C164" i="56"/>
  <c r="C76" i="56"/>
  <c r="C15" i="66" a="1"/>
  <c r="AR38" i="9" l="1"/>
  <c r="C15" i="66"/>
  <c r="C154" i="72"/>
  <c r="K30" i="15"/>
  <c r="C17" i="68"/>
  <c r="C151" i="69"/>
  <c r="C125" i="56"/>
  <c r="C147" i="56" s="1"/>
  <c r="C148" i="56" s="1"/>
  <c r="C149" i="56" s="1"/>
  <c r="C152" i="56" s="1"/>
  <c r="C161" i="56"/>
  <c r="C77" i="56"/>
  <c r="H128" i="56"/>
  <c r="K33" i="15" l="1"/>
  <c r="AS38" i="9"/>
  <c r="C160" i="56"/>
  <c r="C162" i="56" s="1"/>
  <c r="C165" i="56" s="1"/>
  <c r="H126" i="56"/>
  <c r="I125" i="56"/>
  <c r="I124" i="56"/>
  <c r="C151" i="75" l="1"/>
  <c r="AT35" i="9" s="1"/>
  <c r="C151" i="73"/>
  <c r="C17" i="74"/>
  <c r="H127" i="56"/>
  <c r="H129" i="56" s="1"/>
  <c r="I126" i="56"/>
  <c r="C154" i="75" l="1"/>
  <c r="L30" i="15"/>
  <c r="J132" i="56"/>
  <c r="J133" i="56" s="1"/>
  <c r="J134" i="56" s="1"/>
  <c r="J135" i="56" s="1"/>
  <c r="J136" i="56" s="1"/>
  <c r="I132" i="56"/>
  <c r="I133" i="56" s="1"/>
  <c r="I134" i="56" s="1"/>
  <c r="I135" i="56" s="1"/>
  <c r="I136" i="56" s="1"/>
  <c r="H132" i="56"/>
  <c r="H133" i="56" s="1"/>
  <c r="H134" i="56" s="1"/>
  <c r="H135" i="56" s="1"/>
  <c r="H136" i="56" s="1"/>
  <c r="I69" i="69" a="1"/>
  <c r="G69" i="69" a="1"/>
  <c r="H69" i="69" a="1"/>
  <c r="L33" i="15" l="1"/>
  <c r="C17" i="54" s="1"/>
  <c r="AT38" i="9"/>
  <c r="H69" i="69"/>
  <c r="H73" i="69" s="1"/>
  <c r="I69" i="69"/>
  <c r="I73" i="69" s="1"/>
  <c r="G69" i="69"/>
  <c r="G73" i="69" s="1"/>
  <c r="C151" i="78" l="1"/>
  <c r="M30" i="15" s="1"/>
  <c r="C151" i="56"/>
  <c r="C154" i="56" s="1"/>
  <c r="C17" i="77"/>
  <c r="C151" i="76"/>
  <c r="J73" i="69"/>
  <c r="C68" i="69"/>
  <c r="C137" i="69" a="1"/>
  <c r="C137" i="69" s="1"/>
  <c r="C142" i="69" s="1"/>
  <c r="C159" i="69" s="1"/>
  <c r="AU35" i="9" l="1"/>
  <c r="C123" i="69"/>
  <c r="C70" i="69"/>
  <c r="C71" i="69" s="1"/>
  <c r="C164" i="69"/>
  <c r="C76" i="69"/>
  <c r="C77" i="69" l="1"/>
  <c r="H128" i="69"/>
  <c r="C124" i="69"/>
  <c r="C161" i="69"/>
  <c r="C125" i="69" l="1"/>
  <c r="C147" i="69" s="1"/>
  <c r="C148" i="69" s="1"/>
  <c r="C149" i="69" s="1"/>
  <c r="C160" i="69"/>
  <c r="C162" i="69" s="1"/>
  <c r="C165" i="69" s="1"/>
  <c r="H126" i="69"/>
  <c r="I125" i="69"/>
  <c r="I124" i="69"/>
  <c r="F12" i="68" a="1"/>
  <c r="C14" i="68" a="1"/>
  <c r="F12" i="68" l="1"/>
  <c r="F13" i="68" s="1"/>
  <c r="C14" i="68"/>
  <c r="I126" i="69"/>
  <c r="H127" i="69"/>
  <c r="H129" i="69" s="1"/>
  <c r="C152" i="69"/>
  <c r="C154" i="69" s="1"/>
  <c r="C15" i="68" a="1"/>
  <c r="C15" i="68" l="1"/>
  <c r="I132" i="69"/>
  <c r="I133" i="69" s="1"/>
  <c r="I134" i="69" s="1"/>
  <c r="I135" i="69" s="1"/>
  <c r="I136" i="69" s="1"/>
  <c r="J132" i="69"/>
  <c r="J133" i="69" s="1"/>
  <c r="J134" i="69" s="1"/>
  <c r="J135" i="69" s="1"/>
  <c r="J136" i="69" s="1"/>
  <c r="H132" i="69"/>
  <c r="H133" i="69" s="1"/>
  <c r="H134" i="69" s="1"/>
  <c r="H135" i="69" s="1"/>
  <c r="H136" i="69" s="1"/>
  <c r="I73" i="78" l="1"/>
  <c r="I69" i="78" a="1"/>
  <c r="I69" i="78" s="1"/>
  <c r="H69" i="73" a="1"/>
  <c r="H69" i="76" a="1"/>
  <c r="I69" i="76" a="1"/>
  <c r="G69" i="73" a="1"/>
  <c r="I69" i="73" a="1"/>
  <c r="G69" i="76" a="1"/>
  <c r="G69" i="76" l="1"/>
  <c r="G73" i="76" s="1"/>
  <c r="H69" i="76"/>
  <c r="H73" i="76" s="1"/>
  <c r="I69" i="76"/>
  <c r="I73" i="76" s="1"/>
  <c r="G69" i="73"/>
  <c r="G73" i="73" s="1"/>
  <c r="H69" i="73"/>
  <c r="H73" i="73" s="1"/>
  <c r="I69" i="73"/>
  <c r="I73" i="73" s="1"/>
  <c r="C68" i="78"/>
  <c r="J73" i="78"/>
  <c r="C68" i="73" l="1"/>
  <c r="C137" i="73" a="1"/>
  <c r="C137" i="73" s="1"/>
  <c r="C142" i="73" s="1"/>
  <c r="C159" i="73" s="1"/>
  <c r="J73" i="73"/>
  <c r="C137" i="76" a="1"/>
  <c r="C137" i="76" s="1"/>
  <c r="C142" i="76" s="1"/>
  <c r="C159" i="76" s="1"/>
  <c r="C68" i="76"/>
  <c r="J73" i="76"/>
  <c r="C123" i="78"/>
  <c r="C70" i="78"/>
  <c r="C71" i="78" s="1"/>
  <c r="C164" i="78"/>
  <c r="C76" i="78"/>
  <c r="M2" i="15" l="1"/>
  <c r="AU7" i="9"/>
  <c r="C76" i="76"/>
  <c r="C164" i="76"/>
  <c r="C123" i="76"/>
  <c r="C70" i="76"/>
  <c r="C71" i="76" s="1"/>
  <c r="C164" i="73"/>
  <c r="C76" i="73"/>
  <c r="C70" i="73"/>
  <c r="C71" i="73" s="1"/>
  <c r="C123" i="73"/>
  <c r="C161" i="78"/>
  <c r="C162" i="78" s="1"/>
  <c r="C165" i="78" s="1"/>
  <c r="C125" i="78"/>
  <c r="AU9" i="9" s="1"/>
  <c r="H128" i="78"/>
  <c r="C77" i="78"/>
  <c r="H128" i="73" l="1"/>
  <c r="C77" i="73"/>
  <c r="C125" i="76"/>
  <c r="C147" i="76" s="1"/>
  <c r="C148" i="76" s="1"/>
  <c r="C149" i="76" s="1"/>
  <c r="C161" i="76"/>
  <c r="C162" i="76" s="1"/>
  <c r="C165" i="76" s="1"/>
  <c r="C161" i="73"/>
  <c r="C124" i="73"/>
  <c r="C125" i="73" s="1"/>
  <c r="C147" i="73" s="1"/>
  <c r="C148" i="73" s="1"/>
  <c r="C149" i="73" s="1"/>
  <c r="H128" i="76"/>
  <c r="C77" i="76"/>
  <c r="C147" i="78"/>
  <c r="AU31" i="9" s="1"/>
  <c r="M4" i="15"/>
  <c r="I125" i="78"/>
  <c r="H129" i="78"/>
  <c r="I124" i="78"/>
  <c r="I126" i="78"/>
  <c r="C14" i="74" a="1"/>
  <c r="F12" i="77" a="1"/>
  <c r="C14" i="77" a="1"/>
  <c r="C14" i="74" l="1"/>
  <c r="F12" i="77"/>
  <c r="F13" i="77" s="1"/>
  <c r="C14" i="77"/>
  <c r="H129" i="76"/>
  <c r="I125" i="76"/>
  <c r="I124" i="76"/>
  <c r="I126" i="76"/>
  <c r="H126" i="73"/>
  <c r="C160" i="73"/>
  <c r="C162" i="73" s="1"/>
  <c r="C165" i="73" s="1"/>
  <c r="C152" i="73"/>
  <c r="C154" i="73" s="1"/>
  <c r="C152" i="76"/>
  <c r="C154" i="76" s="1"/>
  <c r="I124" i="73"/>
  <c r="I125" i="73"/>
  <c r="M26" i="15"/>
  <c r="C148" i="78"/>
  <c r="AU32" i="9" s="1"/>
  <c r="H132" i="78"/>
  <c r="H133" i="78" s="1"/>
  <c r="H134" i="78" s="1"/>
  <c r="H135" i="78" s="1"/>
  <c r="H136" i="78" s="1"/>
  <c r="I132" i="78"/>
  <c r="I133" i="78" s="1"/>
  <c r="I134" i="78" s="1"/>
  <c r="I135" i="78" s="1"/>
  <c r="I136" i="78" s="1"/>
  <c r="J132" i="78"/>
  <c r="J133" i="78" s="1"/>
  <c r="J134" i="78" s="1"/>
  <c r="J135" i="78" s="1"/>
  <c r="J136" i="78" s="1"/>
  <c r="F12" i="74" a="1"/>
  <c r="C15" i="77" a="1"/>
  <c r="C14" i="54" a="1"/>
  <c r="C15" i="74" a="1"/>
  <c r="C15" i="77" l="1"/>
  <c r="C15" i="74"/>
  <c r="C14" i="54"/>
  <c r="F12" i="74"/>
  <c r="F13" i="74" s="1"/>
  <c r="J132" i="76"/>
  <c r="J133" i="76" s="1"/>
  <c r="J134" i="76" s="1"/>
  <c r="J135" i="76" s="1"/>
  <c r="J136" i="76" s="1"/>
  <c r="I132" i="76"/>
  <c r="I133" i="76" s="1"/>
  <c r="I134" i="76" s="1"/>
  <c r="I135" i="76" s="1"/>
  <c r="I136" i="76" s="1"/>
  <c r="H132" i="76"/>
  <c r="H133" i="76" s="1"/>
  <c r="H134" i="76" s="1"/>
  <c r="H135" i="76" s="1"/>
  <c r="H136" i="76" s="1"/>
  <c r="I126" i="73"/>
  <c r="H127" i="73"/>
  <c r="H129" i="73" s="1"/>
  <c r="M27" i="15"/>
  <c r="C149" i="78"/>
  <c r="AU33" i="9" s="1"/>
  <c r="C15" i="54" a="1"/>
  <c r="E12" i="54" a="1"/>
  <c r="E12" i="54" l="1"/>
  <c r="E13" i="54" s="1"/>
  <c r="C15" i="54"/>
  <c r="H132" i="73"/>
  <c r="H133" i="73" s="1"/>
  <c r="H134" i="73" s="1"/>
  <c r="H135" i="73" s="1"/>
  <c r="H136" i="73" s="1"/>
  <c r="J132" i="73"/>
  <c r="J133" i="73" s="1"/>
  <c r="J134" i="73" s="1"/>
  <c r="J135" i="73" s="1"/>
  <c r="J136" i="73" s="1"/>
  <c r="I132" i="73"/>
  <c r="I133" i="73" s="1"/>
  <c r="I134" i="73" s="1"/>
  <c r="I135" i="73" s="1"/>
  <c r="I136" i="73" s="1"/>
  <c r="M28" i="15"/>
  <c r="C152" i="78"/>
  <c r="AU36" i="9" s="1"/>
  <c r="M31" i="15" l="1"/>
  <c r="C154" i="78"/>
  <c r="M33" i="15" l="1"/>
  <c r="AU38"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<sst xmlns="http://schemas.openxmlformats.org/spreadsheetml/2006/main" count="7089" uniqueCount="684">
  <si>
    <t>Which Quarter:</t>
  </si>
  <si>
    <t>For:</t>
  </si>
  <si>
    <t>Validation</t>
  </si>
  <si>
    <t>Overtime?</t>
  </si>
  <si>
    <t>From last Quarter</t>
  </si>
  <si>
    <t>Decicion Point</t>
  </si>
  <si>
    <t>Prediction</t>
  </si>
  <si>
    <t>1. Operation</t>
  </si>
  <si>
    <t>Cost Overview</t>
  </si>
  <si>
    <t>Plant</t>
  </si>
  <si>
    <t>Note: Raw material cost including the shipping fee related to each part</t>
  </si>
  <si>
    <t>Research &amp; Development</t>
  </si>
  <si>
    <t>Operation Cost Datasheet</t>
  </si>
  <si>
    <t>Q3 Order</t>
  </si>
  <si>
    <t>Type</t>
  </si>
  <si>
    <t>Unit Cost+Shipping</t>
  </si>
  <si>
    <t>Climatizer unit cost</t>
  </si>
  <si>
    <t>Order cost</t>
  </si>
  <si>
    <t>Raw Material</t>
  </si>
  <si>
    <t>R&amp;D</t>
  </si>
  <si>
    <t>/unit</t>
  </si>
  <si>
    <t>Packing</t>
  </si>
  <si>
    <t>Premium</t>
  </si>
  <si>
    <t>Raw Material Storage Costs</t>
  </si>
  <si>
    <t>Decision</t>
  </si>
  <si>
    <t>Plastic</t>
  </si>
  <si>
    <t>Superplast</t>
  </si>
  <si>
    <t xml:space="preserve"> Production Fixed Cost</t>
  </si>
  <si>
    <t>MachineryModel</t>
  </si>
  <si>
    <t>Motor &amp; Cooling</t>
  </si>
  <si>
    <t>Freezpro</t>
  </si>
  <si>
    <t>Model1</t>
  </si>
  <si>
    <t>Electric</t>
  </si>
  <si>
    <t>Proline</t>
  </si>
  <si>
    <t>Model2</t>
  </si>
  <si>
    <t>unit climatizer cost</t>
  </si>
  <si>
    <t># of climatizer RM</t>
  </si>
  <si>
    <t>Unit Value</t>
  </si>
  <si>
    <t>Productivity</t>
  </si>
  <si>
    <t>unit/climatizer</t>
  </si>
  <si>
    <t>Standard</t>
  </si>
  <si>
    <t>Climatizer Stock</t>
  </si>
  <si>
    <t>Raw Material Available</t>
  </si>
  <si>
    <t>Planned Production</t>
  </si>
  <si>
    <t>Plastinjet</t>
  </si>
  <si>
    <t>material</t>
  </si>
  <si>
    <t>Shipping</t>
  </si>
  <si>
    <t>Raw Material Left</t>
  </si>
  <si>
    <t>Raw Material Purchased</t>
  </si>
  <si>
    <t>Raw Material Available for Q+1</t>
  </si>
  <si>
    <t>Total Inventory Value</t>
  </si>
  <si>
    <t>IPLM</t>
  </si>
  <si>
    <t>Moter&amp;Cooling</t>
  </si>
  <si>
    <t>Motojister</t>
  </si>
  <si>
    <t>Motormaster</t>
  </si>
  <si>
    <t>InfinityParts</t>
  </si>
  <si>
    <t>ElectrocalKit</t>
  </si>
  <si>
    <t>Chukchuk</t>
  </si>
  <si>
    <t>ConduiteElec</t>
  </si>
  <si>
    <t>2. Market</t>
  </si>
  <si>
    <t>Sales Income</t>
  </si>
  <si>
    <t>A&amp;P Investiments</t>
  </si>
  <si>
    <t>Commision Total</t>
  </si>
  <si>
    <t xml:space="preserve">Region </t>
  </si>
  <si>
    <t>Total</t>
  </si>
  <si>
    <t>Unit sale price</t>
  </si>
  <si>
    <t>/</t>
  </si>
  <si>
    <t>Planned Sale</t>
  </si>
  <si>
    <t xml:space="preserve">Commision </t>
  </si>
  <si>
    <t>Advertisement unit</t>
  </si>
  <si>
    <t>Planned sale</t>
  </si>
  <si>
    <t>A&amp;P Investment</t>
  </si>
  <si>
    <t>Predicted sale</t>
  </si>
  <si>
    <t>New Hired sales</t>
  </si>
  <si>
    <t>left finished good</t>
  </si>
  <si>
    <t>Active Sales Force</t>
  </si>
  <si>
    <t>Total Region Demand</t>
  </si>
  <si>
    <t>From Report</t>
  </si>
  <si>
    <t>Market Share by Region</t>
  </si>
  <si>
    <t>Feight Cost</t>
  </si>
  <si>
    <t>3. Human Resource</t>
  </si>
  <si>
    <t>Salaries</t>
  </si>
  <si>
    <t>Base Salary</t>
  </si>
  <si>
    <t>salary per position</t>
  </si>
  <si>
    <t>Number of employee</t>
  </si>
  <si>
    <t>Multiplier</t>
  </si>
  <si>
    <t>Total For 1</t>
  </si>
  <si>
    <t>Training Investments</t>
  </si>
  <si>
    <t>Manager</t>
  </si>
  <si>
    <t>CSR. Investments</t>
  </si>
  <si>
    <t>Investment</t>
  </si>
  <si>
    <t>Operators</t>
  </si>
  <si>
    <t>Fringe Benefits Investments</t>
  </si>
  <si>
    <t>Training</t>
  </si>
  <si>
    <t>Supervisors</t>
  </si>
  <si>
    <t xml:space="preserve"> Unit</t>
  </si>
  <si>
    <t>Sellers</t>
  </si>
  <si>
    <t>CSR</t>
  </si>
  <si>
    <t>Employee Satisfaction</t>
  </si>
  <si>
    <t>Total Salary paid</t>
  </si>
  <si>
    <t>Other Investment and Expense</t>
  </si>
  <si>
    <t>Fringe Benefit</t>
  </si>
  <si>
    <t>Unit</t>
  </si>
  <si>
    <t>Number</t>
  </si>
  <si>
    <t>Dental</t>
  </si>
  <si>
    <t>Salary</t>
  </si>
  <si>
    <t>Food</t>
  </si>
  <si>
    <t>Tuition</t>
  </si>
  <si>
    <t>Retirement</t>
  </si>
  <si>
    <t>Fringe benefit</t>
  </si>
  <si>
    <t>Medical</t>
  </si>
  <si>
    <t>Life Insurance</t>
  </si>
  <si>
    <t>Transportation</t>
  </si>
  <si>
    <t>4. Finance</t>
  </si>
  <si>
    <t>Contracted Loan</t>
  </si>
  <si>
    <t>Interest Rate</t>
  </si>
  <si>
    <t xml:space="preserve">Interest </t>
  </si>
  <si>
    <t>Information Report Purchase</t>
  </si>
  <si>
    <t>Our income statement based on the predicted sales , not the planned sale</t>
  </si>
  <si>
    <t> </t>
  </si>
  <si>
    <t>COGS</t>
  </si>
  <si>
    <t>Match</t>
  </si>
  <si>
    <t>DL</t>
  </si>
  <si>
    <t>Gross Profit and Loss</t>
  </si>
  <si>
    <t>FC</t>
  </si>
  <si>
    <t/>
  </si>
  <si>
    <t>Production Fixed Cost</t>
  </si>
  <si>
    <t>Full Cost</t>
  </si>
  <si>
    <t>Unit Sold</t>
  </si>
  <si>
    <t>Unit Cost</t>
  </si>
  <si>
    <t>Profit Margin</t>
  </si>
  <si>
    <t>Profit Sharing Payment</t>
  </si>
  <si>
    <t>Price</t>
  </si>
  <si>
    <t>CM</t>
  </si>
  <si>
    <t>CM Ratio</t>
  </si>
  <si>
    <t>BE Dollar Amount</t>
  </si>
  <si>
    <t>BE Unit</t>
  </si>
  <si>
    <t>Freight Costs</t>
  </si>
  <si>
    <t>Need Input Manually</t>
  </si>
  <si>
    <t>Loss &amp; Damage</t>
  </si>
  <si>
    <t>Loan Interest</t>
  </si>
  <si>
    <t>Factoring Interest</t>
  </si>
  <si>
    <t>Decision Fine</t>
  </si>
  <si>
    <t>PROFIT &amp; LOSS STATEMENT EXPENSES</t>
  </si>
  <si>
    <t>(+) Income savings</t>
  </si>
  <si>
    <t>(+) Bonus Value</t>
  </si>
  <si>
    <t>Pretax Income</t>
  </si>
  <si>
    <t>(-) IR</t>
  </si>
  <si>
    <t>NET PROFIT / LOSS</t>
  </si>
  <si>
    <t>PREVIOUS QUARTER BALANCE</t>
  </si>
  <si>
    <t>Fixed sale variation</t>
  </si>
  <si>
    <t>PROFIT AND LOSS STATEMENT RESULTS</t>
  </si>
  <si>
    <t>Operational Break-Even</t>
  </si>
  <si>
    <t>PROFIT AND LOSS STATEMENT COSTS</t>
  </si>
  <si>
    <t>SOLD PRODUCT COSTS</t>
  </si>
  <si>
    <t>SALES AMMOUNT</t>
  </si>
  <si>
    <t>Operational Break-Even ($)</t>
  </si>
  <si>
    <t>Sales Quantity</t>
  </si>
  <si>
    <t>Operational Break-Even (QTY)</t>
  </si>
  <si>
    <t>Preparasion for next quarter prediction</t>
  </si>
  <si>
    <t>1. Validate data from previous quarter ( By QingQing)</t>
  </si>
  <si>
    <t>2. Update Data_ Sheets( Need cash flow update By Seb)</t>
  </si>
  <si>
    <t>3.Create new prediction sheet for new quarter+ Validation ( QingQing)</t>
  </si>
  <si>
    <t>4. Choose the Number of current quarter in B6</t>
  </si>
  <si>
    <t>Quarter</t>
  </si>
  <si>
    <t>Strategy</t>
  </si>
  <si>
    <t>Maximum Capacity</t>
  </si>
  <si>
    <t>Note: Conservasive strategy have a constrain which will only keep the next quarter RM unit =1200</t>
  </si>
  <si>
    <t>Working Hour</t>
  </si>
  <si>
    <t>Overtime</t>
  </si>
  <si>
    <t>SalePrice</t>
  </si>
  <si>
    <t>Previous Quarter balance</t>
  </si>
  <si>
    <t>DO NOT CHANGE THIS CELL!!</t>
  </si>
  <si>
    <t>Revenue</t>
  </si>
  <si>
    <t>Predicted sale*price</t>
  </si>
  <si>
    <t>Loan interest</t>
  </si>
  <si>
    <t>C139</t>
  </si>
  <si>
    <t>Given</t>
  </si>
  <si>
    <t xml:space="preserve"> 1. Predicted sale unit * raw material cost</t>
  </si>
  <si>
    <t>2. Revenue *( Commision + 0.125)</t>
  </si>
  <si>
    <t>Maximum Sell unit</t>
  </si>
  <si>
    <t>Plan to Sell</t>
  </si>
  <si>
    <t># Prediction based on the demand</t>
  </si>
  <si>
    <t>#Capped by the maximum sell unit</t>
  </si>
  <si>
    <t>Fixed cost</t>
  </si>
  <si>
    <t># Plan to have more market share</t>
  </si>
  <si>
    <t>1. 280000</t>
  </si>
  <si>
    <t># Focus</t>
  </si>
  <si>
    <t>2. Loan Interest</t>
  </si>
  <si>
    <t>2. R&amp;D investment</t>
  </si>
  <si>
    <t># Leader</t>
  </si>
  <si>
    <t>3. Report to purchase</t>
  </si>
  <si>
    <t>Predicted Sale</t>
  </si>
  <si>
    <t>Based on the predicted conversion rate</t>
  </si>
  <si>
    <t>4. Raw material inventory (new purchase + left after production)</t>
  </si>
  <si>
    <t>5. A&amp;P</t>
  </si>
  <si>
    <t>6. Total salary</t>
  </si>
  <si>
    <t>Plan to produce</t>
  </si>
  <si>
    <t># = plan to sale - finish good stock</t>
  </si>
  <si>
    <t>Predicted Produced</t>
  </si>
  <si>
    <t>Raw Material to purchase</t>
  </si>
  <si>
    <t># = 1200 - (Raw material available - real produce)</t>
  </si>
  <si>
    <t>Commision</t>
  </si>
  <si>
    <t>Advertisement</t>
  </si>
  <si>
    <t>New Hire</t>
  </si>
  <si>
    <t>C&amp;R</t>
  </si>
  <si>
    <t>Total information</t>
  </si>
  <si>
    <t>#Manually Calculate+input</t>
  </si>
  <si>
    <t>Note: Conservative strategy have a constrain which will only keep the next quarter RM unit =1200</t>
  </si>
  <si>
    <t>BreakEven unit</t>
  </si>
  <si>
    <t>Proportion</t>
  </si>
  <si>
    <t>#Based on the predicted conversion rate</t>
  </si>
  <si>
    <t>Level</t>
  </si>
  <si>
    <t>The comprehensive manual can be found in the other document.</t>
  </si>
  <si>
    <t>Sheet Name</t>
  </si>
  <si>
    <t>Description</t>
  </si>
  <si>
    <t>Qm-ValidationPredict</t>
  </si>
  <si>
    <t>Template for Validation or Prediction</t>
  </si>
  <si>
    <t>Input_Qm-Predict</t>
  </si>
  <si>
    <t>Decision points input for prediction period</t>
  </si>
  <si>
    <t>DashBoard</t>
  </si>
  <si>
    <t>Overview performance--Income statement, market share, stock</t>
  </si>
  <si>
    <t>Reference</t>
  </si>
  <si>
    <t>Cell reference</t>
  </si>
  <si>
    <t>Pricing-Working</t>
  </si>
  <si>
    <t>Information-Working</t>
  </si>
  <si>
    <t>Data-</t>
  </si>
  <si>
    <t>Data Sheets Containing our Data Price, Sales, CashFlows, Stock, IS, Emp #.</t>
  </si>
  <si>
    <t>Q12-Validation</t>
  </si>
  <si>
    <t>Q# Validation Reports - Inputting Results</t>
  </si>
  <si>
    <t>Q12-Predict</t>
  </si>
  <si>
    <t>Q# Prediction Reports - Forecasted Results</t>
  </si>
  <si>
    <t>Input_Q12-Predict</t>
  </si>
  <si>
    <t>Q11-Validation</t>
  </si>
  <si>
    <t>Q11-Predict</t>
  </si>
  <si>
    <t>Input_Q11-Predict</t>
  </si>
  <si>
    <t xml:space="preserve">Input_Q10-Predict </t>
  </si>
  <si>
    <t xml:space="preserve">Q10-Validation </t>
  </si>
  <si>
    <t xml:space="preserve">Q10-Predict </t>
  </si>
  <si>
    <t>Q9-Validation</t>
  </si>
  <si>
    <t xml:space="preserve">Input_Q9-Predict </t>
  </si>
  <si>
    <t xml:space="preserve">Q9-Predict </t>
  </si>
  <si>
    <t>Q8-Validation</t>
  </si>
  <si>
    <t xml:space="preserve">Input_Q8-Predict </t>
  </si>
  <si>
    <t xml:space="preserve">Q8-Predict </t>
  </si>
  <si>
    <t>Q7-Validation</t>
  </si>
  <si>
    <t xml:space="preserve">Input_Q7-Predict </t>
  </si>
  <si>
    <t>Q7-Predict</t>
  </si>
  <si>
    <t>Q6-Validation</t>
  </si>
  <si>
    <t>Input_Q6-Predict</t>
  </si>
  <si>
    <t>Q6-Predict</t>
  </si>
  <si>
    <t>Q5-Validation</t>
  </si>
  <si>
    <t>Q5-Predict</t>
  </si>
  <si>
    <t>Q4-Validation</t>
  </si>
  <si>
    <t>Q4-Predict</t>
  </si>
  <si>
    <t>Q3-Validation</t>
  </si>
  <si>
    <t>Q3-Predict</t>
  </si>
  <si>
    <t>Q2</t>
  </si>
  <si>
    <t>Q1</t>
  </si>
  <si>
    <t>Q1-Data</t>
  </si>
  <si>
    <t>Sales Per Region</t>
  </si>
  <si>
    <t>Market Share Per Region - Purchased for Quarter 3</t>
  </si>
  <si>
    <t>Income Statements Per Quarter</t>
  </si>
  <si>
    <t>Sales</t>
  </si>
  <si>
    <t>Inventory Flow</t>
  </si>
  <si>
    <t>Q3</t>
  </si>
  <si>
    <t>Q4</t>
  </si>
  <si>
    <t>Q5</t>
  </si>
  <si>
    <t>Q6</t>
  </si>
  <si>
    <t>Q7</t>
  </si>
  <si>
    <t>Q8</t>
  </si>
  <si>
    <t>Q9</t>
  </si>
  <si>
    <t>Q10</t>
  </si>
  <si>
    <t>Q11</t>
  </si>
  <si>
    <t>Q12</t>
  </si>
  <si>
    <t>Market Share</t>
  </si>
  <si>
    <t>Region 1</t>
  </si>
  <si>
    <t>Region 2</t>
  </si>
  <si>
    <t>Region 3</t>
  </si>
  <si>
    <t>Region 4</t>
  </si>
  <si>
    <t>Raw Materials</t>
  </si>
  <si>
    <t>EcoChill</t>
  </si>
  <si>
    <t>Used in Production</t>
  </si>
  <si>
    <t>EcoBreeze</t>
  </si>
  <si>
    <t>Purchased</t>
  </si>
  <si>
    <t>Loll</t>
  </si>
  <si>
    <t>Left</t>
  </si>
  <si>
    <t>NorthBreeze</t>
  </si>
  <si>
    <t>Finished Goods</t>
  </si>
  <si>
    <t>Freight Cost</t>
  </si>
  <si>
    <t>Produced</t>
  </si>
  <si>
    <t>Available to sell</t>
  </si>
  <si>
    <t>Sold</t>
  </si>
  <si>
    <t>Left Inventory</t>
  </si>
  <si>
    <t>Market Share Per Region - Purchased for Quarter 7</t>
  </si>
  <si>
    <t>Market Share Per Region - Purchased for Quarter 11</t>
  </si>
  <si>
    <t>Template</t>
  </si>
  <si>
    <t>Not Match</t>
  </si>
  <si>
    <t>Conservative</t>
  </si>
  <si>
    <t>Regular Hour</t>
  </si>
  <si>
    <t>conv</t>
  </si>
  <si>
    <t>Demand  for Q2 spring</t>
  </si>
  <si>
    <t>LOLL</t>
  </si>
  <si>
    <t>planned</t>
  </si>
  <si>
    <t>sold</t>
  </si>
  <si>
    <t>Conversion</t>
  </si>
  <si>
    <t>Average(EquallyPerInc.)</t>
  </si>
  <si>
    <t>UpperBound</t>
  </si>
  <si>
    <t>Variance</t>
  </si>
  <si>
    <t>Predicted variance</t>
  </si>
  <si>
    <t>LowerBound</t>
  </si>
  <si>
    <t>% HigherThanUB</t>
  </si>
  <si>
    <t>%HigherThanAverage</t>
  </si>
  <si>
    <t xml:space="preserve"> </t>
  </si>
  <si>
    <t>Outcome of pricing : we got punished for being higher than 30% of the average market price.</t>
  </si>
  <si>
    <t>Demand in Q3-summer</t>
  </si>
  <si>
    <t xml:space="preserve">planned </t>
  </si>
  <si>
    <t>Demand in Q4 -fall</t>
  </si>
  <si>
    <t>My reasoning is that we need to increase publicity index in each area to get the highest conversion</t>
  </si>
  <si>
    <t>My reasoning is that we need to double the intended planned sales to get the number we want in each area</t>
  </si>
  <si>
    <t>Conversion Optimization</t>
  </si>
  <si>
    <t>variance</t>
  </si>
  <si>
    <t>Still above the 30%: Try to be more conservative</t>
  </si>
  <si>
    <t>Optimal solution</t>
  </si>
  <si>
    <t>objective function-conversion</t>
  </si>
  <si>
    <t>Demand for Q5-winter</t>
  </si>
  <si>
    <t>Ad for each region</t>
  </si>
  <si>
    <t>Conversion per area</t>
  </si>
  <si>
    <t>After the realazation that the pricing strategy is wrong we made an assumption that other teams will have to raise their price</t>
  </si>
  <si>
    <t>Demaand for Q6-Spring</t>
  </si>
  <si>
    <t>Planned</t>
  </si>
  <si>
    <t>Demand in Q7-summer</t>
  </si>
  <si>
    <t>Demand in Q8 -fall</t>
  </si>
  <si>
    <t>Demand for Q9~Q5</t>
  </si>
  <si>
    <t>ad index</t>
  </si>
  <si>
    <t>Demand for Q10~Q6 Spring</t>
  </si>
  <si>
    <t>Forgot to buy a report</t>
  </si>
  <si>
    <t>Demand for Q11~Q7 Summer</t>
  </si>
  <si>
    <t>Demand for Q12~Q8 Fall</t>
  </si>
  <si>
    <t>Planned to sell unit</t>
  </si>
  <si>
    <t>Grey part is the price example of the cheapest raw material</t>
  </si>
  <si>
    <t xml:space="preserve">DL </t>
  </si>
  <si>
    <t>RM</t>
  </si>
  <si>
    <t>Variable cost per unit</t>
  </si>
  <si>
    <t>total before tax</t>
  </si>
  <si>
    <t>total fixed cost</t>
  </si>
  <si>
    <t>add profit</t>
  </si>
  <si>
    <t>planned production</t>
  </si>
  <si>
    <t>tax</t>
  </si>
  <si>
    <t xml:space="preserve">Method </t>
  </si>
  <si>
    <t xml:space="preserve">Cost plus pricing </t>
  </si>
  <si>
    <t>Full cost</t>
  </si>
  <si>
    <t>`Variable cost per unit+ (Fixed costs/expected units)</t>
  </si>
  <si>
    <t>Breakeven Price</t>
  </si>
  <si>
    <t>Add markup</t>
  </si>
  <si>
    <t>Selling price</t>
  </si>
  <si>
    <t>Breakeven Sales</t>
  </si>
  <si>
    <t>Breakeven units</t>
  </si>
  <si>
    <t>Q2 Price</t>
  </si>
  <si>
    <t>Q4 Price</t>
  </si>
  <si>
    <t>Q5 Price</t>
  </si>
  <si>
    <t>Q6 Price</t>
  </si>
  <si>
    <t>Q7 Price</t>
  </si>
  <si>
    <t>Q8 Price</t>
  </si>
  <si>
    <t>Q9 Price</t>
  </si>
  <si>
    <t>Q11 Price</t>
  </si>
  <si>
    <t>Q12 Price</t>
  </si>
  <si>
    <t>Region</t>
  </si>
  <si>
    <t xml:space="preserve">EcoChill in Region 1 and 3 </t>
  </si>
  <si>
    <t>Region\Quarter</t>
  </si>
  <si>
    <t>Demand</t>
  </si>
  <si>
    <t xml:space="preserve">Cash Flows </t>
  </si>
  <si>
    <t xml:space="preserve">Initial Balance </t>
  </si>
  <si>
    <t>Cash (+)</t>
  </si>
  <si>
    <t xml:space="preserve">Trade Note Received </t>
  </si>
  <si>
    <t xml:space="preserve">Factoring Amount </t>
  </si>
  <si>
    <t xml:space="preserve">Borrowed Loan </t>
  </si>
  <si>
    <t xml:space="preserve">Redemptions of Investment </t>
  </si>
  <si>
    <t>Machinery Downgrade (Sell)</t>
  </si>
  <si>
    <t>Bonus Amount</t>
  </si>
  <si>
    <t>TOTAL INCOME (INC LOAN)</t>
  </si>
  <si>
    <t>Quarter Expenses (-)</t>
  </si>
  <si>
    <t xml:space="preserve">Machinery Acquisition </t>
  </si>
  <si>
    <t xml:space="preserve">Variable Cost </t>
  </si>
  <si>
    <t xml:space="preserve">Income Tax Amount </t>
  </si>
  <si>
    <t xml:space="preserve">Raw Material Purchase </t>
  </si>
  <si>
    <t xml:space="preserve">Loan Payments </t>
  </si>
  <si>
    <t xml:space="preserve">Savings </t>
  </si>
  <si>
    <t xml:space="preserve">Decision Fine </t>
  </si>
  <si>
    <t>TOTAL PAYMENT</t>
  </si>
  <si>
    <t xml:space="preserve">Quarter Final Balance </t>
  </si>
  <si>
    <t xml:space="preserve">Automatic Loan </t>
  </si>
  <si>
    <t xml:space="preserve">Adjusted Final Balance </t>
  </si>
  <si>
    <t>Category/Quarter</t>
  </si>
  <si>
    <t>Issue</t>
  </si>
  <si>
    <t>Loss Material in Q5</t>
  </si>
  <si>
    <t>Active seller</t>
  </si>
  <si>
    <t>Quarter/Region</t>
  </si>
  <si>
    <t>Validated-Q</t>
  </si>
  <si>
    <t>False/</t>
  </si>
  <si>
    <t>Direct Labour = Salaries+Fringe Benefit</t>
  </si>
  <si>
    <t>cm/price</t>
  </si>
  <si>
    <t>FC/CM Ratio</t>
  </si>
  <si>
    <t>Previous Quarter</t>
  </si>
  <si>
    <t>Decicion Variables</t>
  </si>
  <si>
    <t>Maximize the planned sale number, includes climatizer in-stock and manufactured in this quarter</t>
  </si>
  <si>
    <t>Neutral</t>
  </si>
  <si>
    <t>The income statement based on the predicted sales , not the planned sale</t>
  </si>
  <si>
    <t>***</t>
  </si>
  <si>
    <t>???</t>
  </si>
  <si>
    <t>Low A&amp; P</t>
  </si>
  <si>
    <t>No report Purchased</t>
  </si>
  <si>
    <t>2. Update Data_ Sheets( By Seb)</t>
  </si>
  <si>
    <t>Predict Produced</t>
  </si>
  <si>
    <t>Conversion Rate</t>
  </si>
  <si>
    <t>Actual Result</t>
  </si>
  <si>
    <t>Actual Produced</t>
  </si>
  <si>
    <t>Actual sale</t>
  </si>
  <si>
    <t>Report</t>
  </si>
  <si>
    <t>helloooooo</t>
  </si>
  <si>
    <t>arbitrary multiplier</t>
  </si>
  <si>
    <t>teaam4</t>
  </si>
  <si>
    <t>Total Cost on Raw Material Purchased for Q3</t>
  </si>
  <si>
    <t>Beginning</t>
  </si>
  <si>
    <t>End</t>
  </si>
  <si>
    <t>Climitizer Stock</t>
  </si>
  <si>
    <t>*Q3 New</t>
  </si>
  <si>
    <t>Need to double check, because number does not match the OGG report</t>
  </si>
  <si>
    <t>r</t>
  </si>
  <si>
    <t>UnitSale to Region</t>
  </si>
  <si>
    <t>real sale</t>
  </si>
  <si>
    <t>Total Labour Cost</t>
  </si>
  <si>
    <t>Unit Price</t>
  </si>
  <si>
    <t>RawMaterial</t>
  </si>
  <si>
    <t>Feright cost</t>
  </si>
  <si>
    <t>(Incurred sale)</t>
  </si>
  <si>
    <t>From/to</t>
  </si>
  <si>
    <t>A&amp;P Cost</t>
  </si>
  <si>
    <t>Total Capital</t>
  </si>
  <si>
    <t>Income Statement</t>
  </si>
  <si>
    <t>Quantity of climatizers</t>
  </si>
  <si>
    <t>Raw material cost</t>
  </si>
  <si>
    <t>superplast</t>
  </si>
  <si>
    <t>motojister</t>
  </si>
  <si>
    <t xml:space="preserve">Raw Material </t>
  </si>
  <si>
    <t>per climatizer</t>
  </si>
  <si>
    <t xml:space="preserve">a. </t>
  </si>
  <si>
    <t>plastinjet</t>
  </si>
  <si>
    <t>Cost</t>
  </si>
  <si>
    <t>shipping 2</t>
  </si>
  <si>
    <t>b.</t>
  </si>
  <si>
    <t>Moter+Cooling</t>
  </si>
  <si>
    <t>a.</t>
  </si>
  <si>
    <t>cost</t>
  </si>
  <si>
    <t>Electric Kits</t>
  </si>
  <si>
    <t>Shipping 4</t>
  </si>
  <si>
    <t>Production</t>
  </si>
  <si>
    <t>what is the slop: track the satisfation</t>
  </si>
  <si>
    <t xml:space="preserve">Influence Diagram </t>
  </si>
  <si>
    <t xml:space="preserve">1) Target outputs, identify the vriables that directly influence value of the target value. </t>
  </si>
  <si>
    <t>2) Decompose each variable by identifying additional variables that we need to compute.</t>
  </si>
  <si>
    <t xml:space="preserve">Each variable appears once in the influence diagram. </t>
  </si>
  <si>
    <t xml:space="preserve">3) Document intermediate calculations needed </t>
  </si>
  <si>
    <t xml:space="preserve">1) Best combinations of Operations, Marketing, HR, Finance decisions? </t>
  </si>
  <si>
    <t>Initial decision</t>
  </si>
  <si>
    <t>Operations</t>
  </si>
  <si>
    <t>Strategy: Differentiation</t>
  </si>
  <si>
    <t xml:space="preserve">Decision Variables </t>
  </si>
  <si>
    <t>Region to lead/Focus</t>
  </si>
  <si>
    <t>Purchasing Decisions</t>
  </si>
  <si>
    <t xml:space="preserve">1) Which raw materials to select </t>
  </si>
  <si>
    <t>Operation decision point:</t>
  </si>
  <si>
    <t>Point we cannot decide but influencial</t>
  </si>
  <si>
    <t xml:space="preserve">PLASTIC </t>
  </si>
  <si>
    <t>Plant location</t>
  </si>
  <si>
    <t>R&amp;D investment</t>
  </si>
  <si>
    <t>Innovation level</t>
  </si>
  <si>
    <t xml:space="preserve">PLM </t>
  </si>
  <si>
    <t>type of Raw material choose</t>
  </si>
  <si>
    <t>Total number of employee</t>
  </si>
  <si>
    <t>PlastinJet</t>
  </si>
  <si>
    <t>#unit to purchase</t>
  </si>
  <si>
    <t>MOTOR &amp; COOLING</t>
  </si>
  <si>
    <t>#unit to manufacture</t>
  </si>
  <si>
    <t>Marketing</t>
  </si>
  <si>
    <t>commission</t>
  </si>
  <si>
    <t>Sales conversion rate</t>
  </si>
  <si>
    <t>total number of employee</t>
  </si>
  <si>
    <t xml:space="preserve">ELECTRICAL </t>
  </si>
  <si>
    <t>#unit planned to sale</t>
  </si>
  <si>
    <t>A&amp;P investment</t>
  </si>
  <si>
    <t>sales force to hire</t>
  </si>
  <si>
    <t xml:space="preserve">2) Quantity to produce </t>
  </si>
  <si>
    <t>Human Resouce</t>
  </si>
  <si>
    <t>salary</t>
  </si>
  <si>
    <t>Production Decisions</t>
  </si>
  <si>
    <t>traning and investment</t>
  </si>
  <si>
    <t xml:space="preserve">Production Level </t>
  </si>
  <si>
    <t>benefit</t>
  </si>
  <si>
    <t xml:space="preserve">Units to prduct this quarted --- </t>
  </si>
  <si>
    <t>Finance</t>
  </si>
  <si>
    <t xml:space="preserve">Inventory Strategies </t>
  </si>
  <si>
    <t xml:space="preserve">Loan to take </t>
  </si>
  <si>
    <t>R&amp;D Spending</t>
  </si>
  <si>
    <t>Information to purchase</t>
  </si>
  <si>
    <t xml:space="preserve">RM Mix </t>
  </si>
  <si>
    <t xml:space="preserve">Marketing </t>
  </si>
  <si>
    <t xml:space="preserve">Overall Performance </t>
  </si>
  <si>
    <t>Decision Variables</t>
  </si>
  <si>
    <t>Unit Manufacture</t>
  </si>
  <si>
    <t>Unit sold</t>
  </si>
  <si>
    <t>Pricing Strategy</t>
  </si>
  <si>
    <t xml:space="preserve">A&amp;P Invetment </t>
  </si>
  <si>
    <t>Profit</t>
  </si>
  <si>
    <t>2-15 Units ?</t>
  </si>
  <si>
    <t>Solvency</t>
  </si>
  <si>
    <t xml:space="preserve">How much we will invest in A&amp;P </t>
  </si>
  <si>
    <t>Maeket share</t>
  </si>
  <si>
    <t xml:space="preserve">Salesforce Strategy </t>
  </si>
  <si>
    <t xml:space="preserve">Allocation of Salesforce </t>
  </si>
  <si>
    <t xml:space="preserve">Human Resource </t>
  </si>
  <si>
    <t xml:space="preserve"># of Managers </t>
  </si>
  <si>
    <t xml:space="preserve"># of Operators </t>
  </si>
  <si>
    <t xml:space="preserve"># of Supervisors </t>
  </si>
  <si>
    <t># of Sellers</t>
  </si>
  <si>
    <t xml:space="preserve">Training Investment </t>
  </si>
  <si>
    <t xml:space="preserve">CSR Investment </t>
  </si>
  <si>
    <t xml:space="preserve">Fringe Benefit </t>
  </si>
  <si>
    <t>New Quarter Decision:</t>
  </si>
  <si>
    <t>unit of raw material</t>
  </si>
  <si>
    <t>(Based on Q2 sale)</t>
  </si>
  <si>
    <t>R&amp;D Quantity</t>
  </si>
  <si>
    <t>Recommended to be constant</t>
  </si>
  <si>
    <t>Directly level up?</t>
  </si>
  <si>
    <t>Yeeeees!</t>
  </si>
  <si>
    <t>sales</t>
  </si>
  <si>
    <t>Training Quantity</t>
  </si>
  <si>
    <t>Recommended to be repeated</t>
  </si>
  <si>
    <t xml:space="preserve">Innovation level up </t>
  </si>
  <si>
    <t>Employee satisfaction up</t>
  </si>
  <si>
    <t>Financial side</t>
  </si>
  <si>
    <t>need support, breakeven time</t>
  </si>
  <si>
    <t>(Calculate)</t>
  </si>
  <si>
    <t>change？</t>
  </si>
  <si>
    <t>PurchaseInformation</t>
  </si>
  <si>
    <t>Market share report</t>
  </si>
  <si>
    <t>ADD column on separate ( raw material inventory/ climatizer inventory)</t>
  </si>
  <si>
    <t>Inventory/ Goods in process</t>
  </si>
  <si>
    <t>Inventory (Begin)</t>
  </si>
  <si>
    <t>Manufactred</t>
  </si>
  <si>
    <t>Inventory(end of Quarter)</t>
  </si>
  <si>
    <t>Operation</t>
  </si>
  <si>
    <t>Initial</t>
  </si>
  <si>
    <t>Inventory</t>
  </si>
  <si>
    <t>Available unit for next term planned production</t>
  </si>
  <si>
    <t>End Of Q2</t>
  </si>
  <si>
    <t>unit</t>
  </si>
  <si>
    <t>ElectricalKits</t>
  </si>
  <si>
    <t xml:space="preserve">Beginning of Q3 </t>
  </si>
  <si>
    <t>Archieved</t>
  </si>
  <si>
    <t>Max cost</t>
  </si>
  <si>
    <t>Min Cost</t>
  </si>
  <si>
    <t>OH</t>
  </si>
  <si>
    <t>TotalBeforeTax</t>
  </si>
  <si>
    <t>ProfitMargin</t>
  </si>
  <si>
    <t>Tax</t>
  </si>
  <si>
    <t>Raw Material storage cost</t>
  </si>
  <si>
    <t>UnitSale</t>
  </si>
  <si>
    <t>Market</t>
  </si>
  <si>
    <t># of $1499</t>
  </si>
  <si>
    <t># of $1399</t>
  </si>
  <si>
    <t xml:space="preserve">Because Region 1 and Region 4 have the highest salaries, </t>
  </si>
  <si>
    <t xml:space="preserve">it is good to to keep their terms of payment as CASH, as they are willing </t>
  </si>
  <si>
    <t xml:space="preserve">to pay full price upfront, given their salaries. </t>
  </si>
  <si>
    <t>However, Region 2 and Region 3 it is a good idea to change</t>
  </si>
  <si>
    <t xml:space="preserve">their terms of payment and have them pay in increments, </t>
  </si>
  <si>
    <t xml:space="preserve">as they may not have the money to pay upfront. </t>
  </si>
  <si>
    <t>Unit sold per sellers</t>
  </si>
  <si>
    <t>Region Revenue</t>
  </si>
  <si>
    <t>Revenue / sellers</t>
  </si>
  <si>
    <t>* Increase sales conversion rate</t>
  </si>
  <si>
    <t>1. Change Payment Method</t>
  </si>
  <si>
    <t>We want to have at least 1200 unit available for sale for each quarter,</t>
  </si>
  <si>
    <t>2. Increase commission percentage</t>
  </si>
  <si>
    <t>due to the mal price competition in the market, the invetory is piling up.</t>
  </si>
  <si>
    <t>3. More investment on leading area (Region 4)</t>
  </si>
  <si>
    <t>For next quarter, we will purchase the unit to have the available ____ unit for next quarter.</t>
  </si>
  <si>
    <t>Note:</t>
  </si>
  <si>
    <t>A&amp;P Investment = price*planned sale unit*AP investment /100</t>
  </si>
  <si>
    <t>Human Resources</t>
  </si>
  <si>
    <t>People</t>
  </si>
  <si>
    <t>Base Salery Multiplier</t>
  </si>
  <si>
    <t>Salary &amp; etc</t>
  </si>
  <si>
    <t>Benefit</t>
  </si>
  <si>
    <t>Training+CSR</t>
  </si>
  <si>
    <t>Net Renevue</t>
  </si>
  <si>
    <t xml:space="preserve">investment + salary on each sales person </t>
  </si>
  <si>
    <t xml:space="preserve">duplicate table from OGG to our own excel report </t>
  </si>
  <si>
    <t xml:space="preserve">separate by region </t>
  </si>
  <si>
    <t xml:space="preserve">cost of goods sold calculation </t>
  </si>
  <si>
    <t xml:space="preserve">beginning inventory </t>
  </si>
  <si>
    <t xml:space="preserve">check commission apart from operators </t>
  </si>
  <si>
    <t xml:space="preserve">add purchases </t>
  </si>
  <si>
    <t xml:space="preserve">add freight cost </t>
  </si>
  <si>
    <t xml:space="preserve">subtract inventory </t>
  </si>
  <si>
    <t xml:space="preserve">investment - commissions, salary, A&amp;P investment </t>
  </si>
  <si>
    <t xml:space="preserve">total cost of goods sold </t>
  </si>
  <si>
    <t>freight cost - 23,490.00</t>
  </si>
  <si>
    <t xml:space="preserve">revenue - total sales x sales price </t>
  </si>
  <si>
    <t>decision to how much we should sell for the next quartershould we make the production 100?</t>
  </si>
  <si>
    <t xml:space="preserve">look into sales commissions </t>
  </si>
  <si>
    <t xml:space="preserve">look into hiring more salespeople </t>
  </si>
  <si>
    <t xml:space="preserve">how much makreitng do we need to put into to determine the sales we can make </t>
  </si>
  <si>
    <t xml:space="preserve"># of sales we need to make to cover the costs </t>
  </si>
  <si>
    <t xml:space="preserve">Region 1 </t>
  </si>
  <si>
    <t>SECTION 1- BEG INV</t>
  </si>
  <si>
    <t>SECTION 2 - END INV</t>
  </si>
  <si>
    <t>Raw Material 1</t>
  </si>
  <si>
    <t>Raw Material 2</t>
  </si>
  <si>
    <t>Raw Material 3</t>
  </si>
  <si>
    <t>Raw Material Per Climatizer</t>
  </si>
  <si>
    <t>Finished Goods Beg Inv</t>
  </si>
  <si>
    <t>Purchases</t>
  </si>
  <si>
    <t>Productivity Level</t>
  </si>
  <si>
    <t>Product Sold</t>
  </si>
  <si>
    <t>Finished Goods End Inv</t>
  </si>
  <si>
    <t>Planned Sales</t>
  </si>
  <si>
    <t xml:space="preserve">This table tells us the market penetration. </t>
  </si>
  <si>
    <t>Average performance</t>
  </si>
  <si>
    <t xml:space="preserve">We have satisfied 51% of the market. </t>
  </si>
  <si>
    <t xml:space="preserve">We sold in total 1056 of our inventory. </t>
  </si>
  <si>
    <t xml:space="preserve">However, we produced a total of 1200 of our inventory. </t>
  </si>
  <si>
    <t>Inventory Sold</t>
  </si>
  <si>
    <t xml:space="preserve">Our potential demand </t>
  </si>
  <si>
    <t xml:space="preserve">To produce the potential demand </t>
  </si>
  <si>
    <t>We need to purchase</t>
  </si>
  <si>
    <t xml:space="preserve">Ending inventory </t>
  </si>
  <si>
    <t>Sellable units to add</t>
  </si>
  <si>
    <t>R1</t>
  </si>
  <si>
    <t>R2</t>
  </si>
  <si>
    <t>R3</t>
  </si>
  <si>
    <t xml:space="preserve">If we want to purchase </t>
  </si>
  <si>
    <t>R4</t>
  </si>
  <si>
    <t xml:space="preserve">Ending Inventory </t>
  </si>
  <si>
    <t>Initial Capital</t>
  </si>
  <si>
    <t>Human Resource</t>
  </si>
  <si>
    <t>Packaging</t>
  </si>
  <si>
    <t>Unit Raw Material Cost</t>
  </si>
  <si>
    <t>Stanard</t>
  </si>
  <si>
    <t>(standardize the comparison)</t>
  </si>
  <si>
    <t>By Region, then By Quarter</t>
  </si>
  <si>
    <t>Sales unit</t>
  </si>
  <si>
    <t>AP investment</t>
  </si>
  <si>
    <t>Seller commission</t>
  </si>
  <si>
    <t>Seller Salary</t>
  </si>
  <si>
    <t>Labour</t>
  </si>
  <si>
    <t>Note: not sales related</t>
  </si>
  <si>
    <t xml:space="preserve">Payment Type </t>
  </si>
  <si>
    <t xml:space="preserve">CASH </t>
  </si>
  <si>
    <t>0/Q1/Q2</t>
  </si>
  <si>
    <t>CASH</t>
  </si>
  <si>
    <t xml:space="preserve">Actual Sale </t>
  </si>
  <si>
    <t xml:space="preserve">VARIABLE COSTS </t>
  </si>
  <si>
    <t xml:space="preserve">Sales Commission </t>
  </si>
  <si>
    <t xml:space="preserve">Freight Costs </t>
  </si>
  <si>
    <t xml:space="preserve">Region  </t>
  </si>
  <si>
    <t>Unit Sold Per Salesperson</t>
  </si>
  <si>
    <t>FIXED COSTS</t>
  </si>
  <si>
    <t>Sales People</t>
  </si>
  <si>
    <t xml:space="preserve">Salary </t>
  </si>
  <si>
    <t>Benefits</t>
  </si>
  <si>
    <t>Machinery Model 2</t>
  </si>
  <si>
    <t>R&amp;D Price</t>
  </si>
  <si>
    <t xml:space="preserve">R&amp;D Investment </t>
  </si>
  <si>
    <t>Decision Flow</t>
  </si>
  <si>
    <t>1. Validate data from previous quarter</t>
  </si>
  <si>
    <t>2. Copy validated income statement to income statement</t>
  </si>
  <si>
    <t>sales price</t>
  </si>
  <si>
    <t>3. Input exact number of current inventory in "Stock"</t>
  </si>
  <si>
    <t xml:space="preserve">increase salary: we must consider this </t>
  </si>
  <si>
    <t>4. Input current sales person in "employee number"</t>
  </si>
  <si>
    <t>Q5 Predict</t>
  </si>
  <si>
    <t>Plan  to sale</t>
  </si>
  <si>
    <t>Real 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</si>
</sst>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409]* #,##0_);_([$$-409]* \(#,##0\);_([$$-409]* &quot;-&quot;??_);_(@_)"/>
    <numFmt numFmtId="167" formatCode="0.0"/>
    <numFmt numFmtId="168" formatCode="_-[$$-1009]* #,##0_-;\-[$$-1009]* #,##0_-;_-[$$-1009]* &quot;-&quot;??_-;_-@_-"/>
    <numFmt numFmtId="169" formatCode="_-&quot;$&quot;* #,##0_-;\-&quot;$&quot;* #,##0_-;_-&quot;$&quot;* &quot;-&quot;??_-;_-@_-"/>
    <numFmt numFmtId="170" formatCode="_(&quot;$&quot;* #,##0_);_(&quot;$&quot;* \(#,##0\);_(&quot;$&quot;* &quot;-&quot;??_);_(@_)"/>
    <numFmt numFmtId="171" formatCode="_(* #,##0_);_(* \(#,##0\);_(* &quot;-&quot;??_);_(@_)"/>
    <numFmt numFmtId="172" formatCode="_-[$$-1009]* #,##0.00_-;\-[$$-1009]* #,##0.00_-;_-[$$-1009]* &quot;-&quot;??_-;_-@_-"/>
    <numFmt numFmtId="173" formatCode="_([$$-409]* #,##0.00_);_([$$-409]* \(#,##0.00\);_([$$-409]* &quot;-&quot;??_);_(@_)"/>
    <numFmt numFmtId="174" formatCode="_(* #,##0.000_);_(* \(#,##0.000\);_(* &quot;-&quot;???_);_(@_)"/>
    <numFmt numFmtId="175" formatCode="_(* #,##0.0000000_);_(* \(#,##0.0000000\);_(* &quot;-&quot;??_);_(@_)"/>
    <numFmt numFmtId="176" formatCode="_(* #,##0.0000000_);_(* \(#,##0.0000000\);_(* &quot;-&quot;???????_);_(@_)"/>
    <numFmt numFmtId="177" formatCode="_(* #,##0.0_);_(* \(#,##0.0\);_(* &quot;-&quot;?_);_(@_)"/>
    <numFmt numFmtId="178" formatCode="&quot;$&quot;#,##0.00"/>
  </numFmts>
  <fonts count="27" x14ac:knownFonts="1">
    <font>
      <sz val="12"/>
      <color theme="1"/>
      <name val="Aptos Narrow"/>
      <family val="2"/>
      <scheme val="minor"/>
    </font>
    <font>
      <sz val="11"/>
      <color theme="1"/>
      <name val="Aptos Narrow"/>
      <family val="2"/>
      <scheme val="minor"/>
    </font>
    <font>
      <sz val="12"/>
      <color rgb="FF000000"/>
      <name val="Aptos Narrow"/>
      <family val="2"/>
      <scheme val="minor"/>
    </font>
    <font>
      <sz val="12"/>
      <color rgb="FFFF0000"/>
      <name val="Aptos Narrow"/>
      <family val="2"/>
      <scheme val="minor"/>
    </font>
    <font>
      <b/>
      <sz val="12"/>
      <color rgb="FFFF0000"/>
      <name val="Aptos Narrow"/>
      <family val="2"/>
      <scheme val="minor"/>
    </font>
    <font>
      <u/>
      <sz val="12"/>
      <color theme="1"/>
      <name val="Aptos Narrow"/>
      <family val="2"/>
      <scheme val="minor"/>
    </font>
    <font>
      <sz val="11"/>
      <color theme="1"/>
      <name val="Aptos Narrow"/>
      <family val="2"/>
      <scheme val="minor"/>
    </font>
    <font>
      <sz val="12"/>
      <color theme="1"/>
      <name val="Aptos Narrow"/>
      <family val="2"/>
      <scheme val="minor"/>
    </font>
    <font>
      <b/>
      <sz val="12"/>
      <color theme="1"/>
      <name val="Aptos Narrow"/>
      <family val="2"/>
      <scheme val="minor"/>
    </font>
    <font>
      <sz val="12"/>
      <color theme="2"/>
      <name val="Aptos Narrow"/>
      <family val="2"/>
      <scheme val="minor"/>
    </font>
    <font>
      <sz val="12"/>
      <color theme="1"/>
      <name val="Aptos Narrow (Body)"/>
    </font>
    <font>
      <sz val="11"/>
      <color rgb="FFFF0000"/>
      <name val="Aptos Narrow"/>
      <family val="2"/>
      <scheme val="minor"/>
    </font>
    <font>
      <b/>
      <sz val="24"/>
      <color rgb="FF000000"/>
      <name val="Aptos Narrow"/>
      <family val="2"/>
      <scheme val="minor"/>
    </font>
    <font>
      <b/>
      <sz val="12"/>
      <color rgb="FF000000"/>
      <name val="Aptos Narrow"/>
      <family val="2"/>
      <scheme val="minor"/>
    </font>
    <font>
      <b/>
      <sz val="13.5"/>
      <color rgb="FF000000"/>
      <name val="Aptos Narrow"/>
      <family val="2"/>
      <scheme val="minor"/>
    </font>
    <font>
      <sz val="8"/>
      <name val="Aptos Narrow"/>
      <family val="2"/>
      <scheme val="minor"/>
    </font>
    <font>
      <b/>
      <sz val="16"/>
      <color rgb="FF5E5E5E"/>
      <name val="Arial"/>
      <family val="2"/>
    </font>
    <font>
      <sz val="12"/>
      <color theme="1"/>
      <name val="Times New Roman"/>
      <family val="1"/>
    </font>
    <font>
      <u/>
      <sz val="12"/>
      <color theme="10"/>
      <name val="Aptos Narrow"/>
      <family val="2"/>
      <scheme val="minor"/>
    </font>
    <font>
      <sz val="10"/>
      <color theme="1"/>
      <name val="Times New Roman"/>
      <family val="1"/>
    </font>
    <font>
      <sz val="10"/>
      <color rgb="FFFF0000"/>
      <name val="Times New Roman"/>
      <family val="1"/>
    </font>
    <font>
      <sz val="10"/>
      <color rgb="FF000000"/>
      <name val="Times New Roman"/>
      <family val="1"/>
    </font>
    <font>
      <sz val="10"/>
      <color theme="1"/>
      <name val="Aptos Narrow"/>
      <family val="2"/>
      <scheme val="minor"/>
    </font>
    <font>
      <sz val="11"/>
      <color rgb="FF000000"/>
      <name val="Times New Roman"/>
      <family val="1"/>
    </font>
    <font>
      <sz val="11"/>
      <color theme="1"/>
      <name val="Times New Roman"/>
      <family val="1"/>
    </font>
    <font>
      <b/>
      <sz val="12"/>
      <color theme="1"/>
      <name val="Aptos Narrow"/>
      <scheme val="minor"/>
    </font>
    <font>
      <sz val="12"/>
      <color theme="1"/>
      <name val="Aptos Narrow"/>
      <scheme val="minor"/>
    </font>
  </fonts>
  <fills count="2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E8E8E8"/>
        <bgColor rgb="FF000000"/>
      </patternFill>
    </fill>
    <fill>
      <patternFill patternType="solid">
        <fgColor theme="3" tint="0.89999084444715716"/>
        <bgColor rgb="FF000000"/>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bgColor rgb="FF000000"/>
      </patternFill>
    </fill>
    <fill>
      <patternFill patternType="solid">
        <fgColor rgb="FFFFFFFF"/>
        <bgColor rgb="FF000000"/>
      </patternFill>
    </fill>
    <fill>
      <patternFill patternType="solid">
        <fgColor rgb="FFFF0000"/>
        <bgColor indexed="64"/>
      </patternFill>
    </fill>
    <fill>
      <patternFill patternType="solid">
        <fgColor theme="9" tint="0.39997558519241921"/>
        <bgColor indexed="64"/>
      </patternFill>
    </fill>
    <fill>
      <patternFill patternType="solid">
        <fgColor theme="9"/>
        <bgColor indexed="64"/>
      </patternFill>
    </fill>
  </fills>
  <borders count="4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top/>
      <bottom style="double">
        <color indexed="64"/>
      </bottom>
      <diagonal/>
    </border>
    <border>
      <left/>
      <right style="medium">
        <color indexed="64"/>
      </right>
      <top/>
      <bottom style="double">
        <color indexed="64"/>
      </bottom>
      <diagonal/>
    </border>
  </borders>
  <cellStyleXfs count="7">
    <xf numFmtId="0" fontId="0" fillId="0" borderId="0"/>
    <xf numFmtId="165" fontId="6" fillId="0" borderId="0" applyFont="0" applyFill="0" applyBorder="0" applyAlignment="0" applyProtection="0"/>
    <xf numFmtId="0" fontId="6" fillId="0" borderId="0"/>
    <xf numFmtId="164"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18" fillId="0" borderId="0" applyNumberFormat="0" applyFill="0" applyBorder="0" applyAlignment="0" applyProtection="0"/>
  </cellStyleXfs>
  <cellXfs count="593">
    <xf numFmtId="0" fontId="0" fillId="0" borderId="0" xfId="0"/>
    <xf numFmtId="0" fontId="0" fillId="0" borderId="0" xfId="0" applyAlignment="1">
      <alignment horizontal="right"/>
    </xf>
    <xf numFmtId="3" fontId="0" fillId="2" borderId="0" xfId="0" applyNumberFormat="1" applyFill="1"/>
    <xf numFmtId="3" fontId="0" fillId="0" borderId="0" xfId="0" applyNumberFormat="1" applyAlignment="1">
      <alignment horizontal="center" vertical="center"/>
    </xf>
    <xf numFmtId="0" fontId="0" fillId="3" borderId="0" xfId="0" applyFill="1"/>
    <xf numFmtId="0" fontId="0" fillId="3" borderId="0" xfId="0" applyFill="1" applyAlignment="1">
      <alignment horizontal="right"/>
    </xf>
    <xf numFmtId="3" fontId="0" fillId="3" borderId="0" xfId="0" applyNumberFormat="1" applyFill="1"/>
    <xf numFmtId="3" fontId="2" fillId="3" borderId="0" xfId="0" applyNumberFormat="1" applyFont="1" applyFill="1"/>
    <xf numFmtId="3" fontId="0" fillId="4" borderId="0" xfId="0" applyNumberFormat="1" applyFill="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2" borderId="0" xfId="0" applyFill="1"/>
    <xf numFmtId="0" fontId="0" fillId="2" borderId="7" xfId="0" applyFill="1" applyBorder="1"/>
    <xf numFmtId="0" fontId="0" fillId="3" borderId="0" xfId="0" applyFill="1" applyAlignment="1">
      <alignment horizontal="left" vertical="center"/>
    </xf>
    <xf numFmtId="3" fontId="0" fillId="3" borderId="0" xfId="0" applyNumberFormat="1" applyFill="1" applyAlignment="1">
      <alignment horizontal="left"/>
    </xf>
    <xf numFmtId="0" fontId="0" fillId="3" borderId="7" xfId="0" applyFill="1" applyBorder="1" applyAlignment="1">
      <alignment horizontal="left"/>
    </xf>
    <xf numFmtId="0" fontId="0" fillId="3" borderId="9" xfId="0" applyFill="1" applyBorder="1" applyAlignment="1">
      <alignment horizontal="right"/>
    </xf>
    <xf numFmtId="3" fontId="0" fillId="4" borderId="10" xfId="0" applyNumberFormat="1" applyFill="1" applyBorder="1"/>
    <xf numFmtId="0" fontId="0" fillId="3" borderId="12" xfId="0" applyFill="1" applyBorder="1" applyAlignment="1">
      <alignment horizontal="right"/>
    </xf>
    <xf numFmtId="0" fontId="0" fillId="3" borderId="13" xfId="0" applyFill="1" applyBorder="1"/>
    <xf numFmtId="0" fontId="0" fillId="3" borderId="14" xfId="0" applyFill="1" applyBorder="1" applyAlignment="1">
      <alignment horizontal="right"/>
    </xf>
    <xf numFmtId="3" fontId="0" fillId="3" borderId="15" xfId="0" applyNumberFormat="1" applyFill="1" applyBorder="1"/>
    <xf numFmtId="0" fontId="0" fillId="3" borderId="16" xfId="0" applyFill="1" applyBorder="1"/>
    <xf numFmtId="0" fontId="2" fillId="3" borderId="13" xfId="0" applyFont="1" applyFill="1" applyBorder="1"/>
    <xf numFmtId="3" fontId="0" fillId="3" borderId="10" xfId="0" applyNumberFormat="1" applyFill="1" applyBorder="1"/>
    <xf numFmtId="0" fontId="0" fillId="3" borderId="11" xfId="0" applyFill="1" applyBorder="1"/>
    <xf numFmtId="3" fontId="3" fillId="3" borderId="10" xfId="0" applyNumberFormat="1" applyFont="1" applyFill="1" applyBorder="1"/>
    <xf numFmtId="0" fontId="4" fillId="3" borderId="11" xfId="0" applyFont="1" applyFill="1" applyBorder="1"/>
    <xf numFmtId="9" fontId="0" fillId="3" borderId="16" xfId="0" applyNumberFormat="1" applyFill="1" applyBorder="1"/>
    <xf numFmtId="9" fontId="0" fillId="3" borderId="13" xfId="0" applyNumberFormat="1" applyFill="1" applyBorder="1"/>
    <xf numFmtId="44" fontId="0" fillId="0" borderId="0" xfId="0" applyNumberFormat="1"/>
    <xf numFmtId="0" fontId="5" fillId="3" borderId="0" xfId="0" applyFont="1" applyFill="1"/>
    <xf numFmtId="0" fontId="6" fillId="0" borderId="0" xfId="2"/>
    <xf numFmtId="10" fontId="6" fillId="0" borderId="0" xfId="2" applyNumberFormat="1"/>
    <xf numFmtId="9" fontId="6" fillId="0" borderId="0" xfId="2" applyNumberFormat="1"/>
    <xf numFmtId="1" fontId="6" fillId="0" borderId="0" xfId="2" applyNumberFormat="1"/>
    <xf numFmtId="3" fontId="0" fillId="3" borderId="0" xfId="0" applyNumberFormat="1" applyFill="1" applyAlignment="1">
      <alignment horizontal="right"/>
    </xf>
    <xf numFmtId="0" fontId="7" fillId="3" borderId="9" xfId="0" applyFont="1" applyFill="1" applyBorder="1" applyAlignment="1">
      <alignment horizontal="right"/>
    </xf>
    <xf numFmtId="0" fontId="7" fillId="3" borderId="13" xfId="0" applyFont="1" applyFill="1" applyBorder="1"/>
    <xf numFmtId="0" fontId="7" fillId="3" borderId="12" xfId="0" applyFont="1" applyFill="1" applyBorder="1" applyAlignment="1">
      <alignment horizontal="right"/>
    </xf>
    <xf numFmtId="3" fontId="7" fillId="3" borderId="0" xfId="0" applyNumberFormat="1" applyFont="1" applyFill="1" applyAlignment="1">
      <alignment horizontal="right"/>
    </xf>
    <xf numFmtId="0" fontId="7" fillId="3" borderId="13" xfId="0" applyFont="1" applyFill="1" applyBorder="1" applyAlignment="1">
      <alignment horizontal="right"/>
    </xf>
    <xf numFmtId="9" fontId="7" fillId="3" borderId="13" xfId="0" applyNumberFormat="1" applyFont="1" applyFill="1" applyBorder="1" applyAlignment="1">
      <alignment horizontal="right"/>
    </xf>
    <xf numFmtId="0" fontId="7" fillId="3" borderId="14" xfId="0" applyFont="1" applyFill="1" applyBorder="1" applyAlignment="1">
      <alignment horizontal="right"/>
    </xf>
    <xf numFmtId="3" fontId="7" fillId="3" borderId="15" xfId="0" applyNumberFormat="1" applyFont="1" applyFill="1" applyBorder="1" applyAlignment="1">
      <alignment horizontal="right"/>
    </xf>
    <xf numFmtId="9" fontId="7" fillId="3" borderId="16" xfId="0" applyNumberFormat="1" applyFont="1" applyFill="1" applyBorder="1" applyAlignment="1">
      <alignment horizontal="right"/>
    </xf>
    <xf numFmtId="0" fontId="7" fillId="3" borderId="16" xfId="0" applyFont="1" applyFill="1" applyBorder="1"/>
    <xf numFmtId="3" fontId="7" fillId="4" borderId="0" xfId="0" applyNumberFormat="1" applyFont="1" applyFill="1"/>
    <xf numFmtId="3" fontId="7" fillId="3" borderId="0" xfId="0" applyNumberFormat="1" applyFont="1" applyFill="1"/>
    <xf numFmtId="0" fontId="0" fillId="5" borderId="9" xfId="0" applyFill="1" applyBorder="1" applyAlignment="1">
      <alignment horizontal="right"/>
    </xf>
    <xf numFmtId="3" fontId="7" fillId="5" borderId="10" xfId="0" applyNumberFormat="1" applyFont="1" applyFill="1" applyBorder="1"/>
    <xf numFmtId="0" fontId="8" fillId="5" borderId="11" xfId="0" applyFont="1" applyFill="1" applyBorder="1"/>
    <xf numFmtId="3" fontId="0" fillId="0" borderId="0" xfId="0" applyNumberFormat="1" applyAlignment="1">
      <alignment horizontal="right"/>
    </xf>
    <xf numFmtId="0" fontId="6" fillId="6" borderId="0" xfId="2" applyFill="1"/>
    <xf numFmtId="9" fontId="0" fillId="0" borderId="0" xfId="0" applyNumberFormat="1"/>
    <xf numFmtId="10" fontId="0" fillId="0" borderId="0" xfId="0" applyNumberFormat="1"/>
    <xf numFmtId="0" fontId="0" fillId="6" borderId="3" xfId="0" applyFill="1" applyBorder="1"/>
    <xf numFmtId="0" fontId="0" fillId="5" borderId="4" xfId="0" applyFill="1" applyBorder="1"/>
    <xf numFmtId="0" fontId="0" fillId="5" borderId="5" xfId="0" applyFill="1" applyBorder="1"/>
    <xf numFmtId="0" fontId="0" fillId="6" borderId="1" xfId="0" applyFill="1" applyBorder="1"/>
    <xf numFmtId="0" fontId="0" fillId="5" borderId="6" xfId="0" applyFill="1" applyBorder="1"/>
    <xf numFmtId="0" fontId="0" fillId="3" borderId="4" xfId="0" applyFill="1" applyBorder="1" applyAlignment="1">
      <alignment horizontal="right"/>
    </xf>
    <xf numFmtId="0" fontId="0" fillId="3" borderId="6" xfId="0" applyFill="1" applyBorder="1" applyAlignment="1">
      <alignment horizontal="right"/>
    </xf>
    <xf numFmtId="0" fontId="0" fillId="7" borderId="0" xfId="0" applyFill="1"/>
    <xf numFmtId="0" fontId="0" fillId="3" borderId="0" xfId="0" applyFill="1" applyAlignment="1">
      <alignment horizontal="left"/>
    </xf>
    <xf numFmtId="0" fontId="0" fillId="3" borderId="17" xfId="0" applyFill="1" applyBorder="1"/>
    <xf numFmtId="0" fontId="0" fillId="3" borderId="18" xfId="0" applyFill="1" applyBorder="1"/>
    <xf numFmtId="0" fontId="0" fillId="3" borderId="19" xfId="0" applyFill="1" applyBorder="1"/>
    <xf numFmtId="0" fontId="0" fillId="6" borderId="4" xfId="0" applyFill="1" applyBorder="1"/>
    <xf numFmtId="0" fontId="0" fillId="6" borderId="6" xfId="0" applyFill="1" applyBorder="1"/>
    <xf numFmtId="0" fontId="0" fillId="7" borderId="8" xfId="0" applyFill="1" applyBorder="1"/>
    <xf numFmtId="0" fontId="0" fillId="6" borderId="5" xfId="0" applyFill="1" applyBorder="1"/>
    <xf numFmtId="0" fontId="0" fillId="6" borderId="17" xfId="0" applyFill="1" applyBorder="1"/>
    <xf numFmtId="0" fontId="0" fillId="6" borderId="18" xfId="0" applyFill="1" applyBorder="1"/>
    <xf numFmtId="0" fontId="0" fillId="6" borderId="19" xfId="0" applyFill="1" applyBorder="1"/>
    <xf numFmtId="0" fontId="0" fillId="5" borderId="17" xfId="0" applyFill="1" applyBorder="1"/>
    <xf numFmtId="0" fontId="0" fillId="5" borderId="18" xfId="0" applyFill="1" applyBorder="1"/>
    <xf numFmtId="0" fontId="0" fillId="5" borderId="19" xfId="0" applyFill="1" applyBorder="1"/>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1" xfId="0" applyBorder="1"/>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4" xfId="0" applyBorder="1"/>
    <xf numFmtId="0" fontId="0" fillId="0" borderId="5" xfId="0" applyBorder="1"/>
    <xf numFmtId="0" fontId="0" fillId="7" borderId="7" xfId="0" applyFill="1" applyBorder="1"/>
    <xf numFmtId="9" fontId="0" fillId="3" borderId="4" xfId="0" applyNumberFormat="1" applyFill="1" applyBorder="1" applyAlignment="1">
      <alignment horizontal="center"/>
    </xf>
    <xf numFmtId="10" fontId="0" fillId="3" borderId="6" xfId="0" applyNumberFormat="1" applyFill="1" applyBorder="1" applyAlignment="1">
      <alignment horizontal="center"/>
    </xf>
    <xf numFmtId="0" fontId="0" fillId="3" borderId="22" xfId="0" applyFill="1" applyBorder="1"/>
    <xf numFmtId="0" fontId="0" fillId="8" borderId="0" xfId="0" applyFill="1"/>
    <xf numFmtId="0" fontId="0" fillId="8" borderId="7" xfId="0" applyFill="1" applyBorder="1"/>
    <xf numFmtId="166" fontId="0" fillId="5" borderId="5" xfId="0" applyNumberFormat="1" applyFill="1" applyBorder="1"/>
    <xf numFmtId="166" fontId="0" fillId="5" borderId="8" xfId="0" applyNumberFormat="1" applyFill="1" applyBorder="1"/>
    <xf numFmtId="0" fontId="0" fillId="3" borderId="21" xfId="0" applyFill="1" applyBorder="1"/>
    <xf numFmtId="0" fontId="0" fillId="2" borderId="1" xfId="0" applyFill="1" applyBorder="1" applyAlignment="1">
      <alignment horizontal="right"/>
    </xf>
    <xf numFmtId="0" fontId="0" fillId="2" borderId="3" xfId="0" applyFill="1" applyBorder="1"/>
    <xf numFmtId="0" fontId="0" fillId="2" borderId="1" xfId="0" applyFill="1" applyBorder="1"/>
    <xf numFmtId="0" fontId="0" fillId="0" borderId="23" xfId="0" applyBorder="1"/>
    <xf numFmtId="0" fontId="0" fillId="0" borderId="24" xfId="0" applyBorder="1"/>
    <xf numFmtId="0" fontId="0" fillId="0" borderId="25" xfId="0" applyBorder="1"/>
    <xf numFmtId="0" fontId="0" fillId="3" borderId="26" xfId="0" applyFill="1" applyBorder="1"/>
    <xf numFmtId="166" fontId="0" fillId="0" borderId="0" xfId="0" applyNumberFormat="1"/>
    <xf numFmtId="166" fontId="0" fillId="0" borderId="27" xfId="0" applyNumberFormat="1" applyBorder="1"/>
    <xf numFmtId="0" fontId="0" fillId="3" borderId="26" xfId="0" applyFill="1" applyBorder="1" applyAlignment="1">
      <alignment horizontal="left" vertical="center"/>
    </xf>
    <xf numFmtId="0" fontId="0" fillId="0" borderId="27" xfId="0" applyBorder="1"/>
    <xf numFmtId="3" fontId="0" fillId="3" borderId="26" xfId="0" applyNumberFormat="1" applyFill="1" applyBorder="1" applyAlignment="1">
      <alignment horizontal="left"/>
    </xf>
    <xf numFmtId="0" fontId="0" fillId="3" borderId="26" xfId="0" applyFill="1" applyBorder="1" applyAlignment="1">
      <alignment horizontal="left"/>
    </xf>
    <xf numFmtId="0" fontId="0" fillId="0" borderId="28" xfId="0" applyBorder="1"/>
    <xf numFmtId="166" fontId="0" fillId="0" borderId="29" xfId="0" applyNumberFormat="1" applyBorder="1"/>
    <xf numFmtId="166" fontId="0" fillId="0" borderId="30" xfId="0" applyNumberFormat="1" applyBorder="1"/>
    <xf numFmtId="0" fontId="0" fillId="9" borderId="0" xfId="0" applyFill="1"/>
    <xf numFmtId="0" fontId="0" fillId="4" borderId="0" xfId="0" applyFill="1"/>
    <xf numFmtId="0" fontId="3" fillId="0" borderId="0" xfId="0" applyFont="1"/>
    <xf numFmtId="0" fontId="3" fillId="9" borderId="0" xfId="0" applyFont="1" applyFill="1"/>
    <xf numFmtId="0" fontId="0" fillId="5" borderId="0" xfId="0" applyFill="1"/>
    <xf numFmtId="0" fontId="3" fillId="10" borderId="0" xfId="0" applyFont="1" applyFill="1"/>
    <xf numFmtId="0" fontId="0" fillId="10" borderId="0" xfId="0" applyFill="1"/>
    <xf numFmtId="4" fontId="0" fillId="0" borderId="0" xfId="0" applyNumberFormat="1"/>
    <xf numFmtId="0" fontId="0" fillId="0" borderId="26" xfId="0" applyBorder="1"/>
    <xf numFmtId="0" fontId="0" fillId="0" borderId="29" xfId="0" applyBorder="1"/>
    <xf numFmtId="0" fontId="3" fillId="0" borderId="29" xfId="0" applyFont="1" applyBorder="1"/>
    <xf numFmtId="0" fontId="0" fillId="0" borderId="30" xfId="0" applyBorder="1"/>
    <xf numFmtId="16" fontId="0" fillId="0" borderId="0" xfId="0" applyNumberFormat="1"/>
    <xf numFmtId="0" fontId="0" fillId="6" borderId="0" xfId="0" applyFill="1"/>
    <xf numFmtId="0" fontId="0" fillId="0" borderId="0" xfId="0" applyAlignment="1">
      <alignment horizontal="center"/>
    </xf>
    <xf numFmtId="9" fontId="0" fillId="0" borderId="0" xfId="5" applyFont="1"/>
    <xf numFmtId="10" fontId="0" fillId="0" borderId="0" xfId="5" applyNumberFormat="1" applyFont="1"/>
    <xf numFmtId="0" fontId="0" fillId="0" borderId="2" xfId="0" applyBorder="1" applyAlignment="1">
      <alignment horizontal="center"/>
    </xf>
    <xf numFmtId="0" fontId="0" fillId="0" borderId="3" xfId="0" applyBorder="1" applyAlignment="1">
      <alignment horizontal="center"/>
    </xf>
    <xf numFmtId="10" fontId="0" fillId="11" borderId="7" xfId="5" applyNumberFormat="1" applyFont="1" applyFill="1" applyBorder="1"/>
    <xf numFmtId="10" fontId="0" fillId="11" borderId="8" xfId="5" applyNumberFormat="1" applyFont="1" applyFill="1" applyBorder="1"/>
    <xf numFmtId="0" fontId="0" fillId="5" borderId="1" xfId="0" applyFill="1" applyBorder="1"/>
    <xf numFmtId="0" fontId="0" fillId="5" borderId="2" xfId="0" applyFill="1" applyBorder="1"/>
    <xf numFmtId="0" fontId="0" fillId="5" borderId="3" xfId="0" applyFill="1" applyBorder="1"/>
    <xf numFmtId="0" fontId="0" fillId="12" borderId="0" xfId="0" applyFill="1"/>
    <xf numFmtId="166" fontId="0" fillId="12" borderId="0" xfId="0" applyNumberFormat="1" applyFill="1"/>
    <xf numFmtId="167" fontId="0" fillId="0" borderId="0" xfId="0" applyNumberFormat="1"/>
    <xf numFmtId="0" fontId="9" fillId="0" borderId="0" xfId="0" applyFont="1"/>
    <xf numFmtId="37" fontId="0" fillId="3" borderId="0" xfId="0" applyNumberFormat="1" applyFill="1"/>
    <xf numFmtId="37" fontId="0" fillId="3" borderId="5" xfId="3" applyNumberFormat="1" applyFont="1" applyFill="1" applyBorder="1"/>
    <xf numFmtId="37" fontId="0" fillId="3" borderId="7" xfId="0" applyNumberFormat="1" applyFill="1" applyBorder="1"/>
    <xf numFmtId="37" fontId="0" fillId="3" borderId="8" xfId="3" applyNumberFormat="1" applyFont="1" applyFill="1" applyBorder="1"/>
    <xf numFmtId="0" fontId="0" fillId="0" borderId="7" xfId="0" applyBorder="1" applyAlignment="1">
      <alignment horizontal="center"/>
    </xf>
    <xf numFmtId="0" fontId="0" fillId="8" borderId="18" xfId="0" applyFill="1" applyBorder="1" applyAlignment="1">
      <alignment horizontal="center"/>
    </xf>
    <xf numFmtId="0" fontId="0" fillId="8" borderId="7" xfId="0" applyFill="1" applyBorder="1" applyAlignment="1">
      <alignment horizontal="center"/>
    </xf>
    <xf numFmtId="0" fontId="0" fillId="0" borderId="6" xfId="0" applyBorder="1" applyAlignment="1">
      <alignment horizontal="center"/>
    </xf>
    <xf numFmtId="0" fontId="0" fillId="0" borderId="31" xfId="0" applyBorder="1"/>
    <xf numFmtId="0" fontId="0" fillId="0" borderId="31" xfId="0" applyBorder="1" applyAlignment="1">
      <alignment horizontal="center"/>
    </xf>
    <xf numFmtId="0" fontId="0" fillId="0" borderId="22" xfId="0" applyBorder="1" applyAlignment="1">
      <alignment horizontal="center"/>
    </xf>
    <xf numFmtId="0" fontId="0" fillId="13" borderId="18" xfId="0" applyFill="1" applyBorder="1"/>
    <xf numFmtId="0" fontId="0" fillId="8" borderId="18" xfId="0" applyFill="1" applyBorder="1"/>
    <xf numFmtId="0" fontId="0" fillId="0" borderId="18" xfId="0" applyBorder="1"/>
    <xf numFmtId="0" fontId="0" fillId="0" borderId="19" xfId="0" applyBorder="1"/>
    <xf numFmtId="0" fontId="0" fillId="0" borderId="32" xfId="0" applyBorder="1" applyAlignment="1">
      <alignment horizontal="center"/>
    </xf>
    <xf numFmtId="0" fontId="0" fillId="0" borderId="33" xfId="0" applyBorder="1"/>
    <xf numFmtId="0" fontId="0" fillId="0" borderId="34" xfId="0" applyBorder="1" applyAlignment="1">
      <alignment horizontal="center"/>
    </xf>
    <xf numFmtId="0" fontId="0" fillId="0" borderId="35" xfId="0" applyBorder="1"/>
    <xf numFmtId="0" fontId="0" fillId="0" borderId="36" xfId="0" applyBorder="1" applyAlignment="1">
      <alignment horizontal="center"/>
    </xf>
    <xf numFmtId="0" fontId="0" fillId="0" borderId="37" xfId="0" applyBorder="1"/>
    <xf numFmtId="0" fontId="0" fillId="13" borderId="0" xfId="0" applyFill="1"/>
    <xf numFmtId="166" fontId="9" fillId="0" borderId="0" xfId="0" applyNumberFormat="1" applyFont="1"/>
    <xf numFmtId="9" fontId="9" fillId="0" borderId="0" xfId="5" applyFont="1"/>
    <xf numFmtId="0" fontId="10" fillId="0" borderId="0" xfId="0" applyFont="1"/>
    <xf numFmtId="0" fontId="2" fillId="0" borderId="0" xfId="0" applyFont="1"/>
    <xf numFmtId="0" fontId="0" fillId="11" borderId="0" xfId="0" applyFill="1"/>
    <xf numFmtId="0" fontId="0" fillId="0" borderId="0" xfId="0" applyAlignment="1">
      <alignment horizontal="left" vertical="center"/>
    </xf>
    <xf numFmtId="3" fontId="0" fillId="0" borderId="0" xfId="0" applyNumberFormat="1" applyAlignment="1">
      <alignment horizontal="left"/>
    </xf>
    <xf numFmtId="0" fontId="0" fillId="0" borderId="0" xfId="0" applyAlignment="1">
      <alignment horizontal="left"/>
    </xf>
    <xf numFmtId="0" fontId="0" fillId="3" borderId="20" xfId="0" applyFill="1" applyBorder="1"/>
    <xf numFmtId="0" fontId="0" fillId="3" borderId="23" xfId="0" applyFill="1" applyBorder="1"/>
    <xf numFmtId="0" fontId="0" fillId="3" borderId="24" xfId="0" applyFill="1" applyBorder="1"/>
    <xf numFmtId="0" fontId="0" fillId="3" borderId="25" xfId="0" applyFill="1" applyBorder="1"/>
    <xf numFmtId="0" fontId="0" fillId="3" borderId="27" xfId="0" applyFill="1" applyBorder="1"/>
    <xf numFmtId="0" fontId="0" fillId="3" borderId="17" xfId="0" applyFill="1" applyBorder="1" applyAlignment="1">
      <alignment horizontal="center"/>
    </xf>
    <xf numFmtId="0" fontId="0" fillId="3" borderId="31" xfId="0" applyFill="1" applyBorder="1" applyAlignment="1">
      <alignment horizontal="center"/>
    </xf>
    <xf numFmtId="0" fontId="0" fillId="3" borderId="18" xfId="0" applyFill="1" applyBorder="1" applyAlignment="1">
      <alignment horizontal="center"/>
    </xf>
    <xf numFmtId="0" fontId="0" fillId="3" borderId="31" xfId="0" applyFill="1" applyBorder="1"/>
    <xf numFmtId="0" fontId="0" fillId="3" borderId="0" xfId="0" applyFill="1" applyAlignment="1">
      <alignment horizontal="center"/>
    </xf>
    <xf numFmtId="0" fontId="0" fillId="3" borderId="28" xfId="0" applyFill="1" applyBorder="1"/>
    <xf numFmtId="0" fontId="0" fillId="3" borderId="29" xfId="0" applyFill="1" applyBorder="1"/>
    <xf numFmtId="0" fontId="0" fillId="3" borderId="30" xfId="0" applyFill="1" applyBorder="1"/>
    <xf numFmtId="169" fontId="0" fillId="0" borderId="7" xfId="3" applyNumberFormat="1" applyFont="1" applyBorder="1"/>
    <xf numFmtId="166" fontId="0" fillId="0" borderId="5" xfId="0" applyNumberFormat="1" applyBorder="1"/>
    <xf numFmtId="166" fontId="0" fillId="0" borderId="8" xfId="0" applyNumberFormat="1" applyBorder="1"/>
    <xf numFmtId="0" fontId="0" fillId="7" borderId="5" xfId="0" applyFill="1" applyBorder="1"/>
    <xf numFmtId="0" fontId="0" fillId="0" borderId="17" xfId="0" applyBorder="1"/>
    <xf numFmtId="0" fontId="0" fillId="7" borderId="19" xfId="0" applyFill="1" applyBorder="1"/>
    <xf numFmtId="166" fontId="0" fillId="7" borderId="5" xfId="0" applyNumberFormat="1" applyFill="1" applyBorder="1"/>
    <xf numFmtId="170" fontId="0" fillId="3" borderId="5" xfId="4" applyNumberFormat="1" applyFont="1" applyFill="1" applyBorder="1"/>
    <xf numFmtId="0" fontId="3" fillId="3" borderId="0" xfId="0" applyFont="1" applyFill="1"/>
    <xf numFmtId="0" fontId="0" fillId="0" borderId="38" xfId="0" applyBorder="1" applyAlignment="1">
      <alignment horizontal="center"/>
    </xf>
    <xf numFmtId="0" fontId="0" fillId="3" borderId="38" xfId="0" applyFill="1" applyBorder="1" applyAlignment="1">
      <alignment horizontal="center"/>
    </xf>
    <xf numFmtId="0" fontId="0" fillId="0" borderId="22" xfId="0" applyBorder="1"/>
    <xf numFmtId="0" fontId="0" fillId="13" borderId="7" xfId="0" applyFill="1" applyBorder="1"/>
    <xf numFmtId="0" fontId="0" fillId="8" borderId="22" xfId="0" applyFill="1" applyBorder="1" applyAlignment="1">
      <alignment horizontal="center"/>
    </xf>
    <xf numFmtId="0" fontId="0" fillId="8" borderId="31" xfId="0" applyFill="1" applyBorder="1" applyAlignment="1">
      <alignment horizontal="center"/>
    </xf>
    <xf numFmtId="0" fontId="0" fillId="13" borderId="31" xfId="0" applyFill="1" applyBorder="1"/>
    <xf numFmtId="0" fontId="0" fillId="8" borderId="31" xfId="0" applyFill="1" applyBorder="1"/>
    <xf numFmtId="0" fontId="0" fillId="0" borderId="21" xfId="0" applyBorder="1" applyAlignment="1">
      <alignment horizontal="center"/>
    </xf>
    <xf numFmtId="0" fontId="0" fillId="5" borderId="2" xfId="0" applyFill="1" applyBorder="1" applyAlignment="1">
      <alignment horizontal="center"/>
    </xf>
    <xf numFmtId="0" fontId="0" fillId="5" borderId="0" xfId="0" applyFill="1" applyAlignment="1">
      <alignment horizontal="center"/>
    </xf>
    <xf numFmtId="0" fontId="0" fillId="5" borderId="3" xfId="0" applyFill="1" applyBorder="1" applyAlignment="1">
      <alignment horizontal="center"/>
    </xf>
    <xf numFmtId="0" fontId="0" fillId="7" borderId="2" xfId="0" applyFill="1" applyBorder="1" applyAlignment="1">
      <alignment horizontal="center"/>
    </xf>
    <xf numFmtId="0" fontId="0" fillId="7" borderId="3" xfId="0" applyFill="1" applyBorder="1" applyAlignment="1">
      <alignment horizontal="center"/>
    </xf>
    <xf numFmtId="166" fontId="0" fillId="3" borderId="0" xfId="0" applyNumberFormat="1" applyFill="1"/>
    <xf numFmtId="0" fontId="0" fillId="3" borderId="5" xfId="0" applyFill="1" applyBorder="1" applyAlignment="1">
      <alignment horizontal="center"/>
    </xf>
    <xf numFmtId="171" fontId="0" fillId="3" borderId="5" xfId="4" applyNumberFormat="1" applyFont="1" applyFill="1" applyBorder="1" applyAlignment="1">
      <alignment horizontal="center"/>
    </xf>
    <xf numFmtId="166" fontId="0" fillId="3" borderId="5" xfId="0" applyNumberFormat="1" applyFill="1" applyBorder="1"/>
    <xf numFmtId="9" fontId="0" fillId="0" borderId="7" xfId="5" applyFont="1" applyBorder="1"/>
    <xf numFmtId="0" fontId="0" fillId="14" borderId="0" xfId="0" applyFill="1"/>
    <xf numFmtId="10" fontId="0" fillId="3" borderId="0" xfId="0" applyNumberFormat="1" applyFill="1"/>
    <xf numFmtId="43" fontId="0" fillId="3" borderId="5" xfId="4" applyFont="1" applyFill="1" applyBorder="1"/>
    <xf numFmtId="171" fontId="0" fillId="3" borderId="5" xfId="4" applyNumberFormat="1" applyFont="1" applyFill="1" applyBorder="1"/>
    <xf numFmtId="0" fontId="0" fillId="14" borderId="24" xfId="0" applyFill="1" applyBorder="1" applyAlignment="1">
      <alignment horizontal="right" vertical="center"/>
    </xf>
    <xf numFmtId="0" fontId="0" fillId="0" borderId="27" xfId="0" applyBorder="1" applyAlignment="1">
      <alignment horizontal="right" vertical="center"/>
    </xf>
    <xf numFmtId="0" fontId="0" fillId="14" borderId="23" xfId="0" applyFill="1" applyBorder="1" applyAlignment="1">
      <alignment horizontal="left" vertical="center"/>
    </xf>
    <xf numFmtId="0" fontId="0" fillId="0" borderId="26" xfId="0" applyBorder="1" applyAlignment="1">
      <alignment horizontal="left" vertical="center"/>
    </xf>
    <xf numFmtId="0" fontId="0" fillId="0" borderId="28" xfId="0" applyBorder="1" applyAlignment="1">
      <alignment horizontal="left" vertical="center"/>
    </xf>
    <xf numFmtId="0" fontId="0" fillId="0" borderId="0" xfId="0" applyAlignment="1">
      <alignment horizontal="right" vertical="center"/>
    </xf>
    <xf numFmtId="164" fontId="0" fillId="0" borderId="0" xfId="0" applyNumberFormat="1" applyAlignment="1">
      <alignment horizontal="right" vertical="center"/>
    </xf>
    <xf numFmtId="0" fontId="0" fillId="0" borderId="26" xfId="2" applyFont="1" applyBorder="1" applyAlignment="1">
      <alignment horizontal="left" vertical="center"/>
    </xf>
    <xf numFmtId="9" fontId="0" fillId="0" borderId="31" xfId="5" applyFont="1" applyBorder="1" applyAlignment="1">
      <alignment horizontal="right" vertical="center"/>
    </xf>
    <xf numFmtId="168" fontId="0" fillId="0" borderId="31" xfId="4" applyNumberFormat="1" applyFont="1" applyBorder="1" applyAlignment="1">
      <alignment horizontal="right" vertical="center"/>
    </xf>
    <xf numFmtId="172" fontId="0" fillId="0" borderId="31" xfId="0" applyNumberFormat="1" applyBorder="1" applyAlignment="1">
      <alignment horizontal="right" vertical="center"/>
    </xf>
    <xf numFmtId="169" fontId="0" fillId="0" borderId="31" xfId="3" applyNumberFormat="1" applyFont="1" applyBorder="1" applyAlignment="1">
      <alignment horizontal="right" vertical="center"/>
    </xf>
    <xf numFmtId="1" fontId="0" fillId="0" borderId="31" xfId="0" applyNumberFormat="1" applyBorder="1" applyAlignment="1">
      <alignment horizontal="right" vertical="center"/>
    </xf>
    <xf numFmtId="170" fontId="0" fillId="3" borderId="3" xfId="4" applyNumberFormat="1" applyFont="1" applyFill="1" applyBorder="1"/>
    <xf numFmtId="170" fontId="0" fillId="0" borderId="8" xfId="0" applyNumberFormat="1" applyBorder="1"/>
    <xf numFmtId="0" fontId="0" fillId="14" borderId="25" xfId="0" applyFill="1" applyBorder="1" applyAlignment="1">
      <alignment horizontal="right" vertical="center"/>
    </xf>
    <xf numFmtId="173" fontId="0" fillId="0" borderId="0" xfId="0" applyNumberFormat="1"/>
    <xf numFmtId="166" fontId="0" fillId="10" borderId="0" xfId="0" applyNumberFormat="1" applyFill="1"/>
    <xf numFmtId="9" fontId="0" fillId="10" borderId="0" xfId="0" applyNumberFormat="1" applyFill="1"/>
    <xf numFmtId="169" fontId="0" fillId="0" borderId="0" xfId="0" applyNumberFormat="1"/>
    <xf numFmtId="169" fontId="0" fillId="10" borderId="0" xfId="0" applyNumberFormat="1" applyFill="1"/>
    <xf numFmtId="0" fontId="0" fillId="0" borderId="17" xfId="0" applyBorder="1" applyAlignment="1">
      <alignment horizontal="right"/>
    </xf>
    <xf numFmtId="4" fontId="3" fillId="0" borderId="0" xfId="0" applyNumberFormat="1" applyFont="1"/>
    <xf numFmtId="173" fontId="0" fillId="10" borderId="0" xfId="0" applyNumberFormat="1" applyFill="1"/>
    <xf numFmtId="0" fontId="2" fillId="15" borderId="1" xfId="0" applyFont="1" applyFill="1" applyBorder="1"/>
    <xf numFmtId="0" fontId="2" fillId="15" borderId="2" xfId="0" applyFont="1" applyFill="1" applyBorder="1"/>
    <xf numFmtId="0" fontId="2" fillId="15" borderId="3" xfId="0" applyFont="1" applyFill="1" applyBorder="1"/>
    <xf numFmtId="0" fontId="2" fillId="15" borderId="4" xfId="0" applyFont="1" applyFill="1" applyBorder="1"/>
    <xf numFmtId="166" fontId="2" fillId="0" borderId="0" xfId="0" applyNumberFormat="1" applyFont="1"/>
    <xf numFmtId="0" fontId="2" fillId="0" borderId="5" xfId="0" applyFont="1" applyBorder="1"/>
    <xf numFmtId="0" fontId="2" fillId="15" borderId="6" xfId="0" applyFont="1" applyFill="1" applyBorder="1"/>
    <xf numFmtId="0" fontId="2" fillId="0" borderId="7" xfId="0" applyFont="1" applyBorder="1"/>
    <xf numFmtId="0" fontId="2" fillId="0" borderId="8" xfId="0" applyFont="1" applyBorder="1"/>
    <xf numFmtId="0" fontId="2" fillId="7" borderId="0" xfId="0" applyFont="1" applyFill="1"/>
    <xf numFmtId="173" fontId="2" fillId="7" borderId="0" xfId="0" applyNumberFormat="1" applyFont="1" applyFill="1"/>
    <xf numFmtId="173" fontId="2" fillId="16" borderId="0" xfId="0" applyNumberFormat="1" applyFont="1" applyFill="1"/>
    <xf numFmtId="173" fontId="2" fillId="0" borderId="0" xfId="0" applyNumberFormat="1" applyFont="1"/>
    <xf numFmtId="9" fontId="2" fillId="0" borderId="7" xfId="0" applyNumberFormat="1" applyFont="1" applyBorder="1"/>
    <xf numFmtId="9" fontId="2" fillId="0" borderId="8" xfId="0" applyNumberFormat="1" applyFont="1" applyBorder="1"/>
    <xf numFmtId="173" fontId="2" fillId="0" borderId="5" xfId="0" applyNumberFormat="1" applyFont="1" applyBorder="1"/>
    <xf numFmtId="43" fontId="0" fillId="10" borderId="0" xfId="4" applyFont="1" applyFill="1"/>
    <xf numFmtId="43" fontId="0" fillId="10" borderId="0" xfId="0" applyNumberFormat="1" applyFill="1"/>
    <xf numFmtId="0" fontId="0" fillId="17" borderId="0" xfId="0" applyFill="1"/>
    <xf numFmtId="43" fontId="0" fillId="17" borderId="0" xfId="4" applyFont="1" applyFill="1"/>
    <xf numFmtId="43" fontId="0" fillId="0" borderId="0" xfId="0" applyNumberFormat="1"/>
    <xf numFmtId="0" fontId="0" fillId="18" borderId="0" xfId="0" applyFill="1"/>
    <xf numFmtId="171" fontId="0" fillId="0" borderId="0" xfId="0" applyNumberFormat="1"/>
    <xf numFmtId="0" fontId="11" fillId="0" borderId="0" xfId="2" applyFont="1"/>
    <xf numFmtId="169" fontId="11" fillId="0" borderId="0" xfId="3" applyNumberFormat="1" applyFont="1"/>
    <xf numFmtId="171" fontId="2" fillId="7" borderId="0" xfId="0" applyNumberFormat="1" applyFont="1" applyFill="1"/>
    <xf numFmtId="1" fontId="2" fillId="18" borderId="0" xfId="0" applyNumberFormat="1" applyFont="1" applyFill="1"/>
    <xf numFmtId="0" fontId="16" fillId="0" borderId="0" xfId="0" applyFont="1"/>
    <xf numFmtId="0" fontId="3" fillId="3" borderId="4" xfId="0" applyFont="1" applyFill="1" applyBorder="1"/>
    <xf numFmtId="0" fontId="3" fillId="3" borderId="6" xfId="0" applyFont="1" applyFill="1" applyBorder="1"/>
    <xf numFmtId="9" fontId="0" fillId="3" borderId="3" xfId="0" applyNumberFormat="1" applyFill="1" applyBorder="1"/>
    <xf numFmtId="166" fontId="0" fillId="3" borderId="8" xfId="0" applyNumberFormat="1" applyFill="1" applyBorder="1"/>
    <xf numFmtId="173" fontId="0" fillId="3" borderId="0" xfId="0" applyNumberFormat="1" applyFill="1"/>
    <xf numFmtId="0" fontId="0" fillId="3" borderId="1" xfId="0" applyFill="1" applyBorder="1" applyAlignment="1">
      <alignment horizontal="right"/>
    </xf>
    <xf numFmtId="173" fontId="0" fillId="3" borderId="5" xfId="0" applyNumberFormat="1" applyFill="1" applyBorder="1"/>
    <xf numFmtId="173" fontId="3" fillId="3" borderId="8" xfId="0" applyNumberFormat="1" applyFont="1" applyFill="1" applyBorder="1"/>
    <xf numFmtId="166" fontId="0" fillId="3" borderId="7" xfId="0" applyNumberFormat="1" applyFill="1" applyBorder="1"/>
    <xf numFmtId="0" fontId="0" fillId="3" borderId="1" xfId="0" applyFill="1" applyBorder="1" applyAlignment="1">
      <alignment horizontal="left"/>
    </xf>
    <xf numFmtId="166" fontId="0" fillId="3" borderId="3" xfId="0" applyNumberFormat="1" applyFill="1" applyBorder="1"/>
    <xf numFmtId="9" fontId="0" fillId="3" borderId="0" xfId="0" applyNumberFormat="1" applyFill="1"/>
    <xf numFmtId="9" fontId="0" fillId="3" borderId="19" xfId="0" applyNumberFormat="1" applyFill="1" applyBorder="1"/>
    <xf numFmtId="43" fontId="0" fillId="3" borderId="8" xfId="4" applyFont="1" applyFill="1" applyBorder="1"/>
    <xf numFmtId="171" fontId="0" fillId="8" borderId="3" xfId="4" applyNumberFormat="1" applyFont="1" applyFill="1" applyBorder="1"/>
    <xf numFmtId="171" fontId="0" fillId="8" borderId="5" xfId="4" applyNumberFormat="1" applyFont="1" applyFill="1" applyBorder="1"/>
    <xf numFmtId="171" fontId="0" fillId="7" borderId="5" xfId="4" applyNumberFormat="1" applyFont="1" applyFill="1" applyBorder="1"/>
    <xf numFmtId="171" fontId="0" fillId="18" borderId="5" xfId="4" applyNumberFormat="1" applyFont="1" applyFill="1" applyBorder="1"/>
    <xf numFmtId="0" fontId="12" fillId="3" borderId="0" xfId="0" applyFont="1" applyFill="1"/>
    <xf numFmtId="0" fontId="13" fillId="3" borderId="0" xfId="0" applyFont="1" applyFill="1"/>
    <xf numFmtId="0" fontId="14" fillId="3" borderId="0" xfId="0" applyFont="1" applyFill="1"/>
    <xf numFmtId="0" fontId="2" fillId="3" borderId="0" xfId="0" applyFont="1" applyFill="1"/>
    <xf numFmtId="0" fontId="2" fillId="19" borderId="1" xfId="0" applyFont="1" applyFill="1" applyBorder="1"/>
    <xf numFmtId="0" fontId="2" fillId="19" borderId="2" xfId="0" applyFont="1" applyFill="1" applyBorder="1"/>
    <xf numFmtId="0" fontId="2" fillId="19" borderId="3" xfId="0" applyFont="1" applyFill="1" applyBorder="1"/>
    <xf numFmtId="0" fontId="2" fillId="19" borderId="4" xfId="0" applyFont="1" applyFill="1" applyBorder="1"/>
    <xf numFmtId="0" fontId="2" fillId="3" borderId="5" xfId="0" applyFont="1" applyFill="1" applyBorder="1"/>
    <xf numFmtId="43" fontId="0" fillId="3" borderId="0" xfId="0" applyNumberFormat="1" applyFill="1"/>
    <xf numFmtId="171" fontId="2" fillId="3" borderId="5" xfId="0" applyNumberFormat="1" applyFont="1" applyFill="1" applyBorder="1"/>
    <xf numFmtId="173" fontId="2" fillId="3" borderId="5" xfId="0" applyNumberFormat="1" applyFont="1" applyFill="1" applyBorder="1"/>
    <xf numFmtId="0" fontId="2" fillId="19" borderId="6" xfId="0" applyFont="1" applyFill="1" applyBorder="1"/>
    <xf numFmtId="0" fontId="2" fillId="3" borderId="7" xfId="0" applyFont="1" applyFill="1" applyBorder="1"/>
    <xf numFmtId="0" fontId="2" fillId="3" borderId="8" xfId="0" applyFont="1" applyFill="1" applyBorder="1"/>
    <xf numFmtId="9" fontId="3" fillId="3" borderId="7" xfId="0" applyNumberFormat="1" applyFont="1" applyFill="1" applyBorder="1"/>
    <xf numFmtId="9" fontId="2" fillId="3" borderId="8" xfId="0" applyNumberFormat="1" applyFont="1" applyFill="1" applyBorder="1"/>
    <xf numFmtId="166" fontId="2" fillId="3" borderId="0" xfId="0" applyNumberFormat="1" applyFont="1" applyFill="1"/>
    <xf numFmtId="9" fontId="3" fillId="18" borderId="2" xfId="0" applyNumberFormat="1" applyFont="1" applyFill="1" applyBorder="1"/>
    <xf numFmtId="173" fontId="2" fillId="3" borderId="0" xfId="0" applyNumberFormat="1" applyFont="1" applyFill="1"/>
    <xf numFmtId="9" fontId="3" fillId="18" borderId="3" xfId="0" applyNumberFormat="1" applyFont="1" applyFill="1" applyBorder="1"/>
    <xf numFmtId="173" fontId="2" fillId="7" borderId="5" xfId="0" applyNumberFormat="1" applyFont="1" applyFill="1" applyBorder="1"/>
    <xf numFmtId="0" fontId="2" fillId="7" borderId="5" xfId="0" applyFont="1" applyFill="1" applyBorder="1"/>
    <xf numFmtId="1" fontId="2" fillId="18" borderId="5" xfId="0" applyNumberFormat="1" applyFont="1" applyFill="1" applyBorder="1"/>
    <xf numFmtId="9" fontId="3" fillId="3" borderId="8" xfId="0" applyNumberFormat="1" applyFont="1" applyFill="1" applyBorder="1"/>
    <xf numFmtId="43" fontId="0" fillId="3" borderId="5" xfId="0" applyNumberFormat="1" applyFill="1" applyBorder="1"/>
    <xf numFmtId="43" fontId="0" fillId="3" borderId="8" xfId="0" applyNumberFormat="1" applyFill="1" applyBorder="1"/>
    <xf numFmtId="9" fontId="0" fillId="7" borderId="3" xfId="0" applyNumberFormat="1" applyFill="1" applyBorder="1"/>
    <xf numFmtId="169" fontId="0" fillId="3" borderId="0" xfId="0" applyNumberFormat="1" applyFill="1"/>
    <xf numFmtId="169" fontId="0" fillId="3" borderId="7" xfId="3" applyNumberFormat="1" applyFont="1" applyFill="1" applyBorder="1"/>
    <xf numFmtId="169" fontId="0" fillId="3" borderId="5" xfId="0" applyNumberFormat="1" applyFill="1" applyBorder="1"/>
    <xf numFmtId="169" fontId="0" fillId="3" borderId="19" xfId="0" applyNumberFormat="1" applyFill="1" applyBorder="1"/>
    <xf numFmtId="0" fontId="0" fillId="7" borderId="4" xfId="0" applyFill="1" applyBorder="1"/>
    <xf numFmtId="9" fontId="0" fillId="3" borderId="5" xfId="5" applyFont="1" applyFill="1" applyBorder="1"/>
    <xf numFmtId="169" fontId="0" fillId="3" borderId="5" xfId="3" applyNumberFormat="1" applyFont="1" applyFill="1" applyBorder="1"/>
    <xf numFmtId="166" fontId="0" fillId="3" borderId="19" xfId="0" applyNumberFormat="1" applyFill="1" applyBorder="1"/>
    <xf numFmtId="166" fontId="0" fillId="7" borderId="19" xfId="0" applyNumberFormat="1" applyFill="1" applyBorder="1"/>
    <xf numFmtId="4" fontId="0" fillId="3" borderId="0" xfId="0" applyNumberFormat="1" applyFill="1"/>
    <xf numFmtId="173" fontId="0" fillId="3" borderId="2" xfId="0" applyNumberFormat="1" applyFill="1" applyBorder="1"/>
    <xf numFmtId="9" fontId="0" fillId="3" borderId="5" xfId="0" applyNumberFormat="1" applyFill="1" applyBorder="1"/>
    <xf numFmtId="164" fontId="3" fillId="3" borderId="7" xfId="3" applyFont="1" applyFill="1" applyBorder="1"/>
    <xf numFmtId="4" fontId="0" fillId="3" borderId="3" xfId="0" applyNumberFormat="1" applyFill="1" applyBorder="1"/>
    <xf numFmtId="4" fontId="3" fillId="3" borderId="5" xfId="0" applyNumberFormat="1" applyFont="1" applyFill="1" applyBorder="1"/>
    <xf numFmtId="4" fontId="0" fillId="3" borderId="5" xfId="0" applyNumberFormat="1" applyFill="1" applyBorder="1"/>
    <xf numFmtId="4" fontId="0" fillId="3" borderId="8" xfId="0" applyNumberFormat="1" applyFill="1" applyBorder="1"/>
    <xf numFmtId="4" fontId="3" fillId="12" borderId="5" xfId="0" applyNumberFormat="1" applyFont="1" applyFill="1" applyBorder="1"/>
    <xf numFmtId="173" fontId="3" fillId="3" borderId="0" xfId="0" applyNumberFormat="1" applyFont="1" applyFill="1"/>
    <xf numFmtId="9" fontId="0" fillId="3" borderId="4" xfId="0" applyNumberFormat="1" applyFill="1" applyBorder="1"/>
    <xf numFmtId="164" fontId="3" fillId="3" borderId="8" xfId="3" applyFont="1" applyFill="1" applyBorder="1"/>
    <xf numFmtId="9" fontId="0" fillId="3" borderId="0" xfId="5" applyFont="1" applyFill="1" applyBorder="1"/>
    <xf numFmtId="9" fontId="0" fillId="10" borderId="19" xfId="0" applyNumberFormat="1" applyFill="1" applyBorder="1"/>
    <xf numFmtId="171" fontId="0" fillId="10" borderId="5" xfId="4" applyNumberFormat="1" applyFont="1" applyFill="1" applyBorder="1"/>
    <xf numFmtId="171" fontId="0" fillId="3" borderId="3" xfId="4" applyNumberFormat="1" applyFont="1" applyFill="1" applyBorder="1"/>
    <xf numFmtId="9" fontId="3" fillId="10" borderId="2" xfId="0" applyNumberFormat="1" applyFont="1" applyFill="1" applyBorder="1"/>
    <xf numFmtId="171" fontId="2" fillId="3" borderId="0" xfId="0" applyNumberFormat="1" applyFont="1" applyFill="1"/>
    <xf numFmtId="1" fontId="2" fillId="10" borderId="0" xfId="0" applyNumberFormat="1" applyFont="1" applyFill="1"/>
    <xf numFmtId="1" fontId="2" fillId="10" borderId="5" xfId="0" applyNumberFormat="1" applyFont="1" applyFill="1" applyBorder="1"/>
    <xf numFmtId="9" fontId="3" fillId="10" borderId="7" xfId="0" applyNumberFormat="1" applyFont="1" applyFill="1" applyBorder="1"/>
    <xf numFmtId="9" fontId="3" fillId="10" borderId="8" xfId="0" applyNumberFormat="1" applyFont="1" applyFill="1" applyBorder="1"/>
    <xf numFmtId="4" fontId="3" fillId="10" borderId="5" xfId="0" applyNumberFormat="1" applyFont="1" applyFill="1" applyBorder="1"/>
    <xf numFmtId="1" fontId="2" fillId="3" borderId="0" xfId="0" applyNumberFormat="1" applyFont="1" applyFill="1"/>
    <xf numFmtId="0" fontId="8" fillId="3" borderId="0" xfId="0" applyFont="1" applyFill="1"/>
    <xf numFmtId="9" fontId="0" fillId="3" borderId="0" xfId="5" applyFont="1" applyFill="1"/>
    <xf numFmtId="0" fontId="13" fillId="3" borderId="5" xfId="0" applyFont="1" applyFill="1" applyBorder="1"/>
    <xf numFmtId="171" fontId="0" fillId="3" borderId="0" xfId="0" applyNumberFormat="1" applyFill="1"/>
    <xf numFmtId="173" fontId="0" fillId="7" borderId="0" xfId="0" applyNumberFormat="1" applyFill="1"/>
    <xf numFmtId="4" fontId="0" fillId="12" borderId="5" xfId="0" applyNumberFormat="1" applyFill="1" applyBorder="1"/>
    <xf numFmtId="174" fontId="0" fillId="3" borderId="0" xfId="0" applyNumberFormat="1" applyFill="1"/>
    <xf numFmtId="175" fontId="0" fillId="3" borderId="0" xfId="0" applyNumberFormat="1" applyFill="1"/>
    <xf numFmtId="176" fontId="0" fillId="3" borderId="0" xfId="0" applyNumberFormat="1" applyFill="1"/>
    <xf numFmtId="43" fontId="0" fillId="3" borderId="0" xfId="4" applyFont="1" applyFill="1"/>
    <xf numFmtId="9" fontId="2" fillId="3" borderId="0" xfId="5" applyFont="1" applyFill="1"/>
    <xf numFmtId="0" fontId="3" fillId="2" borderId="4" xfId="0" applyFont="1" applyFill="1" applyBorder="1"/>
    <xf numFmtId="4" fontId="3" fillId="2" borderId="5" xfId="0" applyNumberFormat="1" applyFont="1" applyFill="1" applyBorder="1"/>
    <xf numFmtId="0" fontId="2" fillId="20" borderId="0" xfId="0" applyFont="1" applyFill="1"/>
    <xf numFmtId="4" fontId="0" fillId="8" borderId="5" xfId="0" applyNumberFormat="1" applyFill="1" applyBorder="1"/>
    <xf numFmtId="43" fontId="0" fillId="7" borderId="0" xfId="4" applyFont="1" applyFill="1"/>
    <xf numFmtId="43" fontId="0" fillId="0" borderId="0" xfId="4" applyFont="1" applyFill="1"/>
    <xf numFmtId="171" fontId="0" fillId="0" borderId="0" xfId="4" applyNumberFormat="1" applyFont="1"/>
    <xf numFmtId="171" fontId="0" fillId="2" borderId="0" xfId="4" applyNumberFormat="1" applyFont="1" applyFill="1"/>
    <xf numFmtId="171" fontId="0" fillId="10" borderId="0" xfId="4" applyNumberFormat="1" applyFont="1" applyFill="1"/>
    <xf numFmtId="171" fontId="0" fillId="7" borderId="0" xfId="4" applyNumberFormat="1" applyFont="1" applyFill="1"/>
    <xf numFmtId="171" fontId="0" fillId="0" borderId="0" xfId="4" applyNumberFormat="1" applyFont="1" applyFill="1"/>
    <xf numFmtId="0" fontId="0" fillId="7" borderId="6" xfId="0" applyFill="1" applyBorder="1"/>
    <xf numFmtId="0" fontId="1" fillId="0" borderId="0" xfId="2" applyFont="1"/>
    <xf numFmtId="177" fontId="2" fillId="7" borderId="5" xfId="0" applyNumberFormat="1" applyFont="1" applyFill="1" applyBorder="1"/>
    <xf numFmtId="177" fontId="2" fillId="7" borderId="0" xfId="0" applyNumberFormat="1" applyFont="1" applyFill="1"/>
    <xf numFmtId="4" fontId="3" fillId="3" borderId="0" xfId="0" applyNumberFormat="1" applyFont="1" applyFill="1"/>
    <xf numFmtId="0" fontId="8" fillId="0" borderId="0" xfId="0" applyFont="1"/>
    <xf numFmtId="0" fontId="3" fillId="3" borderId="7" xfId="0" applyFont="1" applyFill="1" applyBorder="1"/>
    <xf numFmtId="1" fontId="2" fillId="3" borderId="5" xfId="0" applyNumberFormat="1" applyFont="1" applyFill="1" applyBorder="1"/>
    <xf numFmtId="0" fontId="3" fillId="0" borderId="4" xfId="0" applyFont="1" applyBorder="1"/>
    <xf numFmtId="0" fontId="0" fillId="0" borderId="0" xfId="0">
      <extLst>
        <ext xmlns:xfpb="http://schemas.microsoft.com/office/spreadsheetml/2022/featurepropertybag" uri="{C7286773-470A-42A8-94C5-96B5CB345126}">
          <xfpb:xfComplement i="0"/>
        </ext>
      </extLst>
    </xf>
    <xf numFmtId="0" fontId="18" fillId="4" borderId="0" xfId="6" applyFill="1"/>
    <xf numFmtId="0" fontId="3" fillId="5" borderId="0" xfId="0" applyFont="1" applyFill="1"/>
    <xf numFmtId="171" fontId="0" fillId="10" borderId="3" xfId="4" applyNumberFormat="1" applyFont="1" applyFill="1" applyBorder="1"/>
    <xf numFmtId="171" fontId="0" fillId="10" borderId="8" xfId="4" applyNumberFormat="1" applyFont="1" applyFill="1" applyBorder="1"/>
    <xf numFmtId="171" fontId="0" fillId="7" borderId="3" xfId="4" applyNumberFormat="1" applyFont="1" applyFill="1" applyBorder="1"/>
    <xf numFmtId="0" fontId="0" fillId="0" borderId="4" xfId="0" applyBorder="1" applyAlignment="1">
      <alignment horizontal="right"/>
    </xf>
    <xf numFmtId="171" fontId="0" fillId="0" borderId="5" xfId="4" applyNumberFormat="1" applyFont="1" applyFill="1" applyBorder="1"/>
    <xf numFmtId="171" fontId="0" fillId="7" borderId="8" xfId="4" applyNumberFormat="1" applyFont="1" applyFill="1" applyBorder="1"/>
    <xf numFmtId="171" fontId="0" fillId="0" borderId="3" xfId="4" applyNumberFormat="1" applyFont="1" applyBorder="1"/>
    <xf numFmtId="171" fontId="0" fillId="2" borderId="5" xfId="4" applyNumberFormat="1" applyFont="1" applyFill="1" applyBorder="1"/>
    <xf numFmtId="171" fontId="0" fillId="2" borderId="8" xfId="4" applyNumberFormat="1" applyFont="1" applyFill="1" applyBorder="1"/>
    <xf numFmtId="171" fontId="0" fillId="0" borderId="8" xfId="4" applyNumberFormat="1" applyFont="1" applyBorder="1"/>
    <xf numFmtId="171" fontId="0" fillId="0" borderId="3" xfId="4" applyNumberFormat="1" applyFont="1" applyFill="1" applyBorder="1"/>
    <xf numFmtId="43" fontId="0" fillId="0" borderId="5" xfId="4" applyFont="1" applyFill="1" applyBorder="1"/>
    <xf numFmtId="171" fontId="0" fillId="0" borderId="8" xfId="4" applyNumberFormat="1" applyFont="1" applyFill="1" applyBorder="1"/>
    <xf numFmtId="171" fontId="0" fillId="7" borderId="19" xfId="4" applyNumberFormat="1" applyFont="1" applyFill="1" applyBorder="1"/>
    <xf numFmtId="43" fontId="0" fillId="7" borderId="19" xfId="4" applyFont="1" applyFill="1" applyBorder="1"/>
    <xf numFmtId="171" fontId="0" fillId="0" borderId="5" xfId="4" applyNumberFormat="1" applyFont="1" applyBorder="1"/>
    <xf numFmtId="171" fontId="0" fillId="5" borderId="3" xfId="4" applyNumberFormat="1" applyFont="1" applyFill="1" applyBorder="1"/>
    <xf numFmtId="171" fontId="0" fillId="5" borderId="19" xfId="4" applyNumberFormat="1" applyFont="1" applyFill="1" applyBorder="1"/>
    <xf numFmtId="43" fontId="0" fillId="7" borderId="3" xfId="0" applyNumberFormat="1" applyFill="1" applyBorder="1"/>
    <xf numFmtId="0" fontId="8" fillId="5" borderId="1" xfId="0" applyFont="1" applyFill="1" applyBorder="1"/>
    <xf numFmtId="0" fontId="8" fillId="5" borderId="2" xfId="0" applyFont="1" applyFill="1" applyBorder="1"/>
    <xf numFmtId="0" fontId="8" fillId="5" borderId="3" xfId="0" applyFont="1" applyFill="1" applyBorder="1"/>
    <xf numFmtId="0" fontId="0" fillId="2" borderId="22" xfId="0" applyFill="1" applyBorder="1"/>
    <xf numFmtId="43" fontId="6" fillId="0" borderId="0" xfId="2" applyNumberFormat="1"/>
    <xf numFmtId="9" fontId="0" fillId="21" borderId="19" xfId="0" applyNumberFormat="1" applyFill="1" applyBorder="1"/>
    <xf numFmtId="171" fontId="0" fillId="5" borderId="5" xfId="4" applyNumberFormat="1" applyFont="1" applyFill="1" applyBorder="1"/>
    <xf numFmtId="0" fontId="18" fillId="0" borderId="0" xfId="6" applyFill="1"/>
    <xf numFmtId="171" fontId="1" fillId="0" borderId="0" xfId="4" applyNumberFormat="1" applyFont="1"/>
    <xf numFmtId="169" fontId="1" fillId="0" borderId="0" xfId="3" applyNumberFormat="1" applyFont="1"/>
    <xf numFmtId="165" fontId="1" fillId="0" borderId="0" xfId="1" applyFont="1"/>
    <xf numFmtId="0" fontId="1" fillId="3" borderId="20" xfId="2" applyFont="1" applyFill="1" applyBorder="1"/>
    <xf numFmtId="0" fontId="1" fillId="7" borderId="20" xfId="2" applyFont="1" applyFill="1" applyBorder="1"/>
    <xf numFmtId="0" fontId="1" fillId="3" borderId="3" xfId="2" applyFont="1" applyFill="1" applyBorder="1"/>
    <xf numFmtId="0" fontId="1" fillId="3" borderId="21" xfId="2" applyFont="1" applyFill="1" applyBorder="1"/>
    <xf numFmtId="0" fontId="1" fillId="3" borderId="5" xfId="2" applyFont="1" applyFill="1" applyBorder="1"/>
    <xf numFmtId="0" fontId="1" fillId="7" borderId="21" xfId="2" applyFont="1" applyFill="1" applyBorder="1"/>
    <xf numFmtId="0" fontId="0" fillId="3" borderId="0" xfId="0" applyFill="1" applyAlignment="1">
      <alignment horizontal="centerContinuous"/>
    </xf>
    <xf numFmtId="0" fontId="8" fillId="3" borderId="0" xfId="0" applyFont="1" applyFill="1" applyAlignment="1">
      <alignment horizontal="centerContinuous"/>
    </xf>
    <xf numFmtId="0" fontId="0" fillId="3" borderId="27" xfId="0" applyFill="1" applyBorder="1" applyAlignment="1">
      <alignment horizontal="center"/>
    </xf>
    <xf numFmtId="171" fontId="0" fillId="3" borderId="0" xfId="4" applyNumberFormat="1" applyFont="1" applyFill="1" applyBorder="1" applyAlignment="1">
      <alignment horizontal="center"/>
    </xf>
    <xf numFmtId="171" fontId="0" fillId="3" borderId="27" xfId="4" applyNumberFormat="1" applyFont="1" applyFill="1" applyBorder="1" applyAlignment="1">
      <alignment horizontal="center"/>
    </xf>
    <xf numFmtId="171" fontId="0" fillId="3" borderId="29" xfId="4" applyNumberFormat="1" applyFont="1" applyFill="1" applyBorder="1" applyAlignment="1">
      <alignment horizontal="center"/>
    </xf>
    <xf numFmtId="171" fontId="0" fillId="3" borderId="30" xfId="4" applyNumberFormat="1" applyFont="1" applyFill="1" applyBorder="1" applyAlignment="1">
      <alignment horizontal="center"/>
    </xf>
    <xf numFmtId="0" fontId="0" fillId="3" borderId="23" xfId="0" applyFill="1" applyBorder="1" applyAlignment="1">
      <alignment horizontal="center"/>
    </xf>
    <xf numFmtId="0" fontId="0" fillId="3" borderId="24" xfId="0" applyFill="1" applyBorder="1" applyAlignment="1">
      <alignment horizontal="center"/>
    </xf>
    <xf numFmtId="0" fontId="0" fillId="3" borderId="25" xfId="0" applyFill="1" applyBorder="1" applyAlignment="1">
      <alignment horizontal="center"/>
    </xf>
    <xf numFmtId="10" fontId="0" fillId="3" borderId="0" xfId="5" applyNumberFormat="1" applyFont="1" applyFill="1" applyBorder="1"/>
    <xf numFmtId="10" fontId="0" fillId="3" borderId="27" xfId="0" applyNumberFormat="1" applyFill="1" applyBorder="1"/>
    <xf numFmtId="10" fontId="0" fillId="3" borderId="29" xfId="0" applyNumberFormat="1" applyFill="1" applyBorder="1"/>
    <xf numFmtId="10" fontId="0" fillId="3" borderId="30" xfId="0" applyNumberFormat="1" applyFill="1" applyBorder="1"/>
    <xf numFmtId="43" fontId="0" fillId="3" borderId="2" xfId="4" applyFont="1" applyFill="1" applyBorder="1"/>
    <xf numFmtId="43" fontId="0" fillId="3" borderId="0" xfId="4" applyFont="1" applyFill="1" applyBorder="1"/>
    <xf numFmtId="44" fontId="0" fillId="3" borderId="39" xfId="4" applyNumberFormat="1" applyFont="1" applyFill="1" applyBorder="1"/>
    <xf numFmtId="44" fontId="0" fillId="3" borderId="0" xfId="4" applyNumberFormat="1" applyFont="1" applyFill="1" applyBorder="1"/>
    <xf numFmtId="43" fontId="0" fillId="2" borderId="0" xfId="4" applyFont="1" applyFill="1" applyBorder="1"/>
    <xf numFmtId="43" fontId="3" fillId="3" borderId="0" xfId="4" applyFont="1" applyFill="1" applyBorder="1"/>
    <xf numFmtId="43" fontId="3" fillId="2" borderId="0" xfId="4" applyFont="1" applyFill="1" applyBorder="1"/>
    <xf numFmtId="0" fontId="3" fillId="3" borderId="26" xfId="0" applyFont="1" applyFill="1" applyBorder="1"/>
    <xf numFmtId="0" fontId="3" fillId="3" borderId="28" xfId="0" applyFont="1" applyFill="1" applyBorder="1"/>
    <xf numFmtId="171" fontId="0" fillId="3" borderId="0" xfId="4" applyNumberFormat="1" applyFont="1" applyFill="1" applyBorder="1" applyAlignment="1">
      <alignment horizontal="right"/>
    </xf>
    <xf numFmtId="171" fontId="3" fillId="3" borderId="0" xfId="4" applyNumberFormat="1" applyFont="1" applyFill="1" applyBorder="1" applyAlignment="1">
      <alignment horizontal="right"/>
    </xf>
    <xf numFmtId="171" fontId="0" fillId="3" borderId="0" xfId="4" applyNumberFormat="1" applyFont="1" applyFill="1" applyBorder="1"/>
    <xf numFmtId="171" fontId="3" fillId="3" borderId="29" xfId="4" applyNumberFormat="1" applyFont="1" applyFill="1" applyBorder="1"/>
    <xf numFmtId="0" fontId="0" fillId="5" borderId="0" xfId="0" applyFill="1" applyAlignment="1">
      <alignment horizontal="center" vertical="center"/>
    </xf>
    <xf numFmtId="3" fontId="0" fillId="5" borderId="0" xfId="0" applyNumberFormat="1" applyFill="1"/>
    <xf numFmtId="173" fontId="0" fillId="3" borderId="8" xfId="0" applyNumberFormat="1" applyFill="1" applyBorder="1"/>
    <xf numFmtId="9" fontId="0" fillId="0" borderId="19" xfId="0" applyNumberFormat="1" applyBorder="1"/>
    <xf numFmtId="0" fontId="2" fillId="2" borderId="5" xfId="0" applyFont="1" applyFill="1" applyBorder="1"/>
    <xf numFmtId="9" fontId="2" fillId="2" borderId="8" xfId="0" applyNumberFormat="1" applyFont="1" applyFill="1" applyBorder="1"/>
    <xf numFmtId="0" fontId="3" fillId="3" borderId="1" xfId="0" applyFont="1" applyFill="1" applyBorder="1"/>
    <xf numFmtId="0" fontId="3" fillId="3" borderId="3" xfId="0" applyFont="1" applyFill="1" applyBorder="1"/>
    <xf numFmtId="0" fontId="3" fillId="3" borderId="5" xfId="0" applyFont="1" applyFill="1" applyBorder="1"/>
    <xf numFmtId="0" fontId="0" fillId="2" borderId="22" xfId="0" applyFill="1" applyBorder="1" applyAlignment="1">
      <alignment horizontal="center" vertical="center"/>
    </xf>
    <xf numFmtId="0" fontId="0" fillId="2" borderId="22" xfId="0" applyFill="1" applyBorder="1" applyAlignment="1">
      <alignment horizontal="center"/>
    </xf>
    <xf numFmtId="171" fontId="0" fillId="3" borderId="0" xfId="4" applyNumberFormat="1" applyFont="1" applyFill="1"/>
    <xf numFmtId="171" fontId="0" fillId="3" borderId="8" xfId="4" applyNumberFormat="1" applyFont="1" applyFill="1" applyBorder="1"/>
    <xf numFmtId="171" fontId="0" fillId="3" borderId="2" xfId="4" applyNumberFormat="1" applyFont="1" applyFill="1" applyBorder="1"/>
    <xf numFmtId="0" fontId="18" fillId="3" borderId="3" xfId="6" applyFill="1" applyBorder="1"/>
    <xf numFmtId="0" fontId="0" fillId="3" borderId="4" xfId="0" applyFill="1" applyBorder="1">
      <extLst>
        <ext xmlns:xfpb="http://schemas.microsoft.com/office/spreadsheetml/2022/featurepropertybag" uri="{C7286773-470A-42A8-94C5-96B5CB345126}">
          <xfpb:xfComplement i="0"/>
        </ext>
      </extLst>
    </xf>
    <xf numFmtId="0" fontId="0" fillId="3" borderId="6" xfId="0" applyFill="1" applyBorder="1">
      <extLst>
        <ext xmlns:xfpb="http://schemas.microsoft.com/office/spreadsheetml/2022/featurepropertybag" uri="{C7286773-470A-42A8-94C5-96B5CB345126}">
          <xfpb:xfComplement i="0"/>
        </ext>
      </extLst>
    </xf>
    <xf numFmtId="171" fontId="0" fillId="3" borderId="7" xfId="4" applyNumberFormat="1" applyFont="1" applyFill="1" applyBorder="1"/>
    <xf numFmtId="171" fontId="0" fillId="2" borderId="19" xfId="4" applyNumberFormat="1" applyFont="1" applyFill="1" applyBorder="1"/>
    <xf numFmtId="166" fontId="0" fillId="2" borderId="5" xfId="4" applyNumberFormat="1" applyFont="1" applyFill="1" applyBorder="1"/>
    <xf numFmtId="166" fontId="0" fillId="2" borderId="8" xfId="4" applyNumberFormat="1" applyFont="1" applyFill="1" applyBorder="1"/>
    <xf numFmtId="0" fontId="3" fillId="3" borderId="20" xfId="0" applyFont="1" applyFill="1" applyBorder="1"/>
    <xf numFmtId="0" fontId="3" fillId="3" borderId="21" xfId="0" applyFont="1" applyFill="1" applyBorder="1"/>
    <xf numFmtId="0" fontId="0" fillId="7" borderId="21" xfId="0" applyFill="1" applyBorder="1"/>
    <xf numFmtId="0" fontId="0" fillId="7" borderId="22" xfId="0" applyFill="1" applyBorder="1"/>
    <xf numFmtId="0" fontId="3" fillId="3" borderId="22" xfId="0" applyFont="1" applyFill="1" applyBorder="1"/>
    <xf numFmtId="171" fontId="0" fillId="3" borderId="21" xfId="0" applyNumberFormat="1" applyFill="1" applyBorder="1"/>
    <xf numFmtId="0" fontId="0" fillId="2" borderId="21" xfId="0" applyFill="1" applyBorder="1"/>
    <xf numFmtId="171" fontId="0" fillId="22" borderId="3" xfId="4" applyNumberFormat="1" applyFont="1" applyFill="1" applyBorder="1"/>
    <xf numFmtId="1" fontId="0" fillId="3" borderId="5" xfId="0" applyNumberFormat="1" applyFill="1" applyBorder="1"/>
    <xf numFmtId="171" fontId="0" fillId="3" borderId="22" xfId="0" applyNumberFormat="1" applyFill="1" applyBorder="1"/>
    <xf numFmtId="178" fontId="3" fillId="3" borderId="7" xfId="0" applyNumberFormat="1" applyFont="1" applyFill="1" applyBorder="1"/>
    <xf numFmtId="178" fontId="0" fillId="3" borderId="0" xfId="0" applyNumberFormat="1" applyFill="1"/>
    <xf numFmtId="178" fontId="3" fillId="3" borderId="0" xfId="0" applyNumberFormat="1" applyFont="1" applyFill="1"/>
    <xf numFmtId="4" fontId="0" fillId="3" borderId="7" xfId="0" applyNumberFormat="1" applyFill="1" applyBorder="1"/>
    <xf numFmtId="0" fontId="3" fillId="5" borderId="4" xfId="0" applyFont="1" applyFill="1" applyBorder="1"/>
    <xf numFmtId="10" fontId="0" fillId="3" borderId="0" xfId="5" applyNumberFormat="1" applyFont="1" applyFill="1"/>
    <xf numFmtId="44" fontId="0" fillId="3" borderId="39" xfId="0" applyNumberFormat="1" applyFill="1" applyBorder="1"/>
    <xf numFmtId="43" fontId="0" fillId="3" borderId="39" xfId="4" applyFont="1" applyFill="1" applyBorder="1"/>
    <xf numFmtId="10" fontId="0" fillId="3" borderId="7" xfId="0" applyNumberFormat="1" applyFill="1" applyBorder="1"/>
    <xf numFmtId="178" fontId="0" fillId="3" borderId="18" xfId="0" applyNumberFormat="1" applyFill="1" applyBorder="1"/>
    <xf numFmtId="0" fontId="3" fillId="3" borderId="0" xfId="0" applyFont="1" applyFill="1" applyAlignment="1">
      <alignment horizontal="right"/>
    </xf>
    <xf numFmtId="0" fontId="3" fillId="2" borderId="0" xfId="0" applyFont="1" applyFill="1" applyAlignment="1">
      <alignment horizontal="right"/>
    </xf>
    <xf numFmtId="3" fontId="0" fillId="3" borderId="2" xfId="0" applyNumberFormat="1" applyFill="1" applyBorder="1"/>
    <xf numFmtId="3" fontId="0" fillId="3" borderId="3" xfId="0" applyNumberFormat="1" applyFill="1" applyBorder="1"/>
    <xf numFmtId="3" fontId="0" fillId="3" borderId="5" xfId="0" applyNumberFormat="1" applyFill="1" applyBorder="1"/>
    <xf numFmtId="3" fontId="3" fillId="3" borderId="0" xfId="0" applyNumberFormat="1" applyFont="1" applyFill="1"/>
    <xf numFmtId="3" fontId="3" fillId="3" borderId="5" xfId="0" applyNumberFormat="1" applyFont="1" applyFill="1" applyBorder="1"/>
    <xf numFmtId="3" fontId="0" fillId="3" borderId="7" xfId="0" applyNumberFormat="1" applyFill="1" applyBorder="1"/>
    <xf numFmtId="3" fontId="0" fillId="3" borderId="8" xfId="0" applyNumberFormat="1" applyFill="1" applyBorder="1"/>
    <xf numFmtId="3" fontId="0" fillId="3" borderId="1" xfId="0" applyNumberFormat="1" applyFill="1" applyBorder="1"/>
    <xf numFmtId="3" fontId="3" fillId="3" borderId="4" xfId="0" applyNumberFormat="1" applyFont="1" applyFill="1" applyBorder="1"/>
    <xf numFmtId="3" fontId="0" fillId="3" borderId="4" xfId="0" applyNumberFormat="1" applyFill="1" applyBorder="1"/>
    <xf numFmtId="3" fontId="0" fillId="3" borderId="6" xfId="0" applyNumberFormat="1" applyFill="1" applyBorder="1"/>
    <xf numFmtId="0" fontId="17" fillId="0" borderId="23" xfId="0" applyFont="1" applyBorder="1"/>
    <xf numFmtId="0" fontId="17" fillId="0" borderId="26" xfId="0" applyFont="1" applyBorder="1"/>
    <xf numFmtId="0" fontId="17" fillId="0" borderId="28" xfId="0" applyFont="1" applyBorder="1"/>
    <xf numFmtId="171" fontId="19" fillId="0" borderId="0" xfId="4" applyNumberFormat="1" applyFont="1" applyBorder="1"/>
    <xf numFmtId="171" fontId="20" fillId="0" borderId="0" xfId="4" applyNumberFormat="1" applyFont="1" applyBorder="1"/>
    <xf numFmtId="171" fontId="21" fillId="0" borderId="0" xfId="4" applyNumberFormat="1" applyFont="1" applyBorder="1"/>
    <xf numFmtId="171" fontId="22" fillId="0" borderId="0" xfId="4" applyNumberFormat="1" applyFont="1" applyBorder="1"/>
    <xf numFmtId="171" fontId="21" fillId="0" borderId="0" xfId="4" applyNumberFormat="1" applyFont="1" applyBorder="1" applyAlignment="1">
      <alignment vertical="center"/>
    </xf>
    <xf numFmtId="0" fontId="23" fillId="0" borderId="24" xfId="0" applyFont="1" applyBorder="1" applyAlignment="1">
      <alignment horizontal="center" vertical="center"/>
    </xf>
    <xf numFmtId="0" fontId="24" fillId="0" borderId="24" xfId="0" applyFont="1" applyBorder="1" applyAlignment="1">
      <alignment horizontal="center"/>
    </xf>
    <xf numFmtId="0" fontId="23" fillId="0" borderId="24" xfId="0" applyFont="1" applyBorder="1" applyAlignment="1">
      <alignment horizontal="center"/>
    </xf>
    <xf numFmtId="0" fontId="1" fillId="0" borderId="24" xfId="0" applyFont="1" applyBorder="1" applyAlignment="1">
      <alignment horizontal="center"/>
    </xf>
    <xf numFmtId="0" fontId="23" fillId="0" borderId="25" xfId="0" applyFont="1" applyBorder="1" applyAlignment="1">
      <alignment horizontal="center"/>
    </xf>
    <xf numFmtId="171" fontId="19" fillId="0" borderId="27" xfId="4" applyNumberFormat="1" applyFont="1" applyBorder="1"/>
    <xf numFmtId="0" fontId="19" fillId="0" borderId="0" xfId="0" applyFont="1"/>
    <xf numFmtId="170" fontId="19" fillId="0" borderId="0" xfId="4" applyNumberFormat="1" applyFont="1" applyBorder="1"/>
    <xf numFmtId="170" fontId="19" fillId="0" borderId="0" xfId="4" applyNumberFormat="1" applyFont="1" applyFill="1" applyBorder="1" applyAlignment="1">
      <alignment wrapText="1"/>
    </xf>
    <xf numFmtId="170" fontId="21" fillId="0" borderId="0" xfId="4" applyNumberFormat="1" applyFont="1" applyBorder="1" applyAlignment="1">
      <alignment vertical="center"/>
    </xf>
    <xf numFmtId="170" fontId="19" fillId="0" borderId="27" xfId="4" applyNumberFormat="1" applyFont="1" applyBorder="1"/>
    <xf numFmtId="170" fontId="19" fillId="0" borderId="29" xfId="4" applyNumberFormat="1" applyFont="1" applyBorder="1"/>
    <xf numFmtId="170" fontId="20" fillId="0" borderId="29" xfId="4" applyNumberFormat="1" applyFont="1" applyBorder="1"/>
    <xf numFmtId="170" fontId="19" fillId="0" borderId="30" xfId="4" applyNumberFormat="1" applyFont="1" applyBorder="1"/>
    <xf numFmtId="44" fontId="0" fillId="3" borderId="0" xfId="0" applyNumberFormat="1" applyFill="1"/>
    <xf numFmtId="170" fontId="0" fillId="3" borderId="39" xfId="0" applyNumberFormat="1" applyFill="1" applyBorder="1"/>
    <xf numFmtId="0" fontId="8" fillId="3" borderId="5" xfId="0" applyFont="1" applyFill="1" applyBorder="1"/>
    <xf numFmtId="0" fontId="8" fillId="3" borderId="8" xfId="0" applyFont="1" applyFill="1" applyBorder="1"/>
    <xf numFmtId="10" fontId="0" fillId="3" borderId="2" xfId="0" applyNumberFormat="1" applyFill="1" applyBorder="1"/>
    <xf numFmtId="0" fontId="0" fillId="3" borderId="2" xfId="0" applyFill="1" applyBorder="1" applyAlignment="1">
      <alignment horizontal="right"/>
    </xf>
    <xf numFmtId="0" fontId="0" fillId="3" borderId="3" xfId="0" applyFill="1" applyBorder="1" applyAlignment="1">
      <alignment horizontal="right"/>
    </xf>
    <xf numFmtId="0" fontId="3" fillId="3" borderId="4" xfId="0" applyFont="1" applyFill="1" applyBorder="1" applyAlignment="1">
      <alignment horizontal="right"/>
    </xf>
    <xf numFmtId="0" fontId="0" fillId="23" borderId="8" xfId="0" applyFill="1" applyBorder="1"/>
    <xf numFmtId="9" fontId="0" fillId="0" borderId="27" xfId="5" applyFont="1" applyBorder="1"/>
    <xf numFmtId="9" fontId="0" fillId="0" borderId="30" xfId="0" applyNumberFormat="1" applyBorder="1"/>
    <xf numFmtId="9" fontId="0" fillId="0" borderId="30" xfId="5" applyFont="1" applyBorder="1"/>
    <xf numFmtId="9" fontId="0" fillId="0" borderId="0" xfId="5" applyFont="1" applyBorder="1"/>
    <xf numFmtId="9" fontId="0" fillId="0" borderId="29" xfId="5" applyFont="1" applyBorder="1"/>
    <xf numFmtId="0" fontId="0" fillId="0" borderId="0" xfId="0" applyAlignment="1">
      <alignment wrapText="1"/>
    </xf>
    <xf numFmtId="0" fontId="0" fillId="0" borderId="24" xfId="0" applyBorder="1" applyAlignment="1">
      <alignment horizontal="center"/>
    </xf>
    <xf numFmtId="0" fontId="0" fillId="0" borderId="25" xfId="0" applyBorder="1" applyAlignment="1">
      <alignment horizontal="center"/>
    </xf>
    <xf numFmtId="9" fontId="0" fillId="3" borderId="31" xfId="5" applyFont="1" applyFill="1" applyBorder="1" applyAlignment="1">
      <alignment horizontal="center" vertical="center"/>
    </xf>
    <xf numFmtId="9" fontId="0" fillId="0" borderId="31" xfId="5" applyFont="1" applyBorder="1" applyAlignment="1">
      <alignment horizontal="center" vertical="center"/>
    </xf>
    <xf numFmtId="9" fontId="0" fillId="0" borderId="31" xfId="5" applyFont="1" applyFill="1" applyBorder="1" applyAlignment="1">
      <alignment horizontal="center" vertical="center"/>
    </xf>
    <xf numFmtId="0" fontId="8" fillId="0" borderId="31" xfId="0" applyFont="1" applyBorder="1"/>
    <xf numFmtId="0" fontId="8" fillId="0" borderId="23" xfId="0" applyFont="1" applyBorder="1"/>
    <xf numFmtId="0" fontId="8" fillId="0" borderId="26" xfId="0" applyFont="1" applyBorder="1"/>
    <xf numFmtId="0" fontId="8" fillId="0" borderId="28" xfId="0" applyFont="1" applyBorder="1"/>
    <xf numFmtId="44" fontId="0" fillId="3" borderId="27" xfId="0" applyNumberFormat="1" applyFill="1" applyBorder="1"/>
    <xf numFmtId="43" fontId="0" fillId="3" borderId="27" xfId="4" applyFont="1" applyFill="1" applyBorder="1"/>
    <xf numFmtId="43" fontId="0" fillId="3" borderId="37" xfId="4" applyFont="1" applyFill="1" applyBorder="1"/>
    <xf numFmtId="43" fontId="0" fillId="3" borderId="40" xfId="4" applyFont="1" applyFill="1" applyBorder="1"/>
    <xf numFmtId="44" fontId="0" fillId="3" borderId="40" xfId="0" applyNumberFormat="1" applyFill="1" applyBorder="1"/>
    <xf numFmtId="43" fontId="0" fillId="2" borderId="27" xfId="4" applyFont="1" applyFill="1" applyBorder="1"/>
    <xf numFmtId="0" fontId="25" fillId="3" borderId="1" xfId="0" applyFont="1" applyFill="1" applyBorder="1" applyAlignment="1">
      <alignment horizontal="center"/>
    </xf>
    <xf numFmtId="0" fontId="0" fillId="3" borderId="1" xfId="0" applyFill="1" applyBorder="1">
      <extLst>
        <ext xmlns:xfpb="http://schemas.microsoft.com/office/spreadsheetml/2022/featurepropertybag" uri="{C7286773-470A-42A8-94C5-96B5CB345126}">
          <xfpb:xfComplement i="0"/>
        </ext>
      </extLst>
    </xf>
    <xf numFmtId="3" fontId="0" fillId="3" borderId="2" xfId="0" applyNumberFormat="1" applyFill="1" applyBorder="1">
      <extLst>
        <ext xmlns:xfpb="http://schemas.microsoft.com/office/spreadsheetml/2022/featurepropertybag" uri="{C7286773-470A-42A8-94C5-96B5CB345126}">
          <xfpb:xfComplement i="0"/>
        </ext>
      </extLst>
    </xf>
    <xf numFmtId="3" fontId="0" fillId="3" borderId="3" xfId="0" applyNumberFormat="1" applyFill="1" applyBorder="1">
      <extLst>
        <ext xmlns:xfpb="http://schemas.microsoft.com/office/spreadsheetml/2022/featurepropertybag" uri="{C7286773-470A-42A8-94C5-96B5CB345126}">
          <xfpb:xfComplement i="0"/>
        </ext>
      </extLst>
    </xf>
    <xf numFmtId="3" fontId="0" fillId="3" borderId="1" xfId="0" applyNumberFormat="1" applyFill="1" applyBorder="1">
      <extLst>
        <ext xmlns:xfpb="http://schemas.microsoft.com/office/spreadsheetml/2022/featurepropertybag" uri="{C7286773-470A-42A8-94C5-96B5CB345126}">
          <xfpb:xfComplement i="0"/>
        </ext>
      </extLst>
    </xf>
    <xf numFmtId="3" fontId="0" fillId="3" borderId="4" xfId="0" applyNumberFormat="1" applyFill="1" applyBorder="1">
      <extLst>
        <ext xmlns:xfpb="http://schemas.microsoft.com/office/spreadsheetml/2022/featurepropertybag" uri="{C7286773-470A-42A8-94C5-96B5CB345126}">
          <xfpb:xfComplement i="0"/>
        </ext>
      </extLst>
    </xf>
    <xf numFmtId="3" fontId="0" fillId="3" borderId="0" xfId="0" applyNumberFormat="1" applyFill="1">
      <extLst>
        <ext xmlns:xfpb="http://schemas.microsoft.com/office/spreadsheetml/2022/featurepropertybag" uri="{C7286773-470A-42A8-94C5-96B5CB345126}">
          <xfpb:xfComplement i="0"/>
        </ext>
      </extLst>
    </xf>
    <xf numFmtId="3" fontId="0" fillId="3" borderId="5" xfId="0" applyNumberFormat="1" applyFill="1" applyBorder="1">
      <extLst>
        <ext xmlns:xfpb="http://schemas.microsoft.com/office/spreadsheetml/2022/featurepropertybag" uri="{C7286773-470A-42A8-94C5-96B5CB345126}">
          <xfpb:xfComplement i="0"/>
        </ext>
      </extLst>
    </xf>
    <xf numFmtId="3" fontId="0" fillId="3" borderId="6" xfId="0" applyNumberFormat="1" applyFill="1" applyBorder="1">
      <extLst>
        <ext xmlns:xfpb="http://schemas.microsoft.com/office/spreadsheetml/2022/featurepropertybag" uri="{C7286773-470A-42A8-94C5-96B5CB345126}">
          <xfpb:xfComplement i="0"/>
        </ext>
      </extLst>
    </xf>
    <xf numFmtId="3" fontId="0" fillId="3" borderId="7" xfId="0" applyNumberFormat="1" applyFill="1" applyBorder="1">
      <extLst>
        <ext xmlns:xfpb="http://schemas.microsoft.com/office/spreadsheetml/2022/featurepropertybag" uri="{C7286773-470A-42A8-94C5-96B5CB345126}">
          <xfpb:xfComplement i="0"/>
        </ext>
      </extLst>
    </xf>
    <xf numFmtId="3" fontId="0" fillId="3" borderId="8" xfId="0" applyNumberFormat="1" applyFill="1" applyBorder="1">
      <extLst>
        <ext xmlns:xfpb="http://schemas.microsoft.com/office/spreadsheetml/2022/featurepropertybag" uri="{C7286773-470A-42A8-94C5-96B5CB345126}">
          <xfpb:xfComplement i="0"/>
        </ext>
      </extLst>
    </xf>
    <xf numFmtId="171" fontId="0" fillId="3" borderId="27" xfId="4" applyNumberFormat="1" applyFont="1" applyFill="1" applyBorder="1"/>
    <xf numFmtId="171" fontId="3" fillId="3" borderId="27" xfId="4" applyNumberFormat="1" applyFont="1" applyFill="1" applyBorder="1" applyAlignment="1">
      <alignment horizontal="right"/>
    </xf>
    <xf numFmtId="171" fontId="3" fillId="3" borderId="30" xfId="4" applyNumberFormat="1" applyFont="1" applyFill="1" applyBorder="1"/>
    <xf numFmtId="0" fontId="26" fillId="5" borderId="17" xfId="0" applyFont="1" applyFill="1" applyBorder="1" applyAlignment="1">
      <alignment horizontal="center"/>
    </xf>
    <xf numFmtId="0" fontId="26" fillId="5" borderId="19" xfId="0" applyFont="1" applyFill="1" applyBorder="1" applyAlignment="1">
      <alignment horizontal="center"/>
    </xf>
    <xf numFmtId="0" fontId="25" fillId="3" borderId="27" xfId="0" applyFont="1" applyFill="1" applyBorder="1"/>
    <xf numFmtId="43" fontId="8" fillId="3" borderId="5" xfId="4" applyFont="1" applyFill="1" applyBorder="1"/>
    <xf numFmtId="43" fontId="8" fillId="3" borderId="8" xfId="0" applyNumberFormat="1" applyFont="1" applyFill="1" applyBorder="1"/>
    <xf numFmtId="0" fontId="0" fillId="3" borderId="1" xfId="0" applyFill="1" applyBorder="1" applyAlignment="1">
      <alignment horizontal="center"/>
    </xf>
    <xf numFmtId="0" fontId="0" fillId="3" borderId="2" xfId="0" applyFill="1" applyBorder="1" applyAlignment="1">
      <alignment horizontal="center"/>
    </xf>
    <xf numFmtId="0" fontId="0" fillId="3" borderId="19" xfId="0" applyFill="1" applyBorder="1" applyAlignment="1">
      <alignment horizontal="center"/>
    </xf>
    <xf numFmtId="0" fontId="0" fillId="0" borderId="0" xfId="0" applyAlignment="1">
      <alignment horizontal="center"/>
    </xf>
    <xf numFmtId="0" fontId="8" fillId="3" borderId="0" xfId="0" applyFont="1" applyFill="1" applyAlignment="1">
      <alignment horizontal="center"/>
    </xf>
    <xf numFmtId="0" fontId="0" fillId="3" borderId="23" xfId="0" applyFill="1" applyBorder="1" applyAlignment="1">
      <alignment horizontal="center"/>
    </xf>
    <xf numFmtId="0" fontId="0" fillId="3" borderId="24" xfId="0" applyFill="1" applyBorder="1" applyAlignment="1">
      <alignment horizontal="center"/>
    </xf>
    <xf numFmtId="0" fontId="0" fillId="3" borderId="25" xfId="0" applyFill="1" applyBorder="1" applyAlignment="1">
      <alignment horizontal="center"/>
    </xf>
    <xf numFmtId="0" fontId="0" fillId="0" borderId="31" xfId="0" applyBorder="1" applyAlignment="1">
      <alignment horizontal="center" vertical="center"/>
    </xf>
    <xf numFmtId="0" fontId="0" fillId="0" borderId="31" xfId="0" applyBorder="1" applyAlignment="1">
      <alignment horizontal="center" vertical="center" wrapText="1"/>
    </xf>
    <xf numFmtId="0" fontId="18" fillId="0" borderId="31" xfId="6"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7" borderId="17" xfId="0" applyFill="1" applyBorder="1" applyAlignment="1">
      <alignment horizontal="center"/>
    </xf>
    <xf numFmtId="0" fontId="0" fillId="7" borderId="19" xfId="0" applyFill="1" applyBorder="1" applyAlignment="1">
      <alignment horizontal="center"/>
    </xf>
  </cellXfs>
  <cellStyles count="7">
    <cellStyle name="Comma" xfId="4" builtinId="3"/>
    <cellStyle name="Comma 2" xfId="1" xr:uid="{68AFBE88-51A2-40BB-82E6-F32C352A58DA}"/>
    <cellStyle name="Currency" xfId="3" builtinId="4"/>
    <cellStyle name="Hyperlink" xfId="6" builtinId="8"/>
    <cellStyle name="Normal" xfId="0" builtinId="0"/>
    <cellStyle name="Normal 2" xfId="2" xr:uid="{56C99B49-6BD1-41E6-901D-05DD4AA521FA}"/>
    <cellStyle name="Percent" xfId="5" builtinId="5"/>
  </cellStyles>
  <dxfs count="18">
    <dxf>
      <font>
        <b val="0"/>
        <i val="0"/>
        <color auto="1"/>
      </font>
      <fill>
        <patternFill>
          <fgColor theme="9" tint="0.39994506668294322"/>
        </patternFill>
      </fill>
    </dxf>
    <dxf>
      <font>
        <b val="0"/>
        <i val="0"/>
        <color auto="1"/>
      </font>
      <fill>
        <patternFill>
          <fgColor theme="9" tint="0.39994506668294322"/>
        </patternFill>
      </fill>
    </dxf>
    <dxf>
      <font>
        <b val="0"/>
        <i val="0"/>
        <color auto="1"/>
      </font>
      <fill>
        <patternFill>
          <fgColor theme="9" tint="0.39994506668294322"/>
        </patternFill>
      </fill>
    </dxf>
    <dxf>
      <font>
        <b val="0"/>
        <i val="0"/>
        <color auto="1"/>
      </font>
      <fill>
        <patternFill>
          <fgColor theme="9" tint="0.39994506668294322"/>
        </patternFill>
      </fill>
    </dxf>
    <dxf>
      <font>
        <b val="0"/>
        <i val="0"/>
        <color auto="1"/>
      </font>
      <fill>
        <patternFill>
          <f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auto="1"/>
      </font>
      <fill>
        <patternFill>
          <f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microsoft.com/office/2022/11/relationships/FeaturePropertyBag" Target="featurePropertyBag/featurePropertyBag.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eetMetadata" Target="metadata.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7140862439334872"/>
          <c:y val="8.4159997418355503E-2"/>
          <c:w val="0.53669842469567985"/>
          <c:h val="0.8707580353685298"/>
        </c:manualLayout>
      </c:layout>
      <c:pieChart>
        <c:varyColors val="1"/>
        <c:ser>
          <c:idx val="0"/>
          <c:order val="0"/>
          <c:tx>
            <c:strRef>
              <c:f>Dashboard!$W$6</c:f>
              <c:strCache>
                <c:ptCount val="1"/>
                <c:pt idx="0">
                  <c:v>Region 1</c:v>
                </c:pt>
              </c:strCache>
            </c:strRef>
          </c:tx>
          <c:explosion val="22"/>
          <c:dPt>
            <c:idx val="0"/>
            <c:bubble3D val="0"/>
            <c:explosion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BF0-5244-9BF2-48D828C35E44}"/>
              </c:ext>
            </c:extLst>
          </c:dPt>
          <c:dPt>
            <c:idx val="1"/>
            <c:bubble3D val="0"/>
            <c:explosion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BF0-5244-9BF2-48D828C35E44}"/>
              </c:ext>
            </c:extLst>
          </c:dPt>
          <c:dPt>
            <c:idx val="2"/>
            <c:bubble3D val="0"/>
            <c:explosion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BF0-5244-9BF2-48D828C35E44}"/>
              </c:ext>
            </c:extLst>
          </c:dPt>
          <c:dPt>
            <c:idx val="3"/>
            <c:bubble3D val="0"/>
            <c:explosion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6BF0-5244-9BF2-48D828C35E44}"/>
              </c:ext>
            </c:extLst>
          </c:dPt>
          <c:cat>
            <c:strRef>
              <c:f>Dashboard!$V$7:$V$10</c:f>
              <c:strCache>
                <c:ptCount val="4"/>
                <c:pt idx="0">
                  <c:v>EcoChill</c:v>
                </c:pt>
                <c:pt idx="1">
                  <c:v>EcoBreeze</c:v>
                </c:pt>
                <c:pt idx="2">
                  <c:v>Loll</c:v>
                </c:pt>
                <c:pt idx="3">
                  <c:v>NorthBreeze</c:v>
                </c:pt>
              </c:strCache>
            </c:strRef>
          </c:cat>
          <c:val>
            <c:numRef>
              <c:f>Dashboard!$W$7:$W$10</c:f>
              <c:numCache>
                <c:formatCode>0.00%</c:formatCode>
                <c:ptCount val="4"/>
                <c:pt idx="0">
                  <c:v>0.55330000000000001</c:v>
                </c:pt>
                <c:pt idx="1">
                  <c:v>0.1134</c:v>
                </c:pt>
                <c:pt idx="2">
                  <c:v>0.15229999999999999</c:v>
                </c:pt>
                <c:pt idx="3">
                  <c:v>0.18099999999999994</c:v>
                </c:pt>
              </c:numCache>
            </c:numRef>
          </c:val>
          <c:extLst>
            <c:ext xmlns:c16="http://schemas.microsoft.com/office/drawing/2014/chart" uri="{C3380CC4-5D6E-409C-BE32-E72D297353CC}">
              <c16:uniqueId val="{00000008-6BF0-5244-9BF2-48D828C35E4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81605537433369"/>
          <c:y val="0.2439231315347877"/>
          <c:w val="0.23668310923701166"/>
          <c:h val="0.45287078869239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20331460451865627"/>
          <c:y val="0.15135096520193039"/>
          <c:w val="0.46599236339176198"/>
          <c:h val="0.74784258318516639"/>
        </c:manualLayout>
      </c:layout>
      <c:pieChart>
        <c:varyColors val="1"/>
        <c:ser>
          <c:idx val="0"/>
          <c:order val="0"/>
          <c:tx>
            <c:strRef>
              <c:f>Dashboard!$X$6</c:f>
              <c:strCache>
                <c:ptCount val="1"/>
                <c:pt idx="0">
                  <c:v>Region 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58B-1C4F-8FFB-2C2EE0A06A6B}"/>
              </c:ext>
            </c:extLst>
          </c:dPt>
          <c:dPt>
            <c:idx val="1"/>
            <c:bubble3D val="0"/>
            <c:explosion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58B-1C4F-8FFB-2C2EE0A06A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58B-1C4F-8FFB-2C2EE0A06A6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C58B-1C4F-8FFB-2C2EE0A06A6B}"/>
              </c:ext>
            </c:extLst>
          </c:dPt>
          <c:cat>
            <c:strRef>
              <c:f>Dashboard!$V$7:$V$10</c:f>
              <c:strCache>
                <c:ptCount val="4"/>
                <c:pt idx="0">
                  <c:v>EcoChill</c:v>
                </c:pt>
                <c:pt idx="1">
                  <c:v>EcoBreeze</c:v>
                </c:pt>
                <c:pt idx="2">
                  <c:v>Loll</c:v>
                </c:pt>
                <c:pt idx="3">
                  <c:v>NorthBreeze</c:v>
                </c:pt>
              </c:strCache>
            </c:strRef>
          </c:cat>
          <c:val>
            <c:numRef>
              <c:f>Dashboard!$X$7:$X$10</c:f>
              <c:numCache>
                <c:formatCode>0.00%</c:formatCode>
                <c:ptCount val="4"/>
                <c:pt idx="0">
                  <c:v>0</c:v>
                </c:pt>
                <c:pt idx="1">
                  <c:v>0.35010000000000002</c:v>
                </c:pt>
                <c:pt idx="2">
                  <c:v>0.2334</c:v>
                </c:pt>
                <c:pt idx="3">
                  <c:v>0.41649999999999998</c:v>
                </c:pt>
              </c:numCache>
            </c:numRef>
          </c:val>
          <c:extLst>
            <c:ext xmlns:c16="http://schemas.microsoft.com/office/drawing/2014/chart" uri="{C3380CC4-5D6E-409C-BE32-E72D297353CC}">
              <c16:uniqueId val="{00000008-C58B-1C4F-8FFB-2C2EE0A06A6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443041981561341"/>
          <c:y val="0.22385985521971044"/>
          <c:w val="0.25049420329996441"/>
          <c:h val="0.4697599695199390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6700629249918653"/>
          <c:y val="0.17951578553133141"/>
          <c:w val="0.48414407593542524"/>
          <c:h val="0.78017532778742305"/>
        </c:manualLayout>
      </c:layout>
      <c:pieChart>
        <c:varyColors val="1"/>
        <c:ser>
          <c:idx val="0"/>
          <c:order val="0"/>
          <c:tx>
            <c:strRef>
              <c:f>Dashboard!$Y$6</c:f>
              <c:strCache>
                <c:ptCount val="1"/>
                <c:pt idx="0">
                  <c:v>Region 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D4D-BD44-8F82-127592F90332}"/>
              </c:ext>
            </c:extLst>
          </c:dPt>
          <c:dPt>
            <c:idx val="1"/>
            <c:bubble3D val="0"/>
            <c:explosion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D4D-BD44-8F82-127592F9033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D4D-BD44-8F82-127592F9033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FD4D-BD44-8F82-127592F90332}"/>
              </c:ext>
            </c:extLst>
          </c:dPt>
          <c:cat>
            <c:strRef>
              <c:f>Dashboard!$V$7:$V$10</c:f>
              <c:strCache>
                <c:ptCount val="4"/>
                <c:pt idx="0">
                  <c:v>EcoChill</c:v>
                </c:pt>
                <c:pt idx="1">
                  <c:v>EcoBreeze</c:v>
                </c:pt>
                <c:pt idx="2">
                  <c:v>Loll</c:v>
                </c:pt>
                <c:pt idx="3">
                  <c:v>NorthBreeze</c:v>
                </c:pt>
              </c:strCache>
            </c:strRef>
          </c:cat>
          <c:val>
            <c:numRef>
              <c:f>Dashboard!$Y$7:$Y$10</c:f>
              <c:numCache>
                <c:formatCode>0.00%</c:formatCode>
                <c:ptCount val="4"/>
                <c:pt idx="0">
                  <c:v>0.16639999999999999</c:v>
                </c:pt>
                <c:pt idx="1">
                  <c:v>0.31030000000000002</c:v>
                </c:pt>
                <c:pt idx="2">
                  <c:v>0.1169</c:v>
                </c:pt>
                <c:pt idx="3">
                  <c:v>0.40639999999999998</c:v>
                </c:pt>
              </c:numCache>
            </c:numRef>
          </c:val>
          <c:extLst>
            <c:ext xmlns:c16="http://schemas.microsoft.com/office/drawing/2014/chart" uri="{C3380CC4-5D6E-409C-BE32-E72D297353CC}">
              <c16:uniqueId val="{00000008-FD4D-BD44-8F82-127592F9033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560464953213966"/>
          <c:y val="0.26829341060790246"/>
          <c:w val="0.25938694812607682"/>
          <c:h val="0.4252606588439918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681761057729361"/>
          <c:y val="0.15837944762527822"/>
          <c:w val="0.48961900163107502"/>
          <c:h val="0.78553581584523136"/>
        </c:manualLayout>
      </c:layout>
      <c:pieChart>
        <c:varyColors val="1"/>
        <c:ser>
          <c:idx val="0"/>
          <c:order val="0"/>
          <c:tx>
            <c:strRef>
              <c:f>Dashboard!$Z$6</c:f>
              <c:strCache>
                <c:ptCount val="1"/>
                <c:pt idx="0">
                  <c:v>Region 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E17-2C4B-B676-460909C389B3}"/>
              </c:ext>
            </c:extLst>
          </c:dPt>
          <c:dPt>
            <c:idx val="1"/>
            <c:bubble3D val="0"/>
            <c:explosion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E17-2C4B-B676-460909C389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E17-2C4B-B676-460909C389B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E17-2C4B-B676-460909C389B3}"/>
              </c:ext>
            </c:extLst>
          </c:dPt>
          <c:cat>
            <c:strRef>
              <c:f>Dashboard!$V$7:$V$10</c:f>
              <c:strCache>
                <c:ptCount val="4"/>
                <c:pt idx="0">
                  <c:v>EcoChill</c:v>
                </c:pt>
                <c:pt idx="1">
                  <c:v>EcoBreeze</c:v>
                </c:pt>
                <c:pt idx="2">
                  <c:v>Loll</c:v>
                </c:pt>
                <c:pt idx="3">
                  <c:v>NorthBreeze</c:v>
                </c:pt>
              </c:strCache>
            </c:strRef>
          </c:cat>
          <c:val>
            <c:numRef>
              <c:f>Dashboard!$Z$7:$Z$10</c:f>
              <c:numCache>
                <c:formatCode>0.00%</c:formatCode>
                <c:ptCount val="4"/>
                <c:pt idx="0">
                  <c:v>0.13919999999999999</c:v>
                </c:pt>
                <c:pt idx="1">
                  <c:v>0.58330000000000004</c:v>
                </c:pt>
                <c:pt idx="2">
                  <c:v>0.16189999999999999</c:v>
                </c:pt>
                <c:pt idx="3">
                  <c:v>0.11559999999999993</c:v>
                </c:pt>
              </c:numCache>
            </c:numRef>
          </c:val>
          <c:extLst>
            <c:ext xmlns:c16="http://schemas.microsoft.com/office/drawing/2014/chart" uri="{C3380CC4-5D6E-409C-BE32-E72D297353CC}">
              <c16:uniqueId val="{00000008-8E17-2C4B-B676-460909C389B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606898330703997"/>
          <c:y val="0.24568489778099384"/>
          <c:w val="0.23894934859235234"/>
          <c:h val="0.44667675855457839"/>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Dashboard!$B$7</c:f>
              <c:strCache>
                <c:ptCount val="1"/>
                <c:pt idx="0">
                  <c:v>Region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Dashboard!$C$6:$N$6</c:f>
              <c:strCache>
                <c:ptCount val="12"/>
                <c:pt idx="0">
                  <c:v>Q1</c:v>
                </c:pt>
                <c:pt idx="1">
                  <c:v>Q2</c:v>
                </c:pt>
                <c:pt idx="2">
                  <c:v>Q3</c:v>
                </c:pt>
                <c:pt idx="3">
                  <c:v>Q4</c:v>
                </c:pt>
                <c:pt idx="4">
                  <c:v>Q5</c:v>
                </c:pt>
                <c:pt idx="5">
                  <c:v>Q6</c:v>
                </c:pt>
                <c:pt idx="6">
                  <c:v>Q7</c:v>
                </c:pt>
                <c:pt idx="7">
                  <c:v>Q8</c:v>
                </c:pt>
                <c:pt idx="8">
                  <c:v>Q9</c:v>
                </c:pt>
                <c:pt idx="9">
                  <c:v>Q10</c:v>
                </c:pt>
                <c:pt idx="10">
                  <c:v>Q11</c:v>
                </c:pt>
                <c:pt idx="11">
                  <c:v>Q12</c:v>
                </c:pt>
              </c:strCache>
            </c:strRef>
          </c:cat>
          <c:val>
            <c:numRef>
              <c:f>Dashboard!$C$7:$N$7</c:f>
              <c:numCache>
                <c:formatCode>_(* #,##0_);_(* \(#,##0\);_(* "-"??_);_(@_)</c:formatCode>
                <c:ptCount val="12"/>
                <c:pt idx="0">
                  <c:v>0</c:v>
                </c:pt>
                <c:pt idx="1">
                  <c:v>50</c:v>
                </c:pt>
                <c:pt idx="2">
                  <c:v>99</c:v>
                </c:pt>
                <c:pt idx="3">
                  <c:v>210</c:v>
                </c:pt>
                <c:pt idx="4">
                  <c:v>292</c:v>
                </c:pt>
                <c:pt idx="5">
                  <c:v>150</c:v>
                </c:pt>
                <c:pt idx="6">
                  <c:v>359</c:v>
                </c:pt>
                <c:pt idx="7">
                  <c:v>264</c:v>
                </c:pt>
                <c:pt idx="8">
                  <c:v>427</c:v>
                </c:pt>
                <c:pt idx="9">
                  <c:v>484</c:v>
                </c:pt>
                <c:pt idx="10">
                  <c:v>577</c:v>
                </c:pt>
                <c:pt idx="11">
                  <c:v>403</c:v>
                </c:pt>
              </c:numCache>
            </c:numRef>
          </c:val>
          <c:extLst>
            <c:ext xmlns:c16="http://schemas.microsoft.com/office/drawing/2014/chart" uri="{C3380CC4-5D6E-409C-BE32-E72D297353CC}">
              <c16:uniqueId val="{00000000-83BC-0743-939B-1BA8048AF942}"/>
            </c:ext>
          </c:extLst>
        </c:ser>
        <c:ser>
          <c:idx val="1"/>
          <c:order val="1"/>
          <c:tx>
            <c:strRef>
              <c:f>Dashboard!$B$8</c:f>
              <c:strCache>
                <c:ptCount val="1"/>
                <c:pt idx="0">
                  <c:v>Region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Dashboard!$C$6:$N$6</c:f>
              <c:strCache>
                <c:ptCount val="12"/>
                <c:pt idx="0">
                  <c:v>Q1</c:v>
                </c:pt>
                <c:pt idx="1">
                  <c:v>Q2</c:v>
                </c:pt>
                <c:pt idx="2">
                  <c:v>Q3</c:v>
                </c:pt>
                <c:pt idx="3">
                  <c:v>Q4</c:v>
                </c:pt>
                <c:pt idx="4">
                  <c:v>Q5</c:v>
                </c:pt>
                <c:pt idx="5">
                  <c:v>Q6</c:v>
                </c:pt>
                <c:pt idx="6">
                  <c:v>Q7</c:v>
                </c:pt>
                <c:pt idx="7">
                  <c:v>Q8</c:v>
                </c:pt>
                <c:pt idx="8">
                  <c:v>Q9</c:v>
                </c:pt>
                <c:pt idx="9">
                  <c:v>Q10</c:v>
                </c:pt>
                <c:pt idx="10">
                  <c:v>Q11</c:v>
                </c:pt>
                <c:pt idx="11">
                  <c:v>Q12</c:v>
                </c:pt>
              </c:strCache>
            </c:strRef>
          </c:cat>
          <c:val>
            <c:numRef>
              <c:f>Dashboard!$C$8:$N$8</c:f>
              <c:numCache>
                <c:formatCode>_(* #,##0_);_(* \(#,##0\);_(* "-"??_);_(@_)</c:formatCode>
                <c:ptCount val="12"/>
                <c:pt idx="0">
                  <c:v>0</c:v>
                </c:pt>
                <c:pt idx="1">
                  <c:v>103</c:v>
                </c:pt>
                <c:pt idx="2">
                  <c:v>216</c:v>
                </c:pt>
                <c:pt idx="3">
                  <c:v>79</c:v>
                </c:pt>
                <c:pt idx="4">
                  <c:v>297</c:v>
                </c:pt>
                <c:pt idx="5">
                  <c:v>301</c:v>
                </c:pt>
                <c:pt idx="6">
                  <c:v>212</c:v>
                </c:pt>
                <c:pt idx="7">
                  <c:v>198</c:v>
                </c:pt>
                <c:pt idx="8">
                  <c:v>271</c:v>
                </c:pt>
                <c:pt idx="9">
                  <c:v>302</c:v>
                </c:pt>
                <c:pt idx="10">
                  <c:v>327</c:v>
                </c:pt>
                <c:pt idx="11">
                  <c:v>210</c:v>
                </c:pt>
              </c:numCache>
            </c:numRef>
          </c:val>
          <c:extLst>
            <c:ext xmlns:c16="http://schemas.microsoft.com/office/drawing/2014/chart" uri="{C3380CC4-5D6E-409C-BE32-E72D297353CC}">
              <c16:uniqueId val="{00000001-83BC-0743-939B-1BA8048AF942}"/>
            </c:ext>
          </c:extLst>
        </c:ser>
        <c:ser>
          <c:idx val="2"/>
          <c:order val="2"/>
          <c:tx>
            <c:strRef>
              <c:f>Dashboard!$B$9</c:f>
              <c:strCache>
                <c:ptCount val="1"/>
                <c:pt idx="0">
                  <c:v>Region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Dashboard!$C$6:$N$6</c:f>
              <c:strCache>
                <c:ptCount val="12"/>
                <c:pt idx="0">
                  <c:v>Q1</c:v>
                </c:pt>
                <c:pt idx="1">
                  <c:v>Q2</c:v>
                </c:pt>
                <c:pt idx="2">
                  <c:v>Q3</c:v>
                </c:pt>
                <c:pt idx="3">
                  <c:v>Q4</c:v>
                </c:pt>
                <c:pt idx="4">
                  <c:v>Q5</c:v>
                </c:pt>
                <c:pt idx="5">
                  <c:v>Q6</c:v>
                </c:pt>
                <c:pt idx="6">
                  <c:v>Q7</c:v>
                </c:pt>
                <c:pt idx="7">
                  <c:v>Q8</c:v>
                </c:pt>
                <c:pt idx="8">
                  <c:v>Q9</c:v>
                </c:pt>
                <c:pt idx="9">
                  <c:v>Q10</c:v>
                </c:pt>
                <c:pt idx="10">
                  <c:v>Q11</c:v>
                </c:pt>
                <c:pt idx="11">
                  <c:v>Q12</c:v>
                </c:pt>
              </c:strCache>
            </c:strRef>
          </c:cat>
          <c:val>
            <c:numRef>
              <c:f>Dashboard!$C$9:$N$9</c:f>
              <c:numCache>
                <c:formatCode>_(* #,##0_);_(* \(#,##0\);_(* "-"??_);_(@_)</c:formatCode>
                <c:ptCount val="12"/>
                <c:pt idx="0">
                  <c:v>0</c:v>
                </c:pt>
                <c:pt idx="1">
                  <c:v>66</c:v>
                </c:pt>
                <c:pt idx="2">
                  <c:v>207</c:v>
                </c:pt>
                <c:pt idx="3">
                  <c:v>121</c:v>
                </c:pt>
                <c:pt idx="4">
                  <c:v>117</c:v>
                </c:pt>
                <c:pt idx="5">
                  <c:v>25</c:v>
                </c:pt>
                <c:pt idx="6">
                  <c:v>39</c:v>
                </c:pt>
                <c:pt idx="7">
                  <c:v>50</c:v>
                </c:pt>
                <c:pt idx="8">
                  <c:v>48</c:v>
                </c:pt>
                <c:pt idx="9">
                  <c:v>151</c:v>
                </c:pt>
                <c:pt idx="10">
                  <c:v>57</c:v>
                </c:pt>
                <c:pt idx="11">
                  <c:v>40</c:v>
                </c:pt>
              </c:numCache>
            </c:numRef>
          </c:val>
          <c:extLst>
            <c:ext xmlns:c16="http://schemas.microsoft.com/office/drawing/2014/chart" uri="{C3380CC4-5D6E-409C-BE32-E72D297353CC}">
              <c16:uniqueId val="{00000002-83BC-0743-939B-1BA8048AF942}"/>
            </c:ext>
          </c:extLst>
        </c:ser>
        <c:ser>
          <c:idx val="3"/>
          <c:order val="3"/>
          <c:tx>
            <c:strRef>
              <c:f>Dashboard!$B$10</c:f>
              <c:strCache>
                <c:ptCount val="1"/>
                <c:pt idx="0">
                  <c:v>Region 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Dashboard!$C$6:$N$6</c:f>
              <c:strCache>
                <c:ptCount val="12"/>
                <c:pt idx="0">
                  <c:v>Q1</c:v>
                </c:pt>
                <c:pt idx="1">
                  <c:v>Q2</c:v>
                </c:pt>
                <c:pt idx="2">
                  <c:v>Q3</c:v>
                </c:pt>
                <c:pt idx="3">
                  <c:v>Q4</c:v>
                </c:pt>
                <c:pt idx="4">
                  <c:v>Q5</c:v>
                </c:pt>
                <c:pt idx="5">
                  <c:v>Q6</c:v>
                </c:pt>
                <c:pt idx="6">
                  <c:v>Q7</c:v>
                </c:pt>
                <c:pt idx="7">
                  <c:v>Q8</c:v>
                </c:pt>
                <c:pt idx="8">
                  <c:v>Q9</c:v>
                </c:pt>
                <c:pt idx="9">
                  <c:v>Q10</c:v>
                </c:pt>
                <c:pt idx="10">
                  <c:v>Q11</c:v>
                </c:pt>
                <c:pt idx="11">
                  <c:v>Q12</c:v>
                </c:pt>
              </c:strCache>
            </c:strRef>
          </c:cat>
          <c:val>
            <c:numRef>
              <c:f>Dashboard!$C$10:$N$10</c:f>
              <c:numCache>
                <c:formatCode>_(* #,##0_);_(* \(#,##0\);_(* "-"??_);_(@_)</c:formatCode>
                <c:ptCount val="12"/>
                <c:pt idx="0">
                  <c:v>0</c:v>
                </c:pt>
                <c:pt idx="1">
                  <c:v>325</c:v>
                </c:pt>
                <c:pt idx="2">
                  <c:v>616</c:v>
                </c:pt>
                <c:pt idx="3">
                  <c:v>485</c:v>
                </c:pt>
                <c:pt idx="4">
                  <c:v>785</c:v>
                </c:pt>
                <c:pt idx="5">
                  <c:v>501</c:v>
                </c:pt>
                <c:pt idx="6">
                  <c:v>674</c:v>
                </c:pt>
                <c:pt idx="7">
                  <c:v>452</c:v>
                </c:pt>
                <c:pt idx="8">
                  <c:v>759</c:v>
                </c:pt>
                <c:pt idx="9">
                  <c:v>668</c:v>
                </c:pt>
                <c:pt idx="10">
                  <c:v>889</c:v>
                </c:pt>
                <c:pt idx="11">
                  <c:v>655</c:v>
                </c:pt>
              </c:numCache>
            </c:numRef>
          </c:val>
          <c:extLst>
            <c:ext xmlns:c16="http://schemas.microsoft.com/office/drawing/2014/chart" uri="{C3380CC4-5D6E-409C-BE32-E72D297353CC}">
              <c16:uniqueId val="{00000003-83BC-0743-939B-1BA8048AF942}"/>
            </c:ext>
          </c:extLst>
        </c:ser>
        <c:dLbls>
          <c:showLegendKey val="0"/>
          <c:showVal val="0"/>
          <c:showCatName val="0"/>
          <c:showSerName val="0"/>
          <c:showPercent val="0"/>
          <c:showBubbleSize val="0"/>
        </c:dLbls>
        <c:gapWidth val="100"/>
        <c:overlap val="-24"/>
        <c:axId val="145961584"/>
        <c:axId val="146146464"/>
      </c:barChart>
      <c:catAx>
        <c:axId val="1459615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Quarters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146464"/>
        <c:crosses val="autoZero"/>
        <c:auto val="1"/>
        <c:lblAlgn val="ctr"/>
        <c:lblOffset val="100"/>
        <c:noMultiLvlLbl val="0"/>
      </c:catAx>
      <c:valAx>
        <c:axId val="146146464"/>
        <c:scaling>
          <c:orientation val="minMax"/>
        </c:scaling>
        <c:delete val="0"/>
        <c:axPos val="l"/>
        <c:majorGridlines>
          <c:spPr>
            <a:ln w="19050"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Number</a:t>
                </a:r>
                <a:r>
                  <a:rPr lang="en-US" baseline="0"/>
                  <a:t> of Amount Sold</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96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7140862439334872"/>
          <c:y val="8.4159997418355503E-2"/>
          <c:w val="0.53669842469567985"/>
          <c:h val="0.8707580353685298"/>
        </c:manualLayout>
      </c:layout>
      <c:pieChart>
        <c:varyColors val="1"/>
        <c:ser>
          <c:idx val="0"/>
          <c:order val="0"/>
          <c:tx>
            <c:strRef>
              <c:f>Dashboard!$W$49</c:f>
              <c:strCache>
                <c:ptCount val="1"/>
                <c:pt idx="0">
                  <c:v>Region 1</c:v>
                </c:pt>
              </c:strCache>
            </c:strRef>
          </c:tx>
          <c:explosion val="22"/>
          <c:dPt>
            <c:idx val="0"/>
            <c:bubble3D val="0"/>
            <c:explosion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55E-2D4E-931D-FAB5BE996267}"/>
              </c:ext>
            </c:extLst>
          </c:dPt>
          <c:dPt>
            <c:idx val="1"/>
            <c:bubble3D val="0"/>
            <c:explosion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E55E-2D4E-931D-FAB5BE996267}"/>
              </c:ext>
            </c:extLst>
          </c:dPt>
          <c:dPt>
            <c:idx val="2"/>
            <c:bubble3D val="0"/>
            <c:explosion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E55E-2D4E-931D-FAB5BE996267}"/>
              </c:ext>
            </c:extLst>
          </c:dPt>
          <c:dPt>
            <c:idx val="3"/>
            <c:bubble3D val="0"/>
            <c:explosion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E55E-2D4E-931D-FAB5BE996267}"/>
              </c:ext>
            </c:extLst>
          </c:dPt>
          <c:cat>
            <c:strRef>
              <c:f>Dashboard!$V$50:$V$53</c:f>
              <c:strCache>
                <c:ptCount val="4"/>
                <c:pt idx="0">
                  <c:v>EcoChill</c:v>
                </c:pt>
                <c:pt idx="1">
                  <c:v>EcoBreeze</c:v>
                </c:pt>
                <c:pt idx="2">
                  <c:v>Loll</c:v>
                </c:pt>
                <c:pt idx="3">
                  <c:v>NorthBreeze</c:v>
                </c:pt>
              </c:strCache>
            </c:strRef>
          </c:cat>
          <c:val>
            <c:numRef>
              <c:f>Dashboard!$W$50:$W$53</c:f>
              <c:numCache>
                <c:formatCode>0.00%</c:formatCode>
                <c:ptCount val="4"/>
                <c:pt idx="0">
                  <c:v>0.39389999999999997</c:v>
                </c:pt>
                <c:pt idx="1">
                  <c:v>0.35089999999999999</c:v>
                </c:pt>
                <c:pt idx="2">
                  <c:v>0.21210000000000001</c:v>
                </c:pt>
                <c:pt idx="3">
                  <c:v>4.2999999999999997E-2</c:v>
                </c:pt>
              </c:numCache>
            </c:numRef>
          </c:val>
          <c:extLst>
            <c:ext xmlns:c16="http://schemas.microsoft.com/office/drawing/2014/chart" uri="{C3380CC4-5D6E-409C-BE32-E72D297353CC}">
              <c16:uniqueId val="{00000008-E55E-2D4E-931D-FAB5BE99626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81605537433369"/>
          <c:y val="0.2439231315347877"/>
          <c:w val="0.23668310923701166"/>
          <c:h val="0.45287078869239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20331460451865627"/>
          <c:y val="0.15135096520193039"/>
          <c:w val="0.46599236339176198"/>
          <c:h val="0.74784258318516639"/>
        </c:manualLayout>
      </c:layout>
      <c:pieChart>
        <c:varyColors val="1"/>
        <c:ser>
          <c:idx val="0"/>
          <c:order val="0"/>
          <c:tx>
            <c:strRef>
              <c:f>Dashboard!$X$49</c:f>
              <c:strCache>
                <c:ptCount val="1"/>
                <c:pt idx="0">
                  <c:v>Region 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91A-7A43-B22D-112535DBB6DE}"/>
              </c:ext>
            </c:extLst>
          </c:dPt>
          <c:dPt>
            <c:idx val="1"/>
            <c:bubble3D val="0"/>
            <c:explosion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791A-7A43-B22D-112535DBB6D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791A-7A43-B22D-112535DBB6D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791A-7A43-B22D-112535DBB6DE}"/>
              </c:ext>
            </c:extLst>
          </c:dPt>
          <c:cat>
            <c:strRef>
              <c:f>Dashboard!$V$50:$V$53</c:f>
              <c:strCache>
                <c:ptCount val="4"/>
                <c:pt idx="0">
                  <c:v>EcoChill</c:v>
                </c:pt>
                <c:pt idx="1">
                  <c:v>EcoBreeze</c:v>
                </c:pt>
                <c:pt idx="2">
                  <c:v>Loll</c:v>
                </c:pt>
                <c:pt idx="3">
                  <c:v>NorthBreeze</c:v>
                </c:pt>
              </c:strCache>
            </c:strRef>
          </c:cat>
          <c:val>
            <c:numRef>
              <c:f>Dashboard!$X$50:$X$53</c:f>
              <c:numCache>
                <c:formatCode>0.00%</c:formatCode>
                <c:ptCount val="4"/>
                <c:pt idx="0">
                  <c:v>0.1154</c:v>
                </c:pt>
                <c:pt idx="1">
                  <c:v>0.31780000000000003</c:v>
                </c:pt>
                <c:pt idx="2">
                  <c:v>0.33879999999999999</c:v>
                </c:pt>
                <c:pt idx="3">
                  <c:v>0.22789999999999999</c:v>
                </c:pt>
              </c:numCache>
            </c:numRef>
          </c:val>
          <c:extLst>
            <c:ext xmlns:c16="http://schemas.microsoft.com/office/drawing/2014/chart" uri="{C3380CC4-5D6E-409C-BE32-E72D297353CC}">
              <c16:uniqueId val="{00000008-791A-7A43-B22D-112535DBB6D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443041981561341"/>
          <c:y val="0.22385985521971044"/>
          <c:w val="0.25049420329996441"/>
          <c:h val="0.4697599695199390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6700629249918653"/>
          <c:y val="0.17951578553133141"/>
          <c:w val="0.48414407593542524"/>
          <c:h val="0.78017532778742305"/>
        </c:manualLayout>
      </c:layout>
      <c:pieChart>
        <c:varyColors val="1"/>
        <c:ser>
          <c:idx val="0"/>
          <c:order val="0"/>
          <c:tx>
            <c:strRef>
              <c:f>Dashboard!$Y$49</c:f>
              <c:strCache>
                <c:ptCount val="1"/>
                <c:pt idx="0">
                  <c:v>Region 3</c:v>
                </c:pt>
              </c:strCache>
            </c:strRef>
          </c:tx>
          <c:explosion val="19"/>
          <c:dPt>
            <c:idx val="0"/>
            <c:bubble3D val="0"/>
            <c:explosion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4607-0748-962A-F24028A33B87}"/>
              </c:ext>
            </c:extLst>
          </c:dPt>
          <c:dPt>
            <c:idx val="1"/>
            <c:bubble3D val="0"/>
            <c:explosion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4607-0748-962A-F24028A33B87}"/>
              </c:ext>
            </c:extLst>
          </c:dPt>
          <c:dPt>
            <c:idx val="2"/>
            <c:bubble3D val="0"/>
            <c:explosion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4607-0748-962A-F24028A33B87}"/>
              </c:ext>
            </c:extLst>
          </c:dPt>
          <c:dPt>
            <c:idx val="3"/>
            <c:bubble3D val="0"/>
            <c:explosion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4607-0748-962A-F24028A33B87}"/>
              </c:ext>
            </c:extLst>
          </c:dPt>
          <c:cat>
            <c:strRef>
              <c:f>Dashboard!$V$50:$V$53</c:f>
              <c:strCache>
                <c:ptCount val="4"/>
                <c:pt idx="0">
                  <c:v>EcoChill</c:v>
                </c:pt>
                <c:pt idx="1">
                  <c:v>EcoBreeze</c:v>
                </c:pt>
                <c:pt idx="2">
                  <c:v>Loll</c:v>
                </c:pt>
                <c:pt idx="3">
                  <c:v>NorthBreeze</c:v>
                </c:pt>
              </c:strCache>
            </c:strRef>
          </c:cat>
          <c:val>
            <c:numRef>
              <c:f>Dashboard!$Y$50:$Y$53</c:f>
              <c:numCache>
                <c:formatCode>0.00%</c:formatCode>
                <c:ptCount val="4"/>
                <c:pt idx="0">
                  <c:v>0.40079999999999999</c:v>
                </c:pt>
                <c:pt idx="1">
                  <c:v>5.2600000000000001E-2</c:v>
                </c:pt>
                <c:pt idx="2">
                  <c:v>0.3266</c:v>
                </c:pt>
                <c:pt idx="3">
                  <c:v>0.21999999999999997</c:v>
                </c:pt>
              </c:numCache>
            </c:numRef>
          </c:val>
          <c:extLst>
            <c:ext xmlns:c16="http://schemas.microsoft.com/office/drawing/2014/chart" uri="{C3380CC4-5D6E-409C-BE32-E72D297353CC}">
              <c16:uniqueId val="{00000008-4607-0748-962A-F24028A33B8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560464953213966"/>
          <c:y val="0.26829341060790246"/>
          <c:w val="0.25938694812607682"/>
          <c:h val="0.4252606588439918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681761057729361"/>
          <c:y val="0.15837944762527822"/>
          <c:w val="0.48961900163107502"/>
          <c:h val="0.78553581584523136"/>
        </c:manualLayout>
      </c:layout>
      <c:pieChart>
        <c:varyColors val="1"/>
        <c:ser>
          <c:idx val="0"/>
          <c:order val="0"/>
          <c:tx>
            <c:strRef>
              <c:f>Dashboard!$Z$6</c:f>
              <c:strCache>
                <c:ptCount val="1"/>
                <c:pt idx="0">
                  <c:v>Region 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DF1-6F46-86B4-B1B0AF3575B4}"/>
              </c:ext>
            </c:extLst>
          </c:dPt>
          <c:dPt>
            <c:idx val="1"/>
            <c:bubble3D val="0"/>
            <c:explosion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DF1-6F46-86B4-B1B0AF3575B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DF1-6F46-86B4-B1B0AF3575B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DF1-6F46-86B4-B1B0AF3575B4}"/>
              </c:ext>
            </c:extLst>
          </c:dPt>
          <c:cat>
            <c:strRef>
              <c:f>Dashboard!$V$50:$V$53</c:f>
              <c:strCache>
                <c:ptCount val="4"/>
                <c:pt idx="0">
                  <c:v>EcoChill</c:v>
                </c:pt>
                <c:pt idx="1">
                  <c:v>EcoBreeze</c:v>
                </c:pt>
                <c:pt idx="2">
                  <c:v>Loll</c:v>
                </c:pt>
                <c:pt idx="3">
                  <c:v>NorthBreeze</c:v>
                </c:pt>
              </c:strCache>
            </c:strRef>
          </c:cat>
          <c:val>
            <c:numRef>
              <c:f>Dashboard!$Z$50:$Z$53</c:f>
              <c:numCache>
                <c:formatCode>0.00%</c:formatCode>
                <c:ptCount val="4"/>
                <c:pt idx="0">
                  <c:v>7.2999999999999995E-2</c:v>
                </c:pt>
                <c:pt idx="1">
                  <c:v>0.58609999999999995</c:v>
                </c:pt>
                <c:pt idx="2">
                  <c:v>0.28349999999999997</c:v>
                </c:pt>
                <c:pt idx="3">
                  <c:v>5.74E-2</c:v>
                </c:pt>
              </c:numCache>
            </c:numRef>
          </c:val>
          <c:extLst>
            <c:ext xmlns:c16="http://schemas.microsoft.com/office/drawing/2014/chart" uri="{C3380CC4-5D6E-409C-BE32-E72D297353CC}">
              <c16:uniqueId val="{00000008-8E17-2C4B-B676-460909C389B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606898330703997"/>
          <c:y val="0.24568489778099384"/>
          <c:w val="0.23894934859235234"/>
          <c:h val="0.44667675855457839"/>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Data_IncomeStatement!$A$2</c:f>
              <c:strCache>
                <c:ptCount val="1"/>
                <c:pt idx="0">
                  <c:v>Sales Income</c:v>
                </c:pt>
              </c:strCache>
            </c:strRef>
          </c:tx>
          <c:spPr>
            <a:ln w="31750" cap="rnd">
              <a:solidFill>
                <a:schemeClr val="accent1"/>
              </a:solidFill>
              <a:round/>
            </a:ln>
            <a:effectLst/>
          </c:spPr>
          <c:marker>
            <c:symbol val="none"/>
          </c:marker>
          <c:cat>
            <c:numRef>
              <c:f>Data_IncomeStatement!$B$1:$M$1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Data_IncomeStatement!$B$2:$M$2</c:f>
              <c:numCache>
                <c:formatCode>"$"#,##0.00</c:formatCode>
                <c:ptCount val="12"/>
                <c:pt idx="0">
                  <c:v>0</c:v>
                </c:pt>
                <c:pt idx="1">
                  <c:v>798556</c:v>
                </c:pt>
                <c:pt idx="2">
                  <c:v>1923112</c:v>
                </c:pt>
                <c:pt idx="3">
                  <c:v>1686105</c:v>
                </c:pt>
                <c:pt idx="4">
                  <c:v>3489303</c:v>
                </c:pt>
                <c:pt idx="5" formatCode="#,##0.00">
                  <c:v>2554023</c:v>
                </c:pt>
                <c:pt idx="6" formatCode="#,##0.00">
                  <c:v>3616316</c:v>
                </c:pt>
                <c:pt idx="7" formatCode="#,##0.00">
                  <c:v>2792036</c:v>
                </c:pt>
                <c:pt idx="8" formatCode="#,##0.00">
                  <c:v>4158295</c:v>
                </c:pt>
                <c:pt idx="9" formatCode="#,##0.00">
                  <c:v>4562295</c:v>
                </c:pt>
                <c:pt idx="10" formatCode="#,##0.00">
                  <c:v>5265050</c:v>
                </c:pt>
                <c:pt idx="11" formatCode="#,##0.00">
                  <c:v>3728892</c:v>
                </c:pt>
              </c:numCache>
            </c:numRef>
          </c:val>
          <c:smooth val="0"/>
          <c:extLst>
            <c:ext xmlns:c16="http://schemas.microsoft.com/office/drawing/2014/chart" uri="{C3380CC4-5D6E-409C-BE32-E72D297353CC}">
              <c16:uniqueId val="{00000000-DE70-454C-B898-9CCD41C919CD}"/>
            </c:ext>
          </c:extLst>
        </c:ser>
        <c:dLbls>
          <c:showLegendKey val="0"/>
          <c:showVal val="0"/>
          <c:showCatName val="0"/>
          <c:showSerName val="0"/>
          <c:showPercent val="0"/>
          <c:showBubbleSize val="0"/>
        </c:dLbls>
        <c:smooth val="0"/>
        <c:axId val="2117790895"/>
        <c:axId val="489500320"/>
      </c:lineChart>
      <c:catAx>
        <c:axId val="211779089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US"/>
          </a:p>
        </c:txPr>
        <c:crossAx val="489500320"/>
        <c:crosses val="autoZero"/>
        <c:auto val="1"/>
        <c:lblAlgn val="ctr"/>
        <c:lblOffset val="100"/>
        <c:noMultiLvlLbl val="0"/>
      </c:catAx>
      <c:valAx>
        <c:axId val="489500320"/>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US"/>
          </a:p>
        </c:txPr>
        <c:crossAx val="2117790895"/>
        <c:crosses val="autoZero"/>
        <c:crossBetween val="between"/>
      </c:valAx>
      <c:spPr>
        <a:noFill/>
        <a:ln>
          <a:noFill/>
        </a:ln>
        <a:effectLst/>
      </c:spPr>
    </c:plotArea>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Data_IncomeStatement!$A$28</c:f>
              <c:strCache>
                <c:ptCount val="1"/>
                <c:pt idx="0">
                  <c:v>NET PROFIT / LOSS</c:v>
                </c:pt>
              </c:strCache>
            </c:strRef>
          </c:tx>
          <c:spPr>
            <a:ln w="31750" cap="rnd">
              <a:solidFill>
                <a:schemeClr val="accent1"/>
              </a:solidFill>
              <a:round/>
            </a:ln>
            <a:effectLst/>
          </c:spPr>
          <c:marker>
            <c:symbol val="none"/>
          </c:marker>
          <c:val>
            <c:numRef>
              <c:f>Data_IncomeStatement!$B$28:$M$28</c:f>
              <c:numCache>
                <c:formatCode>"$"#,##0.00</c:formatCode>
                <c:ptCount val="12"/>
                <c:pt idx="0">
                  <c:v>-706786.36</c:v>
                </c:pt>
                <c:pt idx="1">
                  <c:v>-499845.76160000009</c:v>
                </c:pt>
                <c:pt idx="2">
                  <c:v>-175590.33639999991</c:v>
                </c:pt>
                <c:pt idx="3">
                  <c:v>-193441.46479999996</c:v>
                </c:pt>
                <c:pt idx="4">
                  <c:v>620597.27</c:v>
                </c:pt>
                <c:pt idx="5" formatCode="#,##0.00">
                  <c:v>363502.27934000001</c:v>
                </c:pt>
                <c:pt idx="6" formatCode="#,##0.00">
                  <c:v>325046.33250000014</c:v>
                </c:pt>
                <c:pt idx="7" formatCode="#,##0.00">
                  <c:v>-89853.060400000075</c:v>
                </c:pt>
                <c:pt idx="8" formatCode="#,##0.00">
                  <c:v>470345.46510000015</c:v>
                </c:pt>
                <c:pt idx="9" formatCode="#,##0.00">
                  <c:v>724813.27278999961</c:v>
                </c:pt>
                <c:pt idx="10" formatCode="#,##0.00">
                  <c:v>1088371.4661500002</c:v>
                </c:pt>
                <c:pt idx="11" formatCode="#,##0.00">
                  <c:v>309202.76872000011</c:v>
                </c:pt>
              </c:numCache>
            </c:numRef>
          </c:val>
          <c:smooth val="0"/>
          <c:extLst>
            <c:ext xmlns:c16="http://schemas.microsoft.com/office/drawing/2014/chart" uri="{C3380CC4-5D6E-409C-BE32-E72D297353CC}">
              <c16:uniqueId val="{00000000-6C87-064C-8B97-AC397238BE69}"/>
            </c:ext>
          </c:extLst>
        </c:ser>
        <c:dLbls>
          <c:showLegendKey val="0"/>
          <c:showVal val="0"/>
          <c:showCatName val="0"/>
          <c:showSerName val="0"/>
          <c:showPercent val="0"/>
          <c:showBubbleSize val="0"/>
        </c:dLbls>
        <c:smooth val="0"/>
        <c:axId val="119736160"/>
        <c:axId val="1995600703"/>
      </c:lineChart>
      <c:catAx>
        <c:axId val="1197361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US"/>
          </a:p>
        </c:txPr>
        <c:crossAx val="1995600703"/>
        <c:crosses val="autoZero"/>
        <c:auto val="1"/>
        <c:lblAlgn val="ctr"/>
        <c:lblOffset val="100"/>
        <c:noMultiLvlLbl val="0"/>
      </c:catAx>
      <c:valAx>
        <c:axId val="1995600703"/>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US"/>
          </a:p>
        </c:txPr>
        <c:crossAx val="119736160"/>
        <c:crosses val="autoZero"/>
        <c:crossBetween val="between"/>
      </c:valAx>
      <c:spPr>
        <a:noFill/>
        <a:ln>
          <a:noFill/>
        </a:ln>
        <a:effectLst/>
      </c:spPr>
    </c:plotArea>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Data_IncomeStatement!$A$33</c:f>
              <c:strCache>
                <c:ptCount val="1"/>
                <c:pt idx="0">
                  <c:v>PROFIT AND LOSS STATEMENT RESULTS</c:v>
                </c:pt>
              </c:strCache>
            </c:strRef>
          </c:tx>
          <c:spPr>
            <a:ln w="31750" cap="rnd">
              <a:solidFill>
                <a:schemeClr val="accent1"/>
              </a:solidFill>
              <a:round/>
            </a:ln>
            <a:effectLst/>
          </c:spPr>
          <c:marker>
            <c:symbol val="none"/>
          </c:marker>
          <c:val>
            <c:numRef>
              <c:f>Data_IncomeStatement!$B$33:$M$33</c:f>
              <c:numCache>
                <c:formatCode>"$"#,##0.00</c:formatCode>
                <c:ptCount val="12"/>
                <c:pt idx="0">
                  <c:v>-706786.36</c:v>
                </c:pt>
                <c:pt idx="1">
                  <c:v>-1206632.1216000002</c:v>
                </c:pt>
                <c:pt idx="2">
                  <c:v>-1382222.4580000001</c:v>
                </c:pt>
                <c:pt idx="3">
                  <c:v>-1575663.9228000001</c:v>
                </c:pt>
                <c:pt idx="4">
                  <c:v>-955066.65</c:v>
                </c:pt>
                <c:pt idx="5" formatCode="#,##0.00">
                  <c:v>-591564.37066000002</c:v>
                </c:pt>
                <c:pt idx="6" formatCode="#,##0.00">
                  <c:v>-266518.03815999988</c:v>
                </c:pt>
                <c:pt idx="7" formatCode="#,##0.00">
                  <c:v>-356371.09855999995</c:v>
                </c:pt>
                <c:pt idx="8" formatCode="#,##0.00">
                  <c:v>113974.36654000019</c:v>
                </c:pt>
                <c:pt idx="9" formatCode="#,##0.00">
                  <c:v>838787.6393299998</c:v>
                </c:pt>
                <c:pt idx="10" formatCode="#,##0.00">
                  <c:v>1927159.1054799999</c:v>
                </c:pt>
                <c:pt idx="11" formatCode="#,##0.00">
                  <c:v>2236361.8742</c:v>
                </c:pt>
              </c:numCache>
            </c:numRef>
          </c:val>
          <c:smooth val="0"/>
          <c:extLst>
            <c:ext xmlns:c16="http://schemas.microsoft.com/office/drawing/2014/chart" uri="{C3380CC4-5D6E-409C-BE32-E72D297353CC}">
              <c16:uniqueId val="{00000000-16D3-DA4B-B5B4-55F270506DEA}"/>
            </c:ext>
          </c:extLst>
        </c:ser>
        <c:dLbls>
          <c:showLegendKey val="0"/>
          <c:showVal val="0"/>
          <c:showCatName val="0"/>
          <c:showSerName val="0"/>
          <c:showPercent val="0"/>
          <c:showBubbleSize val="0"/>
        </c:dLbls>
        <c:smooth val="0"/>
        <c:axId val="1941674447"/>
        <c:axId val="813571520"/>
      </c:lineChart>
      <c:catAx>
        <c:axId val="194167444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US"/>
          </a:p>
        </c:txPr>
        <c:crossAx val="813571520"/>
        <c:crosses val="autoZero"/>
        <c:auto val="1"/>
        <c:lblAlgn val="ctr"/>
        <c:lblOffset val="100"/>
        <c:noMultiLvlLbl val="0"/>
      </c:catAx>
      <c:valAx>
        <c:axId val="813571520"/>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US"/>
          </a:p>
        </c:txPr>
        <c:crossAx val="1941674447"/>
        <c:crosses val="autoZero"/>
        <c:crossBetween val="between"/>
      </c:valAx>
      <c:spPr>
        <a:noFill/>
        <a:ln>
          <a:noFill/>
        </a:ln>
        <a:effectLst/>
      </c:spPr>
    </c:plotArea>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7140862439334872"/>
          <c:y val="8.4159997418355503E-2"/>
          <c:w val="0.53669842469567985"/>
          <c:h val="0.8707580353685298"/>
        </c:manualLayout>
      </c:layout>
      <c:pieChart>
        <c:varyColors val="1"/>
        <c:ser>
          <c:idx val="0"/>
          <c:order val="0"/>
          <c:tx>
            <c:strRef>
              <c:f>Dashboard!$W$94</c:f>
              <c:strCache>
                <c:ptCount val="1"/>
                <c:pt idx="0">
                  <c:v>Region 1</c:v>
                </c:pt>
              </c:strCache>
            </c:strRef>
          </c:tx>
          <c:explosion val="22"/>
          <c:dPt>
            <c:idx val="0"/>
            <c:bubble3D val="0"/>
            <c:explosion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B2D-804F-A177-B810B3E73FB2}"/>
              </c:ext>
            </c:extLst>
          </c:dPt>
          <c:dPt>
            <c:idx val="1"/>
            <c:bubble3D val="0"/>
            <c:explosion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B2D-804F-A177-B810B3E73FB2}"/>
              </c:ext>
            </c:extLst>
          </c:dPt>
          <c:dPt>
            <c:idx val="2"/>
            <c:bubble3D val="0"/>
            <c:explosion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B2D-804F-A177-B810B3E73FB2}"/>
              </c:ext>
            </c:extLst>
          </c:dPt>
          <c:dPt>
            <c:idx val="3"/>
            <c:bubble3D val="0"/>
            <c:explosion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B2D-804F-A177-B810B3E73FB2}"/>
              </c:ext>
            </c:extLst>
          </c:dPt>
          <c:cat>
            <c:strRef>
              <c:f>Dashboard!$V$95:$V$98</c:f>
              <c:strCache>
                <c:ptCount val="4"/>
                <c:pt idx="0">
                  <c:v>EcoChill</c:v>
                </c:pt>
                <c:pt idx="1">
                  <c:v>EcoBreeze</c:v>
                </c:pt>
                <c:pt idx="2">
                  <c:v>Loll</c:v>
                </c:pt>
                <c:pt idx="3">
                  <c:v>NorthBreeze</c:v>
                </c:pt>
              </c:strCache>
            </c:strRef>
          </c:cat>
          <c:val>
            <c:numRef>
              <c:f>Dashboard!$W$95:$W$98</c:f>
              <c:numCache>
                <c:formatCode>0.00%</c:formatCode>
                <c:ptCount val="4"/>
                <c:pt idx="0">
                  <c:v>0.29210000000000003</c:v>
                </c:pt>
                <c:pt idx="1">
                  <c:v>0.34420000000000001</c:v>
                </c:pt>
                <c:pt idx="2">
                  <c:v>0.2442</c:v>
                </c:pt>
                <c:pt idx="3">
                  <c:v>0.1196</c:v>
                </c:pt>
              </c:numCache>
            </c:numRef>
          </c:val>
          <c:extLst>
            <c:ext xmlns:c16="http://schemas.microsoft.com/office/drawing/2014/chart" uri="{C3380CC4-5D6E-409C-BE32-E72D297353CC}">
              <c16:uniqueId val="{00000008-8B2D-804F-A177-B810B3E73FB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81605537433369"/>
          <c:y val="0.2439231315347877"/>
          <c:w val="0.23668310923701166"/>
          <c:h val="0.45287078869239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20331460451865627"/>
          <c:y val="0.15135096520193039"/>
          <c:w val="0.46599236339176198"/>
          <c:h val="0.74784258318516639"/>
        </c:manualLayout>
      </c:layout>
      <c:pieChart>
        <c:varyColors val="1"/>
        <c:ser>
          <c:idx val="0"/>
          <c:order val="0"/>
          <c:tx>
            <c:strRef>
              <c:f>Dashboard!$X$94</c:f>
              <c:strCache>
                <c:ptCount val="1"/>
                <c:pt idx="0">
                  <c:v>Region 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587-8645-8378-5B9B8ABBFE52}"/>
              </c:ext>
            </c:extLst>
          </c:dPt>
          <c:dPt>
            <c:idx val="1"/>
            <c:bubble3D val="0"/>
            <c:explosion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587-8645-8378-5B9B8ABBFE5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587-8645-8378-5B9B8ABBFE5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6587-8645-8378-5B9B8ABBFE52}"/>
              </c:ext>
            </c:extLst>
          </c:dPt>
          <c:cat>
            <c:strRef>
              <c:f>Dashboard!$V$95:$V$98</c:f>
              <c:strCache>
                <c:ptCount val="4"/>
                <c:pt idx="0">
                  <c:v>EcoChill</c:v>
                </c:pt>
                <c:pt idx="1">
                  <c:v>EcoBreeze</c:v>
                </c:pt>
                <c:pt idx="2">
                  <c:v>Loll</c:v>
                </c:pt>
                <c:pt idx="3">
                  <c:v>NorthBreeze</c:v>
                </c:pt>
              </c:strCache>
            </c:strRef>
          </c:cat>
          <c:val>
            <c:numRef>
              <c:f>Dashboard!$X$95:$X$98</c:f>
              <c:numCache>
                <c:formatCode>0.00%</c:formatCode>
                <c:ptCount val="4"/>
                <c:pt idx="0">
                  <c:v>0.1008</c:v>
                </c:pt>
                <c:pt idx="1">
                  <c:v>0.26790000000000003</c:v>
                </c:pt>
                <c:pt idx="2">
                  <c:v>0.33550000000000002</c:v>
                </c:pt>
                <c:pt idx="3">
                  <c:v>0.2959</c:v>
                </c:pt>
              </c:numCache>
            </c:numRef>
          </c:val>
          <c:extLst>
            <c:ext xmlns:c16="http://schemas.microsoft.com/office/drawing/2014/chart" uri="{C3380CC4-5D6E-409C-BE32-E72D297353CC}">
              <c16:uniqueId val="{00000008-6587-8645-8378-5B9B8ABBFE5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443041981561341"/>
          <c:y val="0.22385985521971044"/>
          <c:w val="0.25049420329996441"/>
          <c:h val="0.4697599695199390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6700629249918653"/>
          <c:y val="0.17951578553133141"/>
          <c:w val="0.48414407593542524"/>
          <c:h val="0.78017532778742305"/>
        </c:manualLayout>
      </c:layout>
      <c:pieChart>
        <c:varyColors val="1"/>
        <c:ser>
          <c:idx val="0"/>
          <c:order val="0"/>
          <c:tx>
            <c:strRef>
              <c:f>Dashboard!$Y$94</c:f>
              <c:strCache>
                <c:ptCount val="1"/>
                <c:pt idx="0">
                  <c:v>Region 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DEC0-9742-8D42-4765ED294DCA}"/>
              </c:ext>
            </c:extLst>
          </c:dPt>
          <c:dPt>
            <c:idx val="1"/>
            <c:bubble3D val="0"/>
            <c:explosion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EC0-9742-8D42-4765ED294D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DEC0-9742-8D42-4765ED294D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DEC0-9742-8D42-4765ED294DCA}"/>
              </c:ext>
            </c:extLst>
          </c:dPt>
          <c:cat>
            <c:strRef>
              <c:f>Dashboard!$V$95:$V$98</c:f>
              <c:strCache>
                <c:ptCount val="4"/>
                <c:pt idx="0">
                  <c:v>EcoChill</c:v>
                </c:pt>
                <c:pt idx="1">
                  <c:v>EcoBreeze</c:v>
                </c:pt>
                <c:pt idx="2">
                  <c:v>Loll</c:v>
                </c:pt>
                <c:pt idx="3">
                  <c:v>NorthBreeze</c:v>
                </c:pt>
              </c:strCache>
            </c:strRef>
          </c:cat>
          <c:val>
            <c:numRef>
              <c:f>Dashboard!$Y$95:$Y$98</c:f>
              <c:numCache>
                <c:formatCode>0.00%</c:formatCode>
                <c:ptCount val="4"/>
                <c:pt idx="0">
                  <c:v>0.3125</c:v>
                </c:pt>
                <c:pt idx="1">
                  <c:v>4.6300000000000001E-2</c:v>
                </c:pt>
                <c:pt idx="2">
                  <c:v>0.3266</c:v>
                </c:pt>
                <c:pt idx="3">
                  <c:v>0.31459999999999999</c:v>
                </c:pt>
              </c:numCache>
            </c:numRef>
          </c:val>
          <c:extLst>
            <c:ext xmlns:c16="http://schemas.microsoft.com/office/drawing/2014/chart" uri="{C3380CC4-5D6E-409C-BE32-E72D297353CC}">
              <c16:uniqueId val="{00000008-DEC0-9742-8D42-4765ED294DC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560464953213966"/>
          <c:y val="0.26829341060790246"/>
          <c:w val="0.25938694812607682"/>
          <c:h val="0.4252606588439918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681761057729361"/>
          <c:y val="0.15837944762527822"/>
          <c:w val="0.48961900163107502"/>
          <c:h val="0.78553581584523136"/>
        </c:manualLayout>
      </c:layout>
      <c:pieChart>
        <c:varyColors val="1"/>
        <c:ser>
          <c:idx val="0"/>
          <c:order val="0"/>
          <c:tx>
            <c:strRef>
              <c:f>Dashboard!$Z$94</c:f>
              <c:strCache>
                <c:ptCount val="1"/>
                <c:pt idx="0">
                  <c:v>Region 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7BD-5744-92C4-1E3D51E33B03}"/>
              </c:ext>
            </c:extLst>
          </c:dPt>
          <c:dPt>
            <c:idx val="1"/>
            <c:bubble3D val="0"/>
            <c:explosion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7BD-5744-92C4-1E3D51E33B0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7BD-5744-92C4-1E3D51E33B0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F7BD-5744-92C4-1E3D51E33B03}"/>
              </c:ext>
            </c:extLst>
          </c:dPt>
          <c:cat>
            <c:strRef>
              <c:f>Dashboard!$V$95:$V$98</c:f>
              <c:strCache>
                <c:ptCount val="4"/>
                <c:pt idx="0">
                  <c:v>EcoChill</c:v>
                </c:pt>
                <c:pt idx="1">
                  <c:v>EcoBreeze</c:v>
                </c:pt>
                <c:pt idx="2">
                  <c:v>Loll</c:v>
                </c:pt>
                <c:pt idx="3">
                  <c:v>NorthBreeze</c:v>
                </c:pt>
              </c:strCache>
            </c:strRef>
          </c:cat>
          <c:val>
            <c:numRef>
              <c:f>Dashboard!$Z$95:$Z$98</c:f>
              <c:numCache>
                <c:formatCode>0.00%</c:formatCode>
                <c:ptCount val="4"/>
                <c:pt idx="0">
                  <c:v>9.69E-2</c:v>
                </c:pt>
                <c:pt idx="1">
                  <c:v>0.49209999999999998</c:v>
                </c:pt>
                <c:pt idx="2">
                  <c:v>0.2412</c:v>
                </c:pt>
                <c:pt idx="3">
                  <c:v>0.16980000000000001</c:v>
                </c:pt>
              </c:numCache>
            </c:numRef>
          </c:val>
          <c:extLst>
            <c:ext xmlns:c16="http://schemas.microsoft.com/office/drawing/2014/chart" uri="{C3380CC4-5D6E-409C-BE32-E72D297353CC}">
              <c16:uniqueId val="{00000008-F7BD-5744-92C4-1E3D51E33B0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606898330703997"/>
          <c:y val="0.24568489778099384"/>
          <c:w val="0.23894934859235234"/>
          <c:h val="0.44667675855457839"/>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Inventory Flow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Dashboard!$AZ$7</c:f>
              <c:strCache>
                <c:ptCount val="1"/>
                <c:pt idx="0">
                  <c:v>Used in Production</c:v>
                </c:pt>
              </c:strCache>
            </c:strRef>
          </c:tx>
          <c:spPr>
            <a:ln w="31750" cap="rnd">
              <a:solidFill>
                <a:schemeClr val="accent1"/>
              </a:solidFill>
              <a:round/>
            </a:ln>
            <a:effectLst/>
          </c:spPr>
          <c:marker>
            <c:symbol val="none"/>
          </c:marker>
          <c:cat>
            <c:strRef>
              <c:f>Dashboard!$BA$5:$BL$6</c:f>
              <c:strCache>
                <c:ptCount val="12"/>
                <c:pt idx="0">
                  <c:v>Q1</c:v>
                </c:pt>
                <c:pt idx="1">
                  <c:v>Q2</c:v>
                </c:pt>
                <c:pt idx="2">
                  <c:v>Q3</c:v>
                </c:pt>
                <c:pt idx="3">
                  <c:v>Q4</c:v>
                </c:pt>
                <c:pt idx="4">
                  <c:v>Q5</c:v>
                </c:pt>
                <c:pt idx="5">
                  <c:v>Q6</c:v>
                </c:pt>
                <c:pt idx="6">
                  <c:v>Q7</c:v>
                </c:pt>
                <c:pt idx="7">
                  <c:v>Q8</c:v>
                </c:pt>
                <c:pt idx="8">
                  <c:v>Q9</c:v>
                </c:pt>
                <c:pt idx="9">
                  <c:v>Q10</c:v>
                </c:pt>
                <c:pt idx="10">
                  <c:v>Q11</c:v>
                </c:pt>
                <c:pt idx="11">
                  <c:v>Q12</c:v>
                </c:pt>
              </c:strCache>
            </c:strRef>
          </c:cat>
          <c:val>
            <c:numRef>
              <c:f>Dashboard!$BA$7:$BL$7</c:f>
              <c:numCache>
                <c:formatCode>_(* #,##0_);_(* \(#,##0\);_(* "-"??_);_(@_)</c:formatCode>
                <c:ptCount val="12"/>
                <c:pt idx="0">
                  <c:v>0</c:v>
                </c:pt>
                <c:pt idx="1">
                  <c:v>1128</c:v>
                </c:pt>
                <c:pt idx="2">
                  <c:v>1134</c:v>
                </c:pt>
                <c:pt idx="3">
                  <c:v>1134</c:v>
                </c:pt>
                <c:pt idx="4">
                  <c:v>750</c:v>
                </c:pt>
                <c:pt idx="5">
                  <c:v>924</c:v>
                </c:pt>
                <c:pt idx="6">
                  <c:v>1382</c:v>
                </c:pt>
                <c:pt idx="7">
                  <c:v>1382</c:v>
                </c:pt>
                <c:pt idx="8">
                  <c:v>1498</c:v>
                </c:pt>
                <c:pt idx="9">
                  <c:v>1498</c:v>
                </c:pt>
                <c:pt idx="10">
                  <c:v>1513</c:v>
                </c:pt>
                <c:pt idx="11">
                  <c:v>1439</c:v>
                </c:pt>
              </c:numCache>
            </c:numRef>
          </c:val>
          <c:smooth val="0"/>
          <c:extLst>
            <c:ext xmlns:c16="http://schemas.microsoft.com/office/drawing/2014/chart" uri="{C3380CC4-5D6E-409C-BE32-E72D297353CC}">
              <c16:uniqueId val="{00000000-6072-1E42-ADE2-16008FB7E7DE}"/>
            </c:ext>
          </c:extLst>
        </c:ser>
        <c:ser>
          <c:idx val="1"/>
          <c:order val="1"/>
          <c:tx>
            <c:strRef>
              <c:f>Dashboard!$AZ$8</c:f>
              <c:strCache>
                <c:ptCount val="1"/>
                <c:pt idx="0">
                  <c:v>Purchased</c:v>
                </c:pt>
              </c:strCache>
            </c:strRef>
          </c:tx>
          <c:spPr>
            <a:ln w="31750" cap="rnd">
              <a:solidFill>
                <a:schemeClr val="accent2"/>
              </a:solidFill>
              <a:round/>
            </a:ln>
            <a:effectLst/>
          </c:spPr>
          <c:marker>
            <c:symbol val="none"/>
          </c:marker>
          <c:cat>
            <c:strRef>
              <c:f>Dashboard!$BA$5:$BL$6</c:f>
              <c:strCache>
                <c:ptCount val="12"/>
                <c:pt idx="0">
                  <c:v>Q1</c:v>
                </c:pt>
                <c:pt idx="1">
                  <c:v>Q2</c:v>
                </c:pt>
                <c:pt idx="2">
                  <c:v>Q3</c:v>
                </c:pt>
                <c:pt idx="3">
                  <c:v>Q4</c:v>
                </c:pt>
                <c:pt idx="4">
                  <c:v>Q5</c:v>
                </c:pt>
                <c:pt idx="5">
                  <c:v>Q6</c:v>
                </c:pt>
                <c:pt idx="6">
                  <c:v>Q7</c:v>
                </c:pt>
                <c:pt idx="7">
                  <c:v>Q8</c:v>
                </c:pt>
                <c:pt idx="8">
                  <c:v>Q9</c:v>
                </c:pt>
                <c:pt idx="9">
                  <c:v>Q10</c:v>
                </c:pt>
                <c:pt idx="10">
                  <c:v>Q11</c:v>
                </c:pt>
                <c:pt idx="11">
                  <c:v>Q12</c:v>
                </c:pt>
              </c:strCache>
            </c:strRef>
          </c:cat>
          <c:val>
            <c:numRef>
              <c:f>Dashboard!$BA$8:$BL$8</c:f>
              <c:numCache>
                <c:formatCode>_(* #,##0_);_(* \(#,##0\);_(* "-"??_);_(@_)</c:formatCode>
                <c:ptCount val="12"/>
                <c:pt idx="0">
                  <c:v>1200</c:v>
                </c:pt>
                <c:pt idx="1">
                  <c:v>1200</c:v>
                </c:pt>
                <c:pt idx="2">
                  <c:v>1200</c:v>
                </c:pt>
                <c:pt idx="3">
                  <c:v>1062</c:v>
                </c:pt>
                <c:pt idx="4">
                  <c:v>675</c:v>
                </c:pt>
                <c:pt idx="5">
                  <c:v>1500</c:v>
                </c:pt>
                <c:pt idx="6">
                  <c:v>1500</c:v>
                </c:pt>
                <c:pt idx="7">
                  <c:v>1500</c:v>
                </c:pt>
                <c:pt idx="8">
                  <c:v>1560</c:v>
                </c:pt>
                <c:pt idx="9">
                  <c:v>1560</c:v>
                </c:pt>
                <c:pt idx="10">
                  <c:v>1066</c:v>
                </c:pt>
                <c:pt idx="11">
                  <c:v>0</c:v>
                </c:pt>
              </c:numCache>
            </c:numRef>
          </c:val>
          <c:smooth val="0"/>
          <c:extLst>
            <c:ext xmlns:c16="http://schemas.microsoft.com/office/drawing/2014/chart" uri="{C3380CC4-5D6E-409C-BE32-E72D297353CC}">
              <c16:uniqueId val="{00000001-6072-1E42-ADE2-16008FB7E7DE}"/>
            </c:ext>
          </c:extLst>
        </c:ser>
        <c:ser>
          <c:idx val="2"/>
          <c:order val="2"/>
          <c:tx>
            <c:strRef>
              <c:f>Dashboard!$AZ$9</c:f>
              <c:strCache>
                <c:ptCount val="1"/>
                <c:pt idx="0">
                  <c:v>Left</c:v>
                </c:pt>
              </c:strCache>
            </c:strRef>
          </c:tx>
          <c:spPr>
            <a:ln w="31750" cap="rnd">
              <a:solidFill>
                <a:schemeClr val="accent3"/>
              </a:solidFill>
              <a:round/>
            </a:ln>
            <a:effectLst/>
          </c:spPr>
          <c:marker>
            <c:symbol val="none"/>
          </c:marker>
          <c:cat>
            <c:strRef>
              <c:f>Dashboard!$BA$5:$BL$6</c:f>
              <c:strCache>
                <c:ptCount val="12"/>
                <c:pt idx="0">
                  <c:v>Q1</c:v>
                </c:pt>
                <c:pt idx="1">
                  <c:v>Q2</c:v>
                </c:pt>
                <c:pt idx="2">
                  <c:v>Q3</c:v>
                </c:pt>
                <c:pt idx="3">
                  <c:v>Q4</c:v>
                </c:pt>
                <c:pt idx="4">
                  <c:v>Q5</c:v>
                </c:pt>
                <c:pt idx="5">
                  <c:v>Q6</c:v>
                </c:pt>
                <c:pt idx="6">
                  <c:v>Q7</c:v>
                </c:pt>
                <c:pt idx="7">
                  <c:v>Q8</c:v>
                </c:pt>
                <c:pt idx="8">
                  <c:v>Q9</c:v>
                </c:pt>
                <c:pt idx="9">
                  <c:v>Q10</c:v>
                </c:pt>
                <c:pt idx="10">
                  <c:v>Q11</c:v>
                </c:pt>
                <c:pt idx="11">
                  <c:v>Q12</c:v>
                </c:pt>
              </c:strCache>
            </c:strRef>
          </c:cat>
          <c:val>
            <c:numRef>
              <c:f>Dashboard!$BA$9:$BL$9</c:f>
              <c:numCache>
                <c:formatCode>_(* #,##0_);_(* \(#,##0\);_(* "-"??_);_(@_)</c:formatCode>
                <c:ptCount val="12"/>
                <c:pt idx="0">
                  <c:v>1200</c:v>
                </c:pt>
                <c:pt idx="1">
                  <c:v>1272</c:v>
                </c:pt>
                <c:pt idx="2">
                  <c:v>1338</c:v>
                </c:pt>
                <c:pt idx="3">
                  <c:v>1266</c:v>
                </c:pt>
                <c:pt idx="4">
                  <c:v>1191</c:v>
                </c:pt>
                <c:pt idx="5">
                  <c:v>1767</c:v>
                </c:pt>
                <c:pt idx="6">
                  <c:v>1885</c:v>
                </c:pt>
                <c:pt idx="7">
                  <c:v>2003</c:v>
                </c:pt>
                <c:pt idx="8">
                  <c:v>2065</c:v>
                </c:pt>
                <c:pt idx="9">
                  <c:v>2127</c:v>
                </c:pt>
                <c:pt idx="10">
                  <c:v>1680</c:v>
                </c:pt>
                <c:pt idx="11">
                  <c:v>241</c:v>
                </c:pt>
              </c:numCache>
            </c:numRef>
          </c:val>
          <c:smooth val="0"/>
          <c:extLst>
            <c:ext xmlns:c16="http://schemas.microsoft.com/office/drawing/2014/chart" uri="{C3380CC4-5D6E-409C-BE32-E72D297353CC}">
              <c16:uniqueId val="{00000002-6072-1E42-ADE2-16008FB7E7DE}"/>
            </c:ext>
          </c:extLst>
        </c:ser>
        <c:ser>
          <c:idx val="3"/>
          <c:order val="3"/>
          <c:tx>
            <c:strRef>
              <c:f>Dashboard!$AZ$10</c:f>
              <c:strCache>
                <c:ptCount val="1"/>
                <c:pt idx="0">
                  <c:v>Finished Goods</c:v>
                </c:pt>
              </c:strCache>
            </c:strRef>
          </c:tx>
          <c:spPr>
            <a:ln w="31750" cap="rnd">
              <a:solidFill>
                <a:schemeClr val="accent4"/>
              </a:solidFill>
              <a:round/>
            </a:ln>
            <a:effectLst/>
          </c:spPr>
          <c:marker>
            <c:symbol val="none"/>
          </c:marker>
          <c:cat>
            <c:strRef>
              <c:f>Dashboard!$BA$5:$BL$6</c:f>
              <c:strCache>
                <c:ptCount val="12"/>
                <c:pt idx="0">
                  <c:v>Q1</c:v>
                </c:pt>
                <c:pt idx="1">
                  <c:v>Q2</c:v>
                </c:pt>
                <c:pt idx="2">
                  <c:v>Q3</c:v>
                </c:pt>
                <c:pt idx="3">
                  <c:v>Q4</c:v>
                </c:pt>
                <c:pt idx="4">
                  <c:v>Q5</c:v>
                </c:pt>
                <c:pt idx="5">
                  <c:v>Q6</c:v>
                </c:pt>
                <c:pt idx="6">
                  <c:v>Q7</c:v>
                </c:pt>
                <c:pt idx="7">
                  <c:v>Q8</c:v>
                </c:pt>
                <c:pt idx="8">
                  <c:v>Q9</c:v>
                </c:pt>
                <c:pt idx="9">
                  <c:v>Q10</c:v>
                </c:pt>
                <c:pt idx="10">
                  <c:v>Q11</c:v>
                </c:pt>
                <c:pt idx="11">
                  <c:v>Q12</c:v>
                </c:pt>
              </c:strCache>
            </c:strRef>
          </c:cat>
          <c:val>
            <c:numRef>
              <c:f>Dashboard!$BA$10:$BL$10</c:f>
              <c:numCache>
                <c:formatCode>_(* #,##0_);_(* \(#,##0\);_(* "-"??_);_(@_)</c:formatCode>
                <c:ptCount val="12"/>
              </c:numCache>
            </c:numRef>
          </c:val>
          <c:smooth val="0"/>
          <c:extLst>
            <c:ext xmlns:c16="http://schemas.microsoft.com/office/drawing/2014/chart" uri="{C3380CC4-5D6E-409C-BE32-E72D297353CC}">
              <c16:uniqueId val="{00000003-6072-1E42-ADE2-16008FB7E7DE}"/>
            </c:ext>
          </c:extLst>
        </c:ser>
        <c:ser>
          <c:idx val="4"/>
          <c:order val="4"/>
          <c:tx>
            <c:strRef>
              <c:f>Dashboard!$AZ$11</c:f>
              <c:strCache>
                <c:ptCount val="1"/>
                <c:pt idx="0">
                  <c:v>Produced</c:v>
                </c:pt>
              </c:strCache>
            </c:strRef>
          </c:tx>
          <c:spPr>
            <a:ln w="31750" cap="rnd">
              <a:solidFill>
                <a:schemeClr val="accent5"/>
              </a:solidFill>
              <a:round/>
            </a:ln>
            <a:effectLst/>
          </c:spPr>
          <c:marker>
            <c:symbol val="none"/>
          </c:marker>
          <c:cat>
            <c:strRef>
              <c:f>Dashboard!$BA$5:$BL$6</c:f>
              <c:strCache>
                <c:ptCount val="12"/>
                <c:pt idx="0">
                  <c:v>Q1</c:v>
                </c:pt>
                <c:pt idx="1">
                  <c:v>Q2</c:v>
                </c:pt>
                <c:pt idx="2">
                  <c:v>Q3</c:v>
                </c:pt>
                <c:pt idx="3">
                  <c:v>Q4</c:v>
                </c:pt>
                <c:pt idx="4">
                  <c:v>Q5</c:v>
                </c:pt>
                <c:pt idx="5">
                  <c:v>Q6</c:v>
                </c:pt>
                <c:pt idx="6">
                  <c:v>Q7</c:v>
                </c:pt>
                <c:pt idx="7">
                  <c:v>Q8</c:v>
                </c:pt>
                <c:pt idx="8">
                  <c:v>Q9</c:v>
                </c:pt>
                <c:pt idx="9">
                  <c:v>Q10</c:v>
                </c:pt>
                <c:pt idx="10">
                  <c:v>Q11</c:v>
                </c:pt>
                <c:pt idx="11">
                  <c:v>Q12</c:v>
                </c:pt>
              </c:strCache>
            </c:strRef>
          </c:cat>
          <c:val>
            <c:numRef>
              <c:f>Dashboard!$BA$11:$BL$11</c:f>
              <c:numCache>
                <c:formatCode>_(* #,##0_);_(* \(#,##0\);_(* "-"??_);_(@_)</c:formatCode>
                <c:ptCount val="12"/>
                <c:pt idx="0">
                  <c:v>0</c:v>
                </c:pt>
                <c:pt idx="1">
                  <c:v>1128</c:v>
                </c:pt>
                <c:pt idx="2">
                  <c:v>1134</c:v>
                </c:pt>
                <c:pt idx="3">
                  <c:v>1134</c:v>
                </c:pt>
                <c:pt idx="4">
                  <c:v>750</c:v>
                </c:pt>
                <c:pt idx="5">
                  <c:v>924</c:v>
                </c:pt>
                <c:pt idx="6">
                  <c:v>1382</c:v>
                </c:pt>
                <c:pt idx="7">
                  <c:v>1382</c:v>
                </c:pt>
                <c:pt idx="8">
                  <c:v>1498</c:v>
                </c:pt>
                <c:pt idx="9">
                  <c:v>1498</c:v>
                </c:pt>
                <c:pt idx="10">
                  <c:v>1513</c:v>
                </c:pt>
                <c:pt idx="11">
                  <c:v>1439</c:v>
                </c:pt>
              </c:numCache>
            </c:numRef>
          </c:val>
          <c:smooth val="0"/>
          <c:extLst>
            <c:ext xmlns:c16="http://schemas.microsoft.com/office/drawing/2014/chart" uri="{C3380CC4-5D6E-409C-BE32-E72D297353CC}">
              <c16:uniqueId val="{00000004-6072-1E42-ADE2-16008FB7E7DE}"/>
            </c:ext>
          </c:extLst>
        </c:ser>
        <c:ser>
          <c:idx val="5"/>
          <c:order val="5"/>
          <c:tx>
            <c:strRef>
              <c:f>Dashboard!$AZ$12</c:f>
              <c:strCache>
                <c:ptCount val="1"/>
                <c:pt idx="0">
                  <c:v>Available to sell</c:v>
                </c:pt>
              </c:strCache>
            </c:strRef>
          </c:tx>
          <c:spPr>
            <a:ln w="31750" cap="rnd">
              <a:solidFill>
                <a:schemeClr val="accent6"/>
              </a:solidFill>
              <a:round/>
            </a:ln>
            <a:effectLst/>
          </c:spPr>
          <c:marker>
            <c:symbol val="none"/>
          </c:marker>
          <c:cat>
            <c:strRef>
              <c:f>Dashboard!$BA$5:$BL$6</c:f>
              <c:strCache>
                <c:ptCount val="12"/>
                <c:pt idx="0">
                  <c:v>Q1</c:v>
                </c:pt>
                <c:pt idx="1">
                  <c:v>Q2</c:v>
                </c:pt>
                <c:pt idx="2">
                  <c:v>Q3</c:v>
                </c:pt>
                <c:pt idx="3">
                  <c:v>Q4</c:v>
                </c:pt>
                <c:pt idx="4">
                  <c:v>Q5</c:v>
                </c:pt>
                <c:pt idx="5">
                  <c:v>Q6</c:v>
                </c:pt>
                <c:pt idx="6">
                  <c:v>Q7</c:v>
                </c:pt>
                <c:pt idx="7">
                  <c:v>Q8</c:v>
                </c:pt>
                <c:pt idx="8">
                  <c:v>Q9</c:v>
                </c:pt>
                <c:pt idx="9">
                  <c:v>Q10</c:v>
                </c:pt>
                <c:pt idx="10">
                  <c:v>Q11</c:v>
                </c:pt>
                <c:pt idx="11">
                  <c:v>Q12</c:v>
                </c:pt>
              </c:strCache>
            </c:strRef>
          </c:cat>
          <c:val>
            <c:numRef>
              <c:f>Dashboard!$BA$12:$BL$12</c:f>
              <c:numCache>
                <c:formatCode>_(* #,##0_);_(* \(#,##0\);_(* "-"??_);_(@_)</c:formatCode>
                <c:ptCount val="12"/>
                <c:pt idx="0">
                  <c:v>0</c:v>
                </c:pt>
                <c:pt idx="1">
                  <c:v>1128</c:v>
                </c:pt>
                <c:pt idx="2">
                  <c:v>1718</c:v>
                </c:pt>
                <c:pt idx="3">
                  <c:v>1714</c:v>
                </c:pt>
                <c:pt idx="4">
                  <c:v>1600</c:v>
                </c:pt>
                <c:pt idx="5">
                  <c:v>1600</c:v>
                </c:pt>
                <c:pt idx="6">
                  <c:v>1600</c:v>
                </c:pt>
                <c:pt idx="7">
                  <c:v>1600</c:v>
                </c:pt>
                <c:pt idx="8">
                  <c:v>1600</c:v>
                </c:pt>
                <c:pt idx="9">
                  <c:v>1600</c:v>
                </c:pt>
                <c:pt idx="10">
                  <c:v>1925</c:v>
                </c:pt>
                <c:pt idx="11">
                  <c:v>1573</c:v>
                </c:pt>
              </c:numCache>
            </c:numRef>
          </c:val>
          <c:smooth val="0"/>
          <c:extLst>
            <c:ext xmlns:c16="http://schemas.microsoft.com/office/drawing/2014/chart" uri="{C3380CC4-5D6E-409C-BE32-E72D297353CC}">
              <c16:uniqueId val="{00000005-6072-1E42-ADE2-16008FB7E7DE}"/>
            </c:ext>
          </c:extLst>
        </c:ser>
        <c:ser>
          <c:idx val="6"/>
          <c:order val="6"/>
          <c:tx>
            <c:strRef>
              <c:f>Dashboard!$AZ$13</c:f>
              <c:strCache>
                <c:ptCount val="1"/>
                <c:pt idx="0">
                  <c:v>Sold</c:v>
                </c:pt>
              </c:strCache>
            </c:strRef>
          </c:tx>
          <c:spPr>
            <a:ln w="31750" cap="rnd">
              <a:solidFill>
                <a:schemeClr val="accent1">
                  <a:lumMod val="60000"/>
                </a:schemeClr>
              </a:solidFill>
              <a:round/>
            </a:ln>
            <a:effectLst/>
          </c:spPr>
          <c:marker>
            <c:symbol val="none"/>
          </c:marker>
          <c:cat>
            <c:strRef>
              <c:f>Dashboard!$BA$5:$BL$6</c:f>
              <c:strCache>
                <c:ptCount val="12"/>
                <c:pt idx="0">
                  <c:v>Q1</c:v>
                </c:pt>
                <c:pt idx="1">
                  <c:v>Q2</c:v>
                </c:pt>
                <c:pt idx="2">
                  <c:v>Q3</c:v>
                </c:pt>
                <c:pt idx="3">
                  <c:v>Q4</c:v>
                </c:pt>
                <c:pt idx="4">
                  <c:v>Q5</c:v>
                </c:pt>
                <c:pt idx="5">
                  <c:v>Q6</c:v>
                </c:pt>
                <c:pt idx="6">
                  <c:v>Q7</c:v>
                </c:pt>
                <c:pt idx="7">
                  <c:v>Q8</c:v>
                </c:pt>
                <c:pt idx="8">
                  <c:v>Q9</c:v>
                </c:pt>
                <c:pt idx="9">
                  <c:v>Q10</c:v>
                </c:pt>
                <c:pt idx="10">
                  <c:v>Q11</c:v>
                </c:pt>
                <c:pt idx="11">
                  <c:v>Q12</c:v>
                </c:pt>
              </c:strCache>
            </c:strRef>
          </c:cat>
          <c:val>
            <c:numRef>
              <c:f>Dashboard!$BA$13:$BL$13</c:f>
              <c:numCache>
                <c:formatCode>_(* #,##0_);_(* \(#,##0\);_(* "-"??_);_(@_)</c:formatCode>
                <c:ptCount val="12"/>
                <c:pt idx="0">
                  <c:v>0</c:v>
                </c:pt>
                <c:pt idx="1">
                  <c:v>544</c:v>
                </c:pt>
                <c:pt idx="2">
                  <c:v>1138</c:v>
                </c:pt>
                <c:pt idx="3">
                  <c:v>895</c:v>
                </c:pt>
                <c:pt idx="4">
                  <c:v>1491</c:v>
                </c:pt>
                <c:pt idx="5">
                  <c:v>977</c:v>
                </c:pt>
                <c:pt idx="6">
                  <c:v>1284</c:v>
                </c:pt>
                <c:pt idx="7">
                  <c:v>964</c:v>
                </c:pt>
                <c:pt idx="8">
                  <c:v>1505</c:v>
                </c:pt>
                <c:pt idx="9">
                  <c:v>1605</c:v>
                </c:pt>
                <c:pt idx="10">
                  <c:v>1850</c:v>
                </c:pt>
                <c:pt idx="11">
                  <c:v>1308</c:v>
                </c:pt>
              </c:numCache>
            </c:numRef>
          </c:val>
          <c:smooth val="0"/>
          <c:extLst>
            <c:ext xmlns:c16="http://schemas.microsoft.com/office/drawing/2014/chart" uri="{C3380CC4-5D6E-409C-BE32-E72D297353CC}">
              <c16:uniqueId val="{00000006-6072-1E42-ADE2-16008FB7E7DE}"/>
            </c:ext>
          </c:extLst>
        </c:ser>
        <c:ser>
          <c:idx val="7"/>
          <c:order val="7"/>
          <c:tx>
            <c:strRef>
              <c:f>Dashboard!$AZ$14</c:f>
              <c:strCache>
                <c:ptCount val="1"/>
                <c:pt idx="0">
                  <c:v>Left Inventory</c:v>
                </c:pt>
              </c:strCache>
            </c:strRef>
          </c:tx>
          <c:spPr>
            <a:ln w="31750" cap="rnd">
              <a:solidFill>
                <a:schemeClr val="accent2">
                  <a:lumMod val="60000"/>
                </a:schemeClr>
              </a:solidFill>
              <a:round/>
            </a:ln>
            <a:effectLst/>
          </c:spPr>
          <c:marker>
            <c:symbol val="none"/>
          </c:marker>
          <c:cat>
            <c:strRef>
              <c:f>Dashboard!$BA$5:$BL$6</c:f>
              <c:strCache>
                <c:ptCount val="12"/>
                <c:pt idx="0">
                  <c:v>Q1</c:v>
                </c:pt>
                <c:pt idx="1">
                  <c:v>Q2</c:v>
                </c:pt>
                <c:pt idx="2">
                  <c:v>Q3</c:v>
                </c:pt>
                <c:pt idx="3">
                  <c:v>Q4</c:v>
                </c:pt>
                <c:pt idx="4">
                  <c:v>Q5</c:v>
                </c:pt>
                <c:pt idx="5">
                  <c:v>Q6</c:v>
                </c:pt>
                <c:pt idx="6">
                  <c:v>Q7</c:v>
                </c:pt>
                <c:pt idx="7">
                  <c:v>Q8</c:v>
                </c:pt>
                <c:pt idx="8">
                  <c:v>Q9</c:v>
                </c:pt>
                <c:pt idx="9">
                  <c:v>Q10</c:v>
                </c:pt>
                <c:pt idx="10">
                  <c:v>Q11</c:v>
                </c:pt>
                <c:pt idx="11">
                  <c:v>Q12</c:v>
                </c:pt>
              </c:strCache>
            </c:strRef>
          </c:cat>
          <c:val>
            <c:numRef>
              <c:f>Dashboard!$BA$14:$BL$14</c:f>
              <c:numCache>
                <c:formatCode>_(* #,##0_);_(* \(#,##0\);_(* "-"??_);_(@_)</c:formatCode>
                <c:ptCount val="12"/>
                <c:pt idx="0">
                  <c:v>0</c:v>
                </c:pt>
                <c:pt idx="1">
                  <c:v>584</c:v>
                </c:pt>
                <c:pt idx="2">
                  <c:v>580</c:v>
                </c:pt>
                <c:pt idx="3">
                  <c:v>819</c:v>
                </c:pt>
                <c:pt idx="4">
                  <c:v>109</c:v>
                </c:pt>
                <c:pt idx="5">
                  <c:v>623</c:v>
                </c:pt>
                <c:pt idx="6">
                  <c:v>316</c:v>
                </c:pt>
                <c:pt idx="7">
                  <c:v>636</c:v>
                </c:pt>
                <c:pt idx="8">
                  <c:v>95</c:v>
                </c:pt>
                <c:pt idx="9">
                  <c:v>-5</c:v>
                </c:pt>
                <c:pt idx="10">
                  <c:v>75</c:v>
                </c:pt>
                <c:pt idx="11">
                  <c:v>265</c:v>
                </c:pt>
              </c:numCache>
            </c:numRef>
          </c:val>
          <c:smooth val="0"/>
          <c:extLst>
            <c:ext xmlns:c16="http://schemas.microsoft.com/office/drawing/2014/chart" uri="{C3380CC4-5D6E-409C-BE32-E72D297353CC}">
              <c16:uniqueId val="{00000007-6072-1E42-ADE2-16008FB7E7DE}"/>
            </c:ext>
          </c:extLst>
        </c:ser>
        <c:dLbls>
          <c:showLegendKey val="0"/>
          <c:showVal val="0"/>
          <c:showCatName val="0"/>
          <c:showSerName val="0"/>
          <c:showPercent val="0"/>
          <c:showBubbleSize val="0"/>
        </c:dLbls>
        <c:smooth val="0"/>
        <c:axId val="1164746304"/>
        <c:axId val="1480023295"/>
      </c:lineChart>
      <c:catAx>
        <c:axId val="116474630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1480023295"/>
        <c:crosses val="autoZero"/>
        <c:auto val="1"/>
        <c:lblAlgn val="ctr"/>
        <c:lblOffset val="100"/>
        <c:noMultiLvlLbl val="0"/>
      </c:catAx>
      <c:valAx>
        <c:axId val="1480023295"/>
        <c:scaling>
          <c:orientation val="minMax"/>
        </c:scaling>
        <c:delete val="0"/>
        <c:axPos val="l"/>
        <c:majorGridlines>
          <c:spPr>
            <a:ln w="9525" cap="flat" cmpd="sng" algn="ctr">
              <a:solidFill>
                <a:schemeClr val="tx2">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1164746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582625274863982E-2"/>
          <c:y val="9.6268171213208908E-2"/>
          <c:w val="0.8827845702251963"/>
          <c:h val="0.85405574499481529"/>
        </c:manualLayout>
      </c:layout>
      <c:scatterChart>
        <c:scatterStyle val="lineMarker"/>
        <c:varyColors val="0"/>
        <c:ser>
          <c:idx val="0"/>
          <c:order val="0"/>
          <c:tx>
            <c:strRef>
              <c:f>'Information-Working'!$S$11:$S$46</c:f>
              <c:strCache>
                <c:ptCount val="36"/>
                <c:pt idx="0">
                  <c:v>33%</c:v>
                </c:pt>
                <c:pt idx="1">
                  <c:v>50%</c:v>
                </c:pt>
                <c:pt idx="2">
                  <c:v>66%</c:v>
                </c:pt>
                <c:pt idx="3">
                  <c:v>50%</c:v>
                </c:pt>
                <c:pt idx="4">
                  <c:v>51%</c:v>
                </c:pt>
                <c:pt idx="5">
                  <c:v>26%</c:v>
                </c:pt>
                <c:pt idx="6">
                  <c:v>61%</c:v>
                </c:pt>
                <c:pt idx="7">
                  <c:v>61%</c:v>
                </c:pt>
                <c:pt idx="8">
                  <c:v>91%</c:v>
                </c:pt>
                <c:pt idx="9">
                  <c:v>93%</c:v>
                </c:pt>
                <c:pt idx="10">
                  <c:v>73%</c:v>
                </c:pt>
                <c:pt idx="11">
                  <c:v>98%</c:v>
                </c:pt>
                <c:pt idx="12">
                  <c:v>92%</c:v>
                </c:pt>
                <c:pt idx="13">
                  <c:v>92%</c:v>
                </c:pt>
                <c:pt idx="14">
                  <c:v>46%</c:v>
                </c:pt>
                <c:pt idx="15">
                  <c:v>92%</c:v>
                </c:pt>
                <c:pt idx="16">
                  <c:v>82%</c:v>
                </c:pt>
                <c:pt idx="17">
                  <c:v>85%</c:v>
                </c:pt>
                <c:pt idx="18">
                  <c:v>91%</c:v>
                </c:pt>
                <c:pt idx="19">
                  <c:v>92%</c:v>
                </c:pt>
                <c:pt idx="20">
                  <c:v>68%</c:v>
                </c:pt>
                <c:pt idx="21">
                  <c:v>51%</c:v>
                </c:pt>
                <c:pt idx="22">
                  <c:v>63%</c:v>
                </c:pt>
                <c:pt idx="23">
                  <c:v>64%</c:v>
                </c:pt>
                <c:pt idx="24">
                  <c:v>78%</c:v>
                </c:pt>
                <c:pt idx="25">
                  <c:v>81%</c:v>
                </c:pt>
                <c:pt idx="26">
                  <c:v>81%</c:v>
                </c:pt>
                <c:pt idx="27">
                  <c:v>77%</c:v>
                </c:pt>
                <c:pt idx="28">
                  <c:v>79%</c:v>
                </c:pt>
                <c:pt idx="29">
                  <c:v>84%</c:v>
                </c:pt>
                <c:pt idx="30">
                  <c:v>84%</c:v>
                </c:pt>
                <c:pt idx="31">
                  <c:v>82%</c:v>
                </c:pt>
                <c:pt idx="32">
                  <c:v>86%</c:v>
                </c:pt>
                <c:pt idx="33">
                  <c:v>79%</c:v>
                </c:pt>
                <c:pt idx="34">
                  <c:v>85%</c:v>
                </c:pt>
                <c:pt idx="35">
                  <c:v>83%</c:v>
                </c:pt>
              </c:strCache>
            </c:strRef>
          </c:tx>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name>Conversion prediction</c:name>
            <c:spPr>
              <a:ln w="19050" cap="rnd">
                <a:solidFill>
                  <a:schemeClr val="accent1"/>
                </a:solidFill>
                <a:prstDash val="sysDot"/>
              </a:ln>
              <a:effectLst/>
            </c:spPr>
            <c:trendlineType val="poly"/>
            <c:order val="4"/>
            <c:dispRSqr val="0"/>
            <c:dispEq val="1"/>
            <c:trendlineLbl>
              <c:numFmt formatCode="General" sourceLinked="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rendlineLbl>
          </c:trendline>
          <c:trendline>
            <c:name>COnversion vs Variance</c:name>
            <c:spPr>
              <a:ln w="19050" cap="rnd">
                <a:solidFill>
                  <a:schemeClr val="accent1"/>
                </a:solidFill>
                <a:prstDash val="sysDot"/>
              </a:ln>
              <a:effectLst/>
            </c:spPr>
            <c:trendlineType val="poly"/>
            <c:order val="4"/>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'Information-Working'!$T$11:$T$46</c:f>
              <c:numCache>
                <c:formatCode>0%</c:formatCode>
                <c:ptCount val="36"/>
                <c:pt idx="0">
                  <c:v>0.6</c:v>
                </c:pt>
                <c:pt idx="1">
                  <c:v>0.9</c:v>
                </c:pt>
                <c:pt idx="2">
                  <c:v>0.56000000000000005</c:v>
                </c:pt>
                <c:pt idx="3">
                  <c:v>0.56000000000000005</c:v>
                </c:pt>
                <c:pt idx="4">
                  <c:v>0.36</c:v>
                </c:pt>
                <c:pt idx="5">
                  <c:v>0.39</c:v>
                </c:pt>
                <c:pt idx="6">
                  <c:v>0.37</c:v>
                </c:pt>
                <c:pt idx="7">
                  <c:v>0.36</c:v>
                </c:pt>
                <c:pt idx="8">
                  <c:v>0.23</c:v>
                </c:pt>
                <c:pt idx="9">
                  <c:v>0.04</c:v>
                </c:pt>
                <c:pt idx="10">
                  <c:v>0.25</c:v>
                </c:pt>
                <c:pt idx="11">
                  <c:v>0.21</c:v>
                </c:pt>
                <c:pt idx="12">
                  <c:v>0.22</c:v>
                </c:pt>
                <c:pt idx="13">
                  <c:v>0.04</c:v>
                </c:pt>
                <c:pt idx="14">
                  <c:v>0.23</c:v>
                </c:pt>
                <c:pt idx="15">
                  <c:v>0.2</c:v>
                </c:pt>
                <c:pt idx="16">
                  <c:v>0.25</c:v>
                </c:pt>
                <c:pt idx="17">
                  <c:v>0.06</c:v>
                </c:pt>
                <c:pt idx="18">
                  <c:v>0.25</c:v>
                </c:pt>
                <c:pt idx="19">
                  <c:v>0.23</c:v>
                </c:pt>
                <c:pt idx="20">
                  <c:v>0.28000000000000003</c:v>
                </c:pt>
                <c:pt idx="21">
                  <c:v>0.09</c:v>
                </c:pt>
                <c:pt idx="22">
                  <c:v>0.3</c:v>
                </c:pt>
                <c:pt idx="23">
                  <c:v>0.27</c:v>
                </c:pt>
                <c:pt idx="24">
                  <c:v>0.14000000000000001</c:v>
                </c:pt>
                <c:pt idx="25">
                  <c:v>0.08</c:v>
                </c:pt>
                <c:pt idx="26">
                  <c:v>0.17</c:v>
                </c:pt>
                <c:pt idx="27">
                  <c:v>0.14000000000000001</c:v>
                </c:pt>
                <c:pt idx="28">
                  <c:v>0.2</c:v>
                </c:pt>
                <c:pt idx="29">
                  <c:v>0.1</c:v>
                </c:pt>
                <c:pt idx="30">
                  <c:v>0.22</c:v>
                </c:pt>
                <c:pt idx="31">
                  <c:v>0.14000000000000001</c:v>
                </c:pt>
                <c:pt idx="32">
                  <c:v>0.2</c:v>
                </c:pt>
                <c:pt idx="33">
                  <c:v>0.1</c:v>
                </c:pt>
                <c:pt idx="34">
                  <c:v>0.12</c:v>
                </c:pt>
                <c:pt idx="35">
                  <c:v>0.19</c:v>
                </c:pt>
              </c:numCache>
            </c:numRef>
          </c:xVal>
          <c:yVal>
            <c:numRef>
              <c:f>'Information-Working'!$S$11:$S$46</c:f>
              <c:numCache>
                <c:formatCode>0%</c:formatCode>
                <c:ptCount val="36"/>
                <c:pt idx="0">
                  <c:v>0.33</c:v>
                </c:pt>
                <c:pt idx="1">
                  <c:v>0.5</c:v>
                </c:pt>
                <c:pt idx="2">
                  <c:v>0.66</c:v>
                </c:pt>
                <c:pt idx="3">
                  <c:v>0.5</c:v>
                </c:pt>
                <c:pt idx="4">
                  <c:v>0.51</c:v>
                </c:pt>
                <c:pt idx="5">
                  <c:v>0.26</c:v>
                </c:pt>
                <c:pt idx="6">
                  <c:v>0.61</c:v>
                </c:pt>
                <c:pt idx="7">
                  <c:v>0.61</c:v>
                </c:pt>
                <c:pt idx="8">
                  <c:v>0.91</c:v>
                </c:pt>
                <c:pt idx="9">
                  <c:v>0.93</c:v>
                </c:pt>
                <c:pt idx="10">
                  <c:v>0.73</c:v>
                </c:pt>
                <c:pt idx="11">
                  <c:v>0.98</c:v>
                </c:pt>
                <c:pt idx="12">
                  <c:v>0.92</c:v>
                </c:pt>
                <c:pt idx="13">
                  <c:v>0.92</c:v>
                </c:pt>
                <c:pt idx="14">
                  <c:v>0.46</c:v>
                </c:pt>
                <c:pt idx="15">
                  <c:v>0.92</c:v>
                </c:pt>
                <c:pt idx="16">
                  <c:v>0.82</c:v>
                </c:pt>
                <c:pt idx="17">
                  <c:v>0.85</c:v>
                </c:pt>
                <c:pt idx="18">
                  <c:v>0.91</c:v>
                </c:pt>
                <c:pt idx="19">
                  <c:v>0.92</c:v>
                </c:pt>
                <c:pt idx="20">
                  <c:v>0.68</c:v>
                </c:pt>
                <c:pt idx="21">
                  <c:v>0.51</c:v>
                </c:pt>
                <c:pt idx="22">
                  <c:v>0.63</c:v>
                </c:pt>
                <c:pt idx="23">
                  <c:v>0.64</c:v>
                </c:pt>
                <c:pt idx="24">
                  <c:v>0.78</c:v>
                </c:pt>
                <c:pt idx="25">
                  <c:v>0.81</c:v>
                </c:pt>
                <c:pt idx="26">
                  <c:v>0.81</c:v>
                </c:pt>
                <c:pt idx="27">
                  <c:v>0.77</c:v>
                </c:pt>
                <c:pt idx="28">
                  <c:v>0.79</c:v>
                </c:pt>
                <c:pt idx="29">
                  <c:v>0.84</c:v>
                </c:pt>
                <c:pt idx="30">
                  <c:v>0.84</c:v>
                </c:pt>
                <c:pt idx="31">
                  <c:v>0.82</c:v>
                </c:pt>
                <c:pt idx="32">
                  <c:v>0.86</c:v>
                </c:pt>
                <c:pt idx="33">
                  <c:v>0.79</c:v>
                </c:pt>
                <c:pt idx="34">
                  <c:v>0.85</c:v>
                </c:pt>
                <c:pt idx="35">
                  <c:v>0.83</c:v>
                </c:pt>
              </c:numCache>
            </c:numRef>
          </c:yVal>
          <c:smooth val="0"/>
          <c:extLst>
            <c:ext xmlns:c16="http://schemas.microsoft.com/office/drawing/2014/chart" uri="{C3380CC4-5D6E-409C-BE32-E72D297353CC}">
              <c16:uniqueId val="{00000000-4386-414F-A5C2-25FBC6033D03}"/>
            </c:ext>
          </c:extLst>
        </c:ser>
        <c:dLbls>
          <c:dLblPos val="t"/>
          <c:showLegendKey val="0"/>
          <c:showVal val="1"/>
          <c:showCatName val="0"/>
          <c:showSerName val="0"/>
          <c:showPercent val="0"/>
          <c:showBubbleSize val="0"/>
        </c:dLbls>
        <c:axId val="1115271455"/>
        <c:axId val="1115280575"/>
      </c:scatterChart>
      <c:valAx>
        <c:axId val="1115271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Variance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80575"/>
        <c:crosses val="autoZero"/>
        <c:crossBetween val="midCat"/>
      </c:valAx>
      <c:valAx>
        <c:axId val="1115280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 Conversion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7145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Q2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Data_Price!$A$4</c:f>
              <c:strCache>
                <c:ptCount val="1"/>
                <c:pt idx="0">
                  <c:v>EcoBreeze</c:v>
                </c:pt>
              </c:strCache>
            </c:strRef>
          </c:tx>
          <c:spPr>
            <a:ln w="31750" cap="rnd">
              <a:solidFill>
                <a:schemeClr val="accent1"/>
              </a:solidFill>
              <a:round/>
            </a:ln>
            <a:effectLst/>
          </c:spPr>
          <c:marker>
            <c:symbol val="none"/>
          </c:marker>
          <c:cat>
            <c:strRef>
              <c:f>Data_Price!$B$2:$E$3</c:f>
              <c:strCache>
                <c:ptCount val="4"/>
                <c:pt idx="0">
                  <c:v>1</c:v>
                </c:pt>
                <c:pt idx="1">
                  <c:v>2</c:v>
                </c:pt>
                <c:pt idx="2">
                  <c:v>3</c:v>
                </c:pt>
                <c:pt idx="3">
                  <c:v>4</c:v>
                </c:pt>
              </c:strCache>
            </c:strRef>
          </c:cat>
          <c:val>
            <c:numRef>
              <c:f>Data_Price!$B$4:$E$4</c:f>
              <c:numCache>
                <c:formatCode>#,##0</c:formatCode>
                <c:ptCount val="4"/>
                <c:pt idx="0">
                  <c:v>1499</c:v>
                </c:pt>
                <c:pt idx="1">
                  <c:v>1399</c:v>
                </c:pt>
                <c:pt idx="2">
                  <c:v>1399</c:v>
                </c:pt>
                <c:pt idx="3">
                  <c:v>1499</c:v>
                </c:pt>
              </c:numCache>
            </c:numRef>
          </c:val>
          <c:smooth val="0"/>
          <c:extLst>
            <c:ext xmlns:c16="http://schemas.microsoft.com/office/drawing/2014/chart" uri="{C3380CC4-5D6E-409C-BE32-E72D297353CC}">
              <c16:uniqueId val="{00000000-17A3-984A-80E0-F74200A1AA3F}"/>
            </c:ext>
          </c:extLst>
        </c:ser>
        <c:ser>
          <c:idx val="1"/>
          <c:order val="1"/>
          <c:tx>
            <c:strRef>
              <c:f>Data_Price!$A$5</c:f>
              <c:strCache>
                <c:ptCount val="1"/>
                <c:pt idx="0">
                  <c:v>EcoChill</c:v>
                </c:pt>
              </c:strCache>
            </c:strRef>
          </c:tx>
          <c:spPr>
            <a:ln w="31750" cap="rnd">
              <a:solidFill>
                <a:schemeClr val="accent2"/>
              </a:solidFill>
              <a:round/>
            </a:ln>
            <a:effectLst/>
          </c:spPr>
          <c:marker>
            <c:symbol val="none"/>
          </c:marker>
          <c:cat>
            <c:strRef>
              <c:f>Data_Price!$B$2:$E$3</c:f>
              <c:strCache>
                <c:ptCount val="4"/>
                <c:pt idx="0">
                  <c:v>1</c:v>
                </c:pt>
                <c:pt idx="1">
                  <c:v>2</c:v>
                </c:pt>
                <c:pt idx="2">
                  <c:v>3</c:v>
                </c:pt>
                <c:pt idx="3">
                  <c:v>4</c:v>
                </c:pt>
              </c:strCache>
            </c:strRef>
          </c:cat>
          <c:val>
            <c:numRef>
              <c:f>Data_Price!$B$5:$E$5</c:f>
              <c:numCache>
                <c:formatCode>#,##0</c:formatCode>
                <c:ptCount val="4"/>
                <c:pt idx="0">
                  <c:v>1303</c:v>
                </c:pt>
                <c:pt idx="1">
                  <c:v>0</c:v>
                </c:pt>
                <c:pt idx="2">
                  <c:v>1273</c:v>
                </c:pt>
                <c:pt idx="3">
                  <c:v>0</c:v>
                </c:pt>
              </c:numCache>
            </c:numRef>
          </c:val>
          <c:smooth val="0"/>
          <c:extLst>
            <c:ext xmlns:c16="http://schemas.microsoft.com/office/drawing/2014/chart" uri="{C3380CC4-5D6E-409C-BE32-E72D297353CC}">
              <c16:uniqueId val="{00000001-17A3-984A-80E0-F74200A1AA3F}"/>
            </c:ext>
          </c:extLst>
        </c:ser>
        <c:ser>
          <c:idx val="2"/>
          <c:order val="2"/>
          <c:tx>
            <c:strRef>
              <c:f>Data_Price!$A$6</c:f>
              <c:strCache>
                <c:ptCount val="1"/>
                <c:pt idx="0">
                  <c:v>LOLL</c:v>
                </c:pt>
              </c:strCache>
            </c:strRef>
          </c:tx>
          <c:spPr>
            <a:ln w="31750" cap="rnd">
              <a:solidFill>
                <a:schemeClr val="accent3"/>
              </a:solidFill>
              <a:round/>
            </a:ln>
            <a:effectLst/>
          </c:spPr>
          <c:marker>
            <c:symbol val="none"/>
          </c:marker>
          <c:cat>
            <c:strRef>
              <c:f>Data_Price!$B$2:$E$3</c:f>
              <c:strCache>
                <c:ptCount val="4"/>
                <c:pt idx="0">
                  <c:v>1</c:v>
                </c:pt>
                <c:pt idx="1">
                  <c:v>2</c:v>
                </c:pt>
                <c:pt idx="2">
                  <c:v>3</c:v>
                </c:pt>
                <c:pt idx="3">
                  <c:v>4</c:v>
                </c:pt>
              </c:strCache>
            </c:strRef>
          </c:cat>
          <c:val>
            <c:numRef>
              <c:f>Data_Price!$B$6:$E$6</c:f>
              <c:numCache>
                <c:formatCode>#,##0</c:formatCode>
                <c:ptCount val="4"/>
                <c:pt idx="0">
                  <c:v>499.99</c:v>
                </c:pt>
                <c:pt idx="1">
                  <c:v>469.99</c:v>
                </c:pt>
                <c:pt idx="2">
                  <c:v>469.99</c:v>
                </c:pt>
                <c:pt idx="3">
                  <c:v>499.99</c:v>
                </c:pt>
              </c:numCache>
            </c:numRef>
          </c:val>
          <c:smooth val="0"/>
          <c:extLst>
            <c:ext xmlns:c16="http://schemas.microsoft.com/office/drawing/2014/chart" uri="{C3380CC4-5D6E-409C-BE32-E72D297353CC}">
              <c16:uniqueId val="{00000002-17A3-984A-80E0-F74200A1AA3F}"/>
            </c:ext>
          </c:extLst>
        </c:ser>
        <c:ser>
          <c:idx val="3"/>
          <c:order val="3"/>
          <c:tx>
            <c:strRef>
              <c:f>Data_Price!$A$7</c:f>
              <c:strCache>
                <c:ptCount val="1"/>
                <c:pt idx="0">
                  <c:v>NorthBreeze</c:v>
                </c:pt>
              </c:strCache>
            </c:strRef>
          </c:tx>
          <c:spPr>
            <a:ln w="31750" cap="rnd">
              <a:solidFill>
                <a:schemeClr val="accent4"/>
              </a:solidFill>
              <a:round/>
            </a:ln>
            <a:effectLst/>
          </c:spPr>
          <c:marker>
            <c:symbol val="none"/>
          </c:marker>
          <c:cat>
            <c:strRef>
              <c:f>Data_Price!$B$2:$E$3</c:f>
              <c:strCache>
                <c:ptCount val="4"/>
                <c:pt idx="0">
                  <c:v>1</c:v>
                </c:pt>
                <c:pt idx="1">
                  <c:v>2</c:v>
                </c:pt>
                <c:pt idx="2">
                  <c:v>3</c:v>
                </c:pt>
                <c:pt idx="3">
                  <c:v>4</c:v>
                </c:pt>
              </c:strCache>
            </c:strRef>
          </c:cat>
          <c:val>
            <c:numRef>
              <c:f>Data_Price!$B$7:$E$7</c:f>
              <c:numCache>
                <c:formatCode>#,##0</c:formatCode>
                <c:ptCount val="4"/>
                <c:pt idx="0">
                  <c:v>999.99</c:v>
                </c:pt>
                <c:pt idx="1">
                  <c:v>999.99</c:v>
                </c:pt>
                <c:pt idx="2">
                  <c:v>949.99</c:v>
                </c:pt>
                <c:pt idx="3">
                  <c:v>999.99</c:v>
                </c:pt>
              </c:numCache>
            </c:numRef>
          </c:val>
          <c:smooth val="0"/>
          <c:extLst>
            <c:ext xmlns:c16="http://schemas.microsoft.com/office/drawing/2014/chart" uri="{C3380CC4-5D6E-409C-BE32-E72D297353CC}">
              <c16:uniqueId val="{00000003-17A3-984A-80E0-F74200A1AA3F}"/>
            </c:ext>
          </c:extLst>
        </c:ser>
        <c:dLbls>
          <c:showLegendKey val="0"/>
          <c:showVal val="0"/>
          <c:showCatName val="0"/>
          <c:showSerName val="0"/>
          <c:showPercent val="0"/>
          <c:showBubbleSize val="0"/>
        </c:dLbls>
        <c:smooth val="0"/>
        <c:axId val="773407472"/>
        <c:axId val="773215936"/>
      </c:lineChart>
      <c:catAx>
        <c:axId val="77340747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73215936"/>
        <c:crosses val="autoZero"/>
        <c:auto val="1"/>
        <c:lblAlgn val="ctr"/>
        <c:lblOffset val="100"/>
        <c:noMultiLvlLbl val="0"/>
      </c:catAx>
      <c:valAx>
        <c:axId val="77321593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73407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Q4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Data_Price!$G$4</c:f>
              <c:strCache>
                <c:ptCount val="1"/>
                <c:pt idx="0">
                  <c:v>EcoBreeze</c:v>
                </c:pt>
              </c:strCache>
            </c:strRef>
          </c:tx>
          <c:spPr>
            <a:ln w="31750" cap="rnd">
              <a:solidFill>
                <a:schemeClr val="accent1"/>
              </a:solidFill>
              <a:round/>
            </a:ln>
            <a:effectLst/>
          </c:spPr>
          <c:marker>
            <c:symbol val="none"/>
          </c:marker>
          <c:cat>
            <c:strRef>
              <c:f>Data_Price!$H$2:$K$3</c:f>
              <c:strCache>
                <c:ptCount val="4"/>
                <c:pt idx="0">
                  <c:v>1</c:v>
                </c:pt>
                <c:pt idx="1">
                  <c:v>2</c:v>
                </c:pt>
                <c:pt idx="2">
                  <c:v>3</c:v>
                </c:pt>
                <c:pt idx="3">
                  <c:v>4</c:v>
                </c:pt>
              </c:strCache>
            </c:strRef>
          </c:cat>
          <c:val>
            <c:numRef>
              <c:f>Data_Price!$H$4:$K$4</c:f>
              <c:numCache>
                <c:formatCode>#,##0</c:formatCode>
                <c:ptCount val="4"/>
                <c:pt idx="0">
                  <c:v>1890</c:v>
                </c:pt>
                <c:pt idx="1">
                  <c:v>1890</c:v>
                </c:pt>
                <c:pt idx="2">
                  <c:v>1845</c:v>
                </c:pt>
                <c:pt idx="3">
                  <c:v>1890</c:v>
                </c:pt>
              </c:numCache>
            </c:numRef>
          </c:val>
          <c:smooth val="0"/>
          <c:extLst>
            <c:ext xmlns:c16="http://schemas.microsoft.com/office/drawing/2014/chart" uri="{C3380CC4-5D6E-409C-BE32-E72D297353CC}">
              <c16:uniqueId val="{00000000-9DE3-D045-A2BF-C54DFFA66729}"/>
            </c:ext>
          </c:extLst>
        </c:ser>
        <c:ser>
          <c:idx val="1"/>
          <c:order val="1"/>
          <c:tx>
            <c:strRef>
              <c:f>Data_Price!$G$5</c:f>
              <c:strCache>
                <c:ptCount val="1"/>
                <c:pt idx="0">
                  <c:v>EcoChill</c:v>
                </c:pt>
              </c:strCache>
            </c:strRef>
          </c:tx>
          <c:spPr>
            <a:ln w="31750" cap="rnd">
              <a:solidFill>
                <a:schemeClr val="accent2"/>
              </a:solidFill>
              <a:round/>
            </a:ln>
            <a:effectLst/>
          </c:spPr>
          <c:marker>
            <c:symbol val="none"/>
          </c:marker>
          <c:cat>
            <c:strRef>
              <c:f>Data_Price!$H$2:$K$3</c:f>
              <c:strCache>
                <c:ptCount val="4"/>
                <c:pt idx="0">
                  <c:v>1</c:v>
                </c:pt>
                <c:pt idx="1">
                  <c:v>2</c:v>
                </c:pt>
                <c:pt idx="2">
                  <c:v>3</c:v>
                </c:pt>
                <c:pt idx="3">
                  <c:v>4</c:v>
                </c:pt>
              </c:strCache>
            </c:strRef>
          </c:cat>
          <c:val>
            <c:numRef>
              <c:f>Data_Price!$H$5:$K$5</c:f>
              <c:numCache>
                <c:formatCode>#,##0</c:formatCode>
                <c:ptCount val="4"/>
                <c:pt idx="0">
                  <c:v>1179.98</c:v>
                </c:pt>
                <c:pt idx="1">
                  <c:v>1179.98</c:v>
                </c:pt>
                <c:pt idx="2">
                  <c:v>1149.98</c:v>
                </c:pt>
                <c:pt idx="3">
                  <c:v>1179.98</c:v>
                </c:pt>
              </c:numCache>
            </c:numRef>
          </c:val>
          <c:smooth val="0"/>
          <c:extLst>
            <c:ext xmlns:c16="http://schemas.microsoft.com/office/drawing/2014/chart" uri="{C3380CC4-5D6E-409C-BE32-E72D297353CC}">
              <c16:uniqueId val="{00000001-9DE3-D045-A2BF-C54DFFA66729}"/>
            </c:ext>
          </c:extLst>
        </c:ser>
        <c:ser>
          <c:idx val="2"/>
          <c:order val="2"/>
          <c:tx>
            <c:strRef>
              <c:f>Data_Price!$G$6</c:f>
              <c:strCache>
                <c:ptCount val="1"/>
                <c:pt idx="0">
                  <c:v>LOLL</c:v>
                </c:pt>
              </c:strCache>
            </c:strRef>
          </c:tx>
          <c:spPr>
            <a:ln w="31750" cap="rnd">
              <a:solidFill>
                <a:schemeClr val="accent3"/>
              </a:solidFill>
              <a:round/>
            </a:ln>
            <a:effectLst/>
          </c:spPr>
          <c:marker>
            <c:symbol val="none"/>
          </c:marker>
          <c:cat>
            <c:strRef>
              <c:f>Data_Price!$H$2:$K$3</c:f>
              <c:strCache>
                <c:ptCount val="4"/>
                <c:pt idx="0">
                  <c:v>1</c:v>
                </c:pt>
                <c:pt idx="1">
                  <c:v>2</c:v>
                </c:pt>
                <c:pt idx="2">
                  <c:v>3</c:v>
                </c:pt>
                <c:pt idx="3">
                  <c:v>4</c:v>
                </c:pt>
              </c:strCache>
            </c:strRef>
          </c:cat>
          <c:val>
            <c:numRef>
              <c:f>Data_Price!$H$6:$K$6</c:f>
              <c:numCache>
                <c:formatCode>#,##0</c:formatCode>
                <c:ptCount val="4"/>
                <c:pt idx="0">
                  <c:v>1550</c:v>
                </c:pt>
                <c:pt idx="1">
                  <c:v>1499</c:v>
                </c:pt>
                <c:pt idx="2">
                  <c:v>1499</c:v>
                </c:pt>
                <c:pt idx="3">
                  <c:v>1550</c:v>
                </c:pt>
              </c:numCache>
            </c:numRef>
          </c:val>
          <c:smooth val="0"/>
          <c:extLst>
            <c:ext xmlns:c16="http://schemas.microsoft.com/office/drawing/2014/chart" uri="{C3380CC4-5D6E-409C-BE32-E72D297353CC}">
              <c16:uniqueId val="{00000002-9DE3-D045-A2BF-C54DFFA66729}"/>
            </c:ext>
          </c:extLst>
        </c:ser>
        <c:ser>
          <c:idx val="3"/>
          <c:order val="3"/>
          <c:tx>
            <c:strRef>
              <c:f>Data_Price!$G$7</c:f>
              <c:strCache>
                <c:ptCount val="1"/>
                <c:pt idx="0">
                  <c:v>NorthBreeze</c:v>
                </c:pt>
              </c:strCache>
            </c:strRef>
          </c:tx>
          <c:spPr>
            <a:ln w="31750" cap="rnd">
              <a:solidFill>
                <a:schemeClr val="accent4"/>
              </a:solidFill>
              <a:round/>
            </a:ln>
            <a:effectLst/>
          </c:spPr>
          <c:marker>
            <c:symbol val="none"/>
          </c:marker>
          <c:cat>
            <c:strRef>
              <c:f>Data_Price!$H$2:$K$3</c:f>
              <c:strCache>
                <c:ptCount val="4"/>
                <c:pt idx="0">
                  <c:v>1</c:v>
                </c:pt>
                <c:pt idx="1">
                  <c:v>2</c:v>
                </c:pt>
                <c:pt idx="2">
                  <c:v>3</c:v>
                </c:pt>
                <c:pt idx="3">
                  <c:v>4</c:v>
                </c:pt>
              </c:strCache>
            </c:strRef>
          </c:cat>
          <c:val>
            <c:numRef>
              <c:f>Data_Price!$H$7:$K$7</c:f>
              <c:numCache>
                <c:formatCode>#,##0</c:formatCode>
                <c:ptCount val="4"/>
                <c:pt idx="0">
                  <c:v>1429.99</c:v>
                </c:pt>
                <c:pt idx="1">
                  <c:v>1399</c:v>
                </c:pt>
                <c:pt idx="2">
                  <c:v>1379.99</c:v>
                </c:pt>
                <c:pt idx="3">
                  <c:v>1429.99</c:v>
                </c:pt>
              </c:numCache>
            </c:numRef>
          </c:val>
          <c:smooth val="0"/>
          <c:extLst>
            <c:ext xmlns:c16="http://schemas.microsoft.com/office/drawing/2014/chart" uri="{C3380CC4-5D6E-409C-BE32-E72D297353CC}">
              <c16:uniqueId val="{00000003-9DE3-D045-A2BF-C54DFFA66729}"/>
            </c:ext>
          </c:extLst>
        </c:ser>
        <c:dLbls>
          <c:showLegendKey val="0"/>
          <c:showVal val="0"/>
          <c:showCatName val="0"/>
          <c:showSerName val="0"/>
          <c:showPercent val="0"/>
          <c:showBubbleSize val="0"/>
        </c:dLbls>
        <c:smooth val="0"/>
        <c:axId val="773245984"/>
        <c:axId val="773158880"/>
      </c:lineChart>
      <c:catAx>
        <c:axId val="77324598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73158880"/>
        <c:crosses val="autoZero"/>
        <c:auto val="1"/>
        <c:lblAlgn val="ctr"/>
        <c:lblOffset val="100"/>
        <c:noMultiLvlLbl val="0"/>
      </c:catAx>
      <c:valAx>
        <c:axId val="77315888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73245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Q5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Data_Price!$M$4</c:f>
              <c:strCache>
                <c:ptCount val="1"/>
                <c:pt idx="0">
                  <c:v>EcoBreeze</c:v>
                </c:pt>
              </c:strCache>
            </c:strRef>
          </c:tx>
          <c:spPr>
            <a:ln w="31750" cap="rnd">
              <a:solidFill>
                <a:schemeClr val="accent1"/>
              </a:solidFill>
              <a:round/>
            </a:ln>
            <a:effectLst/>
          </c:spPr>
          <c:marker>
            <c:symbol val="none"/>
          </c:marker>
          <c:cat>
            <c:strRef>
              <c:f>Data_Price!$N$2:$Q$3</c:f>
              <c:strCache>
                <c:ptCount val="4"/>
                <c:pt idx="0">
                  <c:v>1</c:v>
                </c:pt>
                <c:pt idx="1">
                  <c:v>2</c:v>
                </c:pt>
                <c:pt idx="2">
                  <c:v>3</c:v>
                </c:pt>
                <c:pt idx="3">
                  <c:v>4</c:v>
                </c:pt>
              </c:strCache>
            </c:strRef>
          </c:cat>
          <c:val>
            <c:numRef>
              <c:f>Data_Price!$N$4:$Q$4</c:f>
              <c:numCache>
                <c:formatCode>#,##0</c:formatCode>
                <c:ptCount val="4"/>
                <c:pt idx="0">
                  <c:v>2450</c:v>
                </c:pt>
                <c:pt idx="1">
                  <c:v>1899</c:v>
                </c:pt>
                <c:pt idx="2">
                  <c:v>2450</c:v>
                </c:pt>
                <c:pt idx="3">
                  <c:v>2450</c:v>
                </c:pt>
              </c:numCache>
            </c:numRef>
          </c:val>
          <c:smooth val="0"/>
          <c:extLst>
            <c:ext xmlns:c16="http://schemas.microsoft.com/office/drawing/2014/chart" uri="{C3380CC4-5D6E-409C-BE32-E72D297353CC}">
              <c16:uniqueId val="{00000000-5E14-834B-9766-585255E3B366}"/>
            </c:ext>
          </c:extLst>
        </c:ser>
        <c:ser>
          <c:idx val="1"/>
          <c:order val="1"/>
          <c:tx>
            <c:strRef>
              <c:f>Data_Price!$M$5</c:f>
              <c:strCache>
                <c:ptCount val="1"/>
                <c:pt idx="0">
                  <c:v>EcoChill</c:v>
                </c:pt>
              </c:strCache>
            </c:strRef>
          </c:tx>
          <c:spPr>
            <a:ln w="31750" cap="rnd">
              <a:solidFill>
                <a:schemeClr val="accent2"/>
              </a:solidFill>
              <a:round/>
            </a:ln>
            <a:effectLst/>
          </c:spPr>
          <c:marker>
            <c:symbol val="none"/>
          </c:marker>
          <c:cat>
            <c:strRef>
              <c:f>Data_Price!$N$2:$Q$3</c:f>
              <c:strCache>
                <c:ptCount val="4"/>
                <c:pt idx="0">
                  <c:v>1</c:v>
                </c:pt>
                <c:pt idx="1">
                  <c:v>2</c:v>
                </c:pt>
                <c:pt idx="2">
                  <c:v>3</c:v>
                </c:pt>
                <c:pt idx="3">
                  <c:v>4</c:v>
                </c:pt>
              </c:strCache>
            </c:strRef>
          </c:cat>
          <c:val>
            <c:numRef>
              <c:f>Data_Price!$N$5:$Q$5</c:f>
              <c:numCache>
                <c:formatCode>#,##0</c:formatCode>
                <c:ptCount val="4"/>
                <c:pt idx="0">
                  <c:v>1500</c:v>
                </c:pt>
                <c:pt idx="1">
                  <c:v>1450</c:v>
                </c:pt>
                <c:pt idx="2">
                  <c:v>1500</c:v>
                </c:pt>
                <c:pt idx="3">
                  <c:v>1600</c:v>
                </c:pt>
              </c:numCache>
            </c:numRef>
          </c:val>
          <c:smooth val="0"/>
          <c:extLst>
            <c:ext xmlns:c16="http://schemas.microsoft.com/office/drawing/2014/chart" uri="{C3380CC4-5D6E-409C-BE32-E72D297353CC}">
              <c16:uniqueId val="{00000001-5E14-834B-9766-585255E3B366}"/>
            </c:ext>
          </c:extLst>
        </c:ser>
        <c:ser>
          <c:idx val="2"/>
          <c:order val="2"/>
          <c:tx>
            <c:strRef>
              <c:f>Data_Price!$M$6</c:f>
              <c:strCache>
                <c:ptCount val="1"/>
                <c:pt idx="0">
                  <c:v>LOLL</c:v>
                </c:pt>
              </c:strCache>
            </c:strRef>
          </c:tx>
          <c:spPr>
            <a:ln w="31750" cap="rnd">
              <a:solidFill>
                <a:schemeClr val="accent3"/>
              </a:solidFill>
              <a:round/>
            </a:ln>
            <a:effectLst/>
          </c:spPr>
          <c:marker>
            <c:symbol val="none"/>
          </c:marker>
          <c:cat>
            <c:strRef>
              <c:f>Data_Price!$N$2:$Q$3</c:f>
              <c:strCache>
                <c:ptCount val="4"/>
                <c:pt idx="0">
                  <c:v>1</c:v>
                </c:pt>
                <c:pt idx="1">
                  <c:v>2</c:v>
                </c:pt>
                <c:pt idx="2">
                  <c:v>3</c:v>
                </c:pt>
                <c:pt idx="3">
                  <c:v>4</c:v>
                </c:pt>
              </c:strCache>
            </c:strRef>
          </c:cat>
          <c:val>
            <c:numRef>
              <c:f>Data_Price!$N$6:$Q$6</c:f>
              <c:numCache>
                <c:formatCode>#,##0</c:formatCode>
                <c:ptCount val="4"/>
                <c:pt idx="0">
                  <c:v>2099</c:v>
                </c:pt>
                <c:pt idx="1">
                  <c:v>1999</c:v>
                </c:pt>
                <c:pt idx="2">
                  <c:v>1999</c:v>
                </c:pt>
                <c:pt idx="3">
                  <c:v>2099</c:v>
                </c:pt>
              </c:numCache>
            </c:numRef>
          </c:val>
          <c:smooth val="0"/>
          <c:extLst>
            <c:ext xmlns:c16="http://schemas.microsoft.com/office/drawing/2014/chart" uri="{C3380CC4-5D6E-409C-BE32-E72D297353CC}">
              <c16:uniqueId val="{00000002-5E14-834B-9766-585255E3B366}"/>
            </c:ext>
          </c:extLst>
        </c:ser>
        <c:ser>
          <c:idx val="3"/>
          <c:order val="3"/>
          <c:tx>
            <c:strRef>
              <c:f>Data_Price!$M$7</c:f>
              <c:strCache>
                <c:ptCount val="1"/>
                <c:pt idx="0">
                  <c:v>NorthBreeze</c:v>
                </c:pt>
              </c:strCache>
            </c:strRef>
          </c:tx>
          <c:spPr>
            <a:ln w="31750" cap="rnd">
              <a:solidFill>
                <a:schemeClr val="accent4"/>
              </a:solidFill>
              <a:round/>
            </a:ln>
            <a:effectLst/>
          </c:spPr>
          <c:marker>
            <c:symbol val="none"/>
          </c:marker>
          <c:cat>
            <c:strRef>
              <c:f>Data_Price!$N$2:$Q$3</c:f>
              <c:strCache>
                <c:ptCount val="4"/>
                <c:pt idx="0">
                  <c:v>1</c:v>
                </c:pt>
                <c:pt idx="1">
                  <c:v>2</c:v>
                </c:pt>
                <c:pt idx="2">
                  <c:v>3</c:v>
                </c:pt>
                <c:pt idx="3">
                  <c:v>4</c:v>
                </c:pt>
              </c:strCache>
            </c:strRef>
          </c:cat>
          <c:val>
            <c:numRef>
              <c:f>Data_Price!$N$7:$Q$7</c:f>
              <c:numCache>
                <c:formatCode>#,##0</c:formatCode>
                <c:ptCount val="4"/>
                <c:pt idx="0">
                  <c:v>1949</c:v>
                </c:pt>
                <c:pt idx="1">
                  <c:v>1949</c:v>
                </c:pt>
                <c:pt idx="2">
                  <c:v>1899</c:v>
                </c:pt>
                <c:pt idx="3">
                  <c:v>1949</c:v>
                </c:pt>
              </c:numCache>
            </c:numRef>
          </c:val>
          <c:smooth val="0"/>
          <c:extLst>
            <c:ext xmlns:c16="http://schemas.microsoft.com/office/drawing/2014/chart" uri="{C3380CC4-5D6E-409C-BE32-E72D297353CC}">
              <c16:uniqueId val="{00000003-5E14-834B-9766-585255E3B366}"/>
            </c:ext>
          </c:extLst>
        </c:ser>
        <c:dLbls>
          <c:showLegendKey val="0"/>
          <c:showVal val="0"/>
          <c:showCatName val="0"/>
          <c:showSerName val="0"/>
          <c:showPercent val="0"/>
          <c:showBubbleSize val="0"/>
        </c:dLbls>
        <c:smooth val="0"/>
        <c:axId val="1275192576"/>
        <c:axId val="1275194288"/>
      </c:lineChart>
      <c:catAx>
        <c:axId val="127519257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5194288"/>
        <c:crosses val="autoZero"/>
        <c:auto val="1"/>
        <c:lblAlgn val="ctr"/>
        <c:lblOffset val="100"/>
        <c:noMultiLvlLbl val="0"/>
      </c:catAx>
      <c:valAx>
        <c:axId val="127519428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5192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Q6</a:t>
            </a:r>
            <a:r>
              <a:rPr lang="en-US" baseline="0"/>
              <a:t> Price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Data_Price!$S$4</c:f>
              <c:strCache>
                <c:ptCount val="1"/>
                <c:pt idx="0">
                  <c:v>EcoBreeze</c:v>
                </c:pt>
              </c:strCache>
            </c:strRef>
          </c:tx>
          <c:spPr>
            <a:ln w="31750" cap="rnd">
              <a:solidFill>
                <a:schemeClr val="accent1"/>
              </a:solidFill>
              <a:round/>
            </a:ln>
            <a:effectLst/>
          </c:spPr>
          <c:marker>
            <c:symbol val="none"/>
          </c:marker>
          <c:cat>
            <c:numRef>
              <c:f>Data_Price!$T$3:$W$3</c:f>
              <c:numCache>
                <c:formatCode>#,##0</c:formatCode>
                <c:ptCount val="4"/>
                <c:pt idx="0">
                  <c:v>1</c:v>
                </c:pt>
                <c:pt idx="1">
                  <c:v>2</c:v>
                </c:pt>
                <c:pt idx="2">
                  <c:v>3</c:v>
                </c:pt>
                <c:pt idx="3">
                  <c:v>4</c:v>
                </c:pt>
              </c:numCache>
            </c:numRef>
          </c:cat>
          <c:val>
            <c:numRef>
              <c:f>Data_Price!$T$4:$W$4</c:f>
              <c:numCache>
                <c:formatCode>#,##0</c:formatCode>
                <c:ptCount val="4"/>
                <c:pt idx="0">
                  <c:v>2799</c:v>
                </c:pt>
                <c:pt idx="1">
                  <c:v>2199</c:v>
                </c:pt>
                <c:pt idx="2">
                  <c:v>2799</c:v>
                </c:pt>
                <c:pt idx="3">
                  <c:v>2799</c:v>
                </c:pt>
              </c:numCache>
            </c:numRef>
          </c:val>
          <c:smooth val="0"/>
          <c:extLst>
            <c:ext xmlns:c16="http://schemas.microsoft.com/office/drawing/2014/chart" uri="{C3380CC4-5D6E-409C-BE32-E72D297353CC}">
              <c16:uniqueId val="{00000000-6608-684B-9BCD-988511078A63}"/>
            </c:ext>
          </c:extLst>
        </c:ser>
        <c:ser>
          <c:idx val="1"/>
          <c:order val="1"/>
          <c:tx>
            <c:strRef>
              <c:f>Data_Price!$S$5</c:f>
              <c:strCache>
                <c:ptCount val="1"/>
                <c:pt idx="0">
                  <c:v>EcoChill</c:v>
                </c:pt>
              </c:strCache>
            </c:strRef>
          </c:tx>
          <c:spPr>
            <a:ln w="31750" cap="rnd">
              <a:solidFill>
                <a:schemeClr val="accent2"/>
              </a:solidFill>
              <a:round/>
            </a:ln>
            <a:effectLst/>
          </c:spPr>
          <c:marker>
            <c:symbol val="none"/>
          </c:marker>
          <c:cat>
            <c:numRef>
              <c:f>Data_Price!$T$3:$W$3</c:f>
              <c:numCache>
                <c:formatCode>#,##0</c:formatCode>
                <c:ptCount val="4"/>
                <c:pt idx="0">
                  <c:v>1</c:v>
                </c:pt>
                <c:pt idx="1">
                  <c:v>2</c:v>
                </c:pt>
                <c:pt idx="2">
                  <c:v>3</c:v>
                </c:pt>
                <c:pt idx="3">
                  <c:v>4</c:v>
                </c:pt>
              </c:numCache>
            </c:numRef>
          </c:cat>
          <c:val>
            <c:numRef>
              <c:f>Data_Price!$T$5:$W$5</c:f>
              <c:numCache>
                <c:formatCode>#,##0</c:formatCode>
                <c:ptCount val="4"/>
                <c:pt idx="0">
                  <c:v>1999</c:v>
                </c:pt>
                <c:pt idx="1">
                  <c:v>1949</c:v>
                </c:pt>
                <c:pt idx="2">
                  <c:v>1999</c:v>
                </c:pt>
                <c:pt idx="3">
                  <c:v>2099</c:v>
                </c:pt>
              </c:numCache>
            </c:numRef>
          </c:val>
          <c:smooth val="0"/>
          <c:extLst>
            <c:ext xmlns:c16="http://schemas.microsoft.com/office/drawing/2014/chart" uri="{C3380CC4-5D6E-409C-BE32-E72D297353CC}">
              <c16:uniqueId val="{00000001-6608-684B-9BCD-988511078A63}"/>
            </c:ext>
          </c:extLst>
        </c:ser>
        <c:ser>
          <c:idx val="2"/>
          <c:order val="2"/>
          <c:tx>
            <c:strRef>
              <c:f>Data_Price!$S$6</c:f>
              <c:strCache>
                <c:ptCount val="1"/>
                <c:pt idx="0">
                  <c:v>LOLL</c:v>
                </c:pt>
              </c:strCache>
            </c:strRef>
          </c:tx>
          <c:spPr>
            <a:ln w="31750" cap="rnd">
              <a:solidFill>
                <a:schemeClr val="accent3"/>
              </a:solidFill>
              <a:round/>
            </a:ln>
            <a:effectLst/>
          </c:spPr>
          <c:marker>
            <c:symbol val="none"/>
          </c:marker>
          <c:cat>
            <c:numRef>
              <c:f>Data_Price!$T$3:$W$3</c:f>
              <c:numCache>
                <c:formatCode>#,##0</c:formatCode>
                <c:ptCount val="4"/>
                <c:pt idx="0">
                  <c:v>1</c:v>
                </c:pt>
                <c:pt idx="1">
                  <c:v>2</c:v>
                </c:pt>
                <c:pt idx="2">
                  <c:v>3</c:v>
                </c:pt>
                <c:pt idx="3">
                  <c:v>4</c:v>
                </c:pt>
              </c:numCache>
            </c:numRef>
          </c:cat>
          <c:val>
            <c:numRef>
              <c:f>Data_Price!$T$6:$W$6</c:f>
              <c:numCache>
                <c:formatCode>#,##0</c:formatCode>
                <c:ptCount val="4"/>
                <c:pt idx="0">
                  <c:v>2099</c:v>
                </c:pt>
                <c:pt idx="1">
                  <c:v>1999</c:v>
                </c:pt>
                <c:pt idx="2">
                  <c:v>1999</c:v>
                </c:pt>
                <c:pt idx="3">
                  <c:v>2099</c:v>
                </c:pt>
              </c:numCache>
            </c:numRef>
          </c:val>
          <c:smooth val="0"/>
          <c:extLst>
            <c:ext xmlns:c16="http://schemas.microsoft.com/office/drawing/2014/chart" uri="{C3380CC4-5D6E-409C-BE32-E72D297353CC}">
              <c16:uniqueId val="{00000002-6608-684B-9BCD-988511078A63}"/>
            </c:ext>
          </c:extLst>
        </c:ser>
        <c:ser>
          <c:idx val="3"/>
          <c:order val="3"/>
          <c:tx>
            <c:strRef>
              <c:f>Data_Price!$S$7</c:f>
              <c:strCache>
                <c:ptCount val="1"/>
                <c:pt idx="0">
                  <c:v>NorthBreeze</c:v>
                </c:pt>
              </c:strCache>
            </c:strRef>
          </c:tx>
          <c:spPr>
            <a:ln w="31750" cap="rnd">
              <a:solidFill>
                <a:schemeClr val="accent4"/>
              </a:solidFill>
              <a:round/>
            </a:ln>
            <a:effectLst/>
          </c:spPr>
          <c:marker>
            <c:symbol val="none"/>
          </c:marker>
          <c:cat>
            <c:numRef>
              <c:f>Data_Price!$T$3:$W$3</c:f>
              <c:numCache>
                <c:formatCode>#,##0</c:formatCode>
                <c:ptCount val="4"/>
                <c:pt idx="0">
                  <c:v>1</c:v>
                </c:pt>
                <c:pt idx="1">
                  <c:v>2</c:v>
                </c:pt>
                <c:pt idx="2">
                  <c:v>3</c:v>
                </c:pt>
                <c:pt idx="3">
                  <c:v>4</c:v>
                </c:pt>
              </c:numCache>
            </c:numRef>
          </c:cat>
          <c:val>
            <c:numRef>
              <c:f>Data_Price!$T$7:$W$7</c:f>
              <c:numCache>
                <c:formatCode>#,##0</c:formatCode>
                <c:ptCount val="4"/>
                <c:pt idx="0">
                  <c:v>2299</c:v>
                </c:pt>
                <c:pt idx="1">
                  <c:v>2299</c:v>
                </c:pt>
                <c:pt idx="2">
                  <c:v>2269</c:v>
                </c:pt>
                <c:pt idx="3">
                  <c:v>2299</c:v>
                </c:pt>
              </c:numCache>
            </c:numRef>
          </c:val>
          <c:smooth val="0"/>
          <c:extLst>
            <c:ext xmlns:c16="http://schemas.microsoft.com/office/drawing/2014/chart" uri="{C3380CC4-5D6E-409C-BE32-E72D297353CC}">
              <c16:uniqueId val="{00000003-6608-684B-9BCD-988511078A63}"/>
            </c:ext>
          </c:extLst>
        </c:ser>
        <c:dLbls>
          <c:showLegendKey val="0"/>
          <c:showVal val="0"/>
          <c:showCatName val="0"/>
          <c:showSerName val="0"/>
          <c:showPercent val="0"/>
          <c:showBubbleSize val="0"/>
        </c:dLbls>
        <c:smooth val="0"/>
        <c:axId val="1934922976"/>
        <c:axId val="1934924688"/>
      </c:lineChart>
      <c:catAx>
        <c:axId val="1934922976"/>
        <c:scaling>
          <c:orientation val="minMax"/>
        </c:scaling>
        <c:delete val="0"/>
        <c:axPos val="b"/>
        <c:numFmt formatCode="#,##0"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4924688"/>
        <c:crosses val="autoZero"/>
        <c:auto val="1"/>
        <c:lblAlgn val="ctr"/>
        <c:lblOffset val="100"/>
        <c:noMultiLvlLbl val="0"/>
      </c:catAx>
      <c:valAx>
        <c:axId val="193492468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492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Q7</a:t>
            </a:r>
            <a:r>
              <a:rPr lang="en-US" baseline="0"/>
              <a:t> Price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Data_Price!$Y$4</c:f>
              <c:strCache>
                <c:ptCount val="1"/>
                <c:pt idx="0">
                  <c:v>EcoBreeze</c:v>
                </c:pt>
              </c:strCache>
            </c:strRef>
          </c:tx>
          <c:spPr>
            <a:ln w="31750" cap="rnd">
              <a:solidFill>
                <a:schemeClr val="accent1"/>
              </a:solidFill>
              <a:round/>
            </a:ln>
            <a:effectLst/>
          </c:spPr>
          <c:marker>
            <c:symbol val="none"/>
          </c:marker>
          <c:cat>
            <c:numRef>
              <c:f>Data_Price!$Z$3:$AC$3</c:f>
              <c:numCache>
                <c:formatCode>#,##0</c:formatCode>
                <c:ptCount val="4"/>
                <c:pt idx="0">
                  <c:v>1</c:v>
                </c:pt>
                <c:pt idx="1">
                  <c:v>2</c:v>
                </c:pt>
                <c:pt idx="2">
                  <c:v>3</c:v>
                </c:pt>
                <c:pt idx="3">
                  <c:v>4</c:v>
                </c:pt>
              </c:numCache>
            </c:numRef>
          </c:cat>
          <c:val>
            <c:numRef>
              <c:f>Data_Price!$Z$4:$AC$4</c:f>
              <c:numCache>
                <c:formatCode>#,##0</c:formatCode>
                <c:ptCount val="4"/>
                <c:pt idx="0">
                  <c:v>2899</c:v>
                </c:pt>
                <c:pt idx="1">
                  <c:v>2399</c:v>
                </c:pt>
                <c:pt idx="2">
                  <c:v>2899</c:v>
                </c:pt>
                <c:pt idx="3">
                  <c:v>2899</c:v>
                </c:pt>
              </c:numCache>
            </c:numRef>
          </c:val>
          <c:smooth val="0"/>
          <c:extLst>
            <c:ext xmlns:c16="http://schemas.microsoft.com/office/drawing/2014/chart" uri="{C3380CC4-5D6E-409C-BE32-E72D297353CC}">
              <c16:uniqueId val="{00000000-90F9-A848-A44A-2C4E7933F59C}"/>
            </c:ext>
          </c:extLst>
        </c:ser>
        <c:ser>
          <c:idx val="1"/>
          <c:order val="1"/>
          <c:tx>
            <c:strRef>
              <c:f>Data_Price!$Y$5</c:f>
              <c:strCache>
                <c:ptCount val="1"/>
                <c:pt idx="0">
                  <c:v>EcoChill</c:v>
                </c:pt>
              </c:strCache>
            </c:strRef>
          </c:tx>
          <c:spPr>
            <a:ln w="31750" cap="rnd">
              <a:solidFill>
                <a:schemeClr val="accent2"/>
              </a:solidFill>
              <a:round/>
            </a:ln>
            <a:effectLst/>
          </c:spPr>
          <c:marker>
            <c:symbol val="none"/>
          </c:marker>
          <c:cat>
            <c:numRef>
              <c:f>Data_Price!$Z$3:$AC$3</c:f>
              <c:numCache>
                <c:formatCode>#,##0</c:formatCode>
                <c:ptCount val="4"/>
                <c:pt idx="0">
                  <c:v>1</c:v>
                </c:pt>
                <c:pt idx="1">
                  <c:v>2</c:v>
                </c:pt>
                <c:pt idx="2">
                  <c:v>3</c:v>
                </c:pt>
                <c:pt idx="3">
                  <c:v>4</c:v>
                </c:pt>
              </c:numCache>
            </c:numRef>
          </c:cat>
          <c:val>
            <c:numRef>
              <c:f>Data_Price!$Z$5:$AC$5</c:f>
              <c:numCache>
                <c:formatCode>#,##0</c:formatCode>
                <c:ptCount val="4"/>
                <c:pt idx="0">
                  <c:v>2049</c:v>
                </c:pt>
                <c:pt idx="1">
                  <c:v>1999</c:v>
                </c:pt>
                <c:pt idx="2">
                  <c:v>2049</c:v>
                </c:pt>
                <c:pt idx="3">
                  <c:v>2149</c:v>
                </c:pt>
              </c:numCache>
            </c:numRef>
          </c:val>
          <c:smooth val="0"/>
          <c:extLst>
            <c:ext xmlns:c16="http://schemas.microsoft.com/office/drawing/2014/chart" uri="{C3380CC4-5D6E-409C-BE32-E72D297353CC}">
              <c16:uniqueId val="{00000001-90F9-A848-A44A-2C4E7933F59C}"/>
            </c:ext>
          </c:extLst>
        </c:ser>
        <c:ser>
          <c:idx val="2"/>
          <c:order val="2"/>
          <c:tx>
            <c:strRef>
              <c:f>Data_Price!$Y$6</c:f>
              <c:strCache>
                <c:ptCount val="1"/>
                <c:pt idx="0">
                  <c:v>LOLL</c:v>
                </c:pt>
              </c:strCache>
            </c:strRef>
          </c:tx>
          <c:spPr>
            <a:ln w="31750" cap="rnd">
              <a:solidFill>
                <a:schemeClr val="accent3"/>
              </a:solidFill>
              <a:round/>
            </a:ln>
            <a:effectLst/>
          </c:spPr>
          <c:marker>
            <c:symbol val="none"/>
          </c:marker>
          <c:cat>
            <c:numRef>
              <c:f>Data_Price!$Z$3:$AC$3</c:f>
              <c:numCache>
                <c:formatCode>#,##0</c:formatCode>
                <c:ptCount val="4"/>
                <c:pt idx="0">
                  <c:v>1</c:v>
                </c:pt>
                <c:pt idx="1">
                  <c:v>2</c:v>
                </c:pt>
                <c:pt idx="2">
                  <c:v>3</c:v>
                </c:pt>
                <c:pt idx="3">
                  <c:v>4</c:v>
                </c:pt>
              </c:numCache>
            </c:numRef>
          </c:cat>
          <c:val>
            <c:numRef>
              <c:f>Data_Price!$Z$6:$AC$6</c:f>
              <c:numCache>
                <c:formatCode>#,##0</c:formatCode>
                <c:ptCount val="4"/>
                <c:pt idx="0">
                  <c:v>2299</c:v>
                </c:pt>
                <c:pt idx="1">
                  <c:v>2199</c:v>
                </c:pt>
                <c:pt idx="2">
                  <c:v>2299</c:v>
                </c:pt>
                <c:pt idx="3">
                  <c:v>2299</c:v>
                </c:pt>
              </c:numCache>
            </c:numRef>
          </c:val>
          <c:smooth val="0"/>
          <c:extLst>
            <c:ext xmlns:c16="http://schemas.microsoft.com/office/drawing/2014/chart" uri="{C3380CC4-5D6E-409C-BE32-E72D297353CC}">
              <c16:uniqueId val="{00000002-90F9-A848-A44A-2C4E7933F59C}"/>
            </c:ext>
          </c:extLst>
        </c:ser>
        <c:ser>
          <c:idx val="3"/>
          <c:order val="3"/>
          <c:tx>
            <c:strRef>
              <c:f>Data_Price!$Y$7</c:f>
              <c:strCache>
                <c:ptCount val="1"/>
                <c:pt idx="0">
                  <c:v>NorthBreeze</c:v>
                </c:pt>
              </c:strCache>
            </c:strRef>
          </c:tx>
          <c:spPr>
            <a:ln w="31750" cap="rnd">
              <a:solidFill>
                <a:schemeClr val="accent4"/>
              </a:solidFill>
              <a:round/>
            </a:ln>
            <a:effectLst/>
          </c:spPr>
          <c:marker>
            <c:symbol val="none"/>
          </c:marker>
          <c:cat>
            <c:numRef>
              <c:f>Data_Price!$Z$3:$AC$3</c:f>
              <c:numCache>
                <c:formatCode>#,##0</c:formatCode>
                <c:ptCount val="4"/>
                <c:pt idx="0">
                  <c:v>1</c:v>
                </c:pt>
                <c:pt idx="1">
                  <c:v>2</c:v>
                </c:pt>
                <c:pt idx="2">
                  <c:v>3</c:v>
                </c:pt>
                <c:pt idx="3">
                  <c:v>4</c:v>
                </c:pt>
              </c:numCache>
            </c:numRef>
          </c:cat>
          <c:val>
            <c:numRef>
              <c:f>Data_Price!$Z$7:$AC$7</c:f>
              <c:numCache>
                <c:formatCode>#,##0</c:formatCode>
                <c:ptCount val="4"/>
                <c:pt idx="0">
                  <c:v>2599</c:v>
                </c:pt>
                <c:pt idx="1">
                  <c:v>2599</c:v>
                </c:pt>
                <c:pt idx="2">
                  <c:v>2599</c:v>
                </c:pt>
                <c:pt idx="3">
                  <c:v>2599</c:v>
                </c:pt>
              </c:numCache>
            </c:numRef>
          </c:val>
          <c:smooth val="0"/>
          <c:extLst>
            <c:ext xmlns:c16="http://schemas.microsoft.com/office/drawing/2014/chart" uri="{C3380CC4-5D6E-409C-BE32-E72D297353CC}">
              <c16:uniqueId val="{00000003-90F9-A848-A44A-2C4E7933F59C}"/>
            </c:ext>
          </c:extLst>
        </c:ser>
        <c:dLbls>
          <c:showLegendKey val="0"/>
          <c:showVal val="0"/>
          <c:showCatName val="0"/>
          <c:showSerName val="0"/>
          <c:showPercent val="0"/>
          <c:showBubbleSize val="0"/>
        </c:dLbls>
        <c:smooth val="0"/>
        <c:axId val="1927578080"/>
        <c:axId val="1928304720"/>
      </c:lineChart>
      <c:catAx>
        <c:axId val="1927578080"/>
        <c:scaling>
          <c:orientation val="minMax"/>
        </c:scaling>
        <c:delete val="0"/>
        <c:axPos val="b"/>
        <c:numFmt formatCode="#,##0"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8304720"/>
        <c:crosses val="autoZero"/>
        <c:auto val="1"/>
        <c:lblAlgn val="ctr"/>
        <c:lblOffset val="100"/>
        <c:noMultiLvlLbl val="0"/>
      </c:catAx>
      <c:valAx>
        <c:axId val="192830472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757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Q8</a:t>
            </a:r>
            <a:r>
              <a:rPr lang="en-US" baseline="0"/>
              <a:t> Price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Data_Price!$AE$4</c:f>
              <c:strCache>
                <c:ptCount val="1"/>
                <c:pt idx="0">
                  <c:v>EcoBreeze</c:v>
                </c:pt>
              </c:strCache>
            </c:strRef>
          </c:tx>
          <c:spPr>
            <a:ln w="31750" cap="rnd">
              <a:solidFill>
                <a:schemeClr val="accent1"/>
              </a:solidFill>
              <a:round/>
            </a:ln>
            <a:effectLst/>
          </c:spPr>
          <c:marker>
            <c:symbol val="none"/>
          </c:marker>
          <c:cat>
            <c:numRef>
              <c:f>Data_Price!$AF$3:$AI$3</c:f>
              <c:numCache>
                <c:formatCode>#,##0</c:formatCode>
                <c:ptCount val="4"/>
                <c:pt idx="0">
                  <c:v>1</c:v>
                </c:pt>
                <c:pt idx="1">
                  <c:v>2</c:v>
                </c:pt>
                <c:pt idx="2">
                  <c:v>3</c:v>
                </c:pt>
                <c:pt idx="3">
                  <c:v>4</c:v>
                </c:pt>
              </c:numCache>
            </c:numRef>
          </c:cat>
          <c:val>
            <c:numRef>
              <c:f>Data_Price!$AF$4:$AI$4</c:f>
              <c:numCache>
                <c:formatCode>#,##0</c:formatCode>
                <c:ptCount val="4"/>
                <c:pt idx="0">
                  <c:v>2999</c:v>
                </c:pt>
                <c:pt idx="1">
                  <c:v>2499</c:v>
                </c:pt>
                <c:pt idx="2">
                  <c:v>2999</c:v>
                </c:pt>
                <c:pt idx="3">
                  <c:v>2999</c:v>
                </c:pt>
              </c:numCache>
            </c:numRef>
          </c:val>
          <c:smooth val="0"/>
          <c:extLst>
            <c:ext xmlns:c16="http://schemas.microsoft.com/office/drawing/2014/chart" uri="{C3380CC4-5D6E-409C-BE32-E72D297353CC}">
              <c16:uniqueId val="{00000000-08D1-A84F-86BF-4984CC13005D}"/>
            </c:ext>
          </c:extLst>
        </c:ser>
        <c:ser>
          <c:idx val="1"/>
          <c:order val="1"/>
          <c:tx>
            <c:strRef>
              <c:f>Data_Price!$AE$5</c:f>
              <c:strCache>
                <c:ptCount val="1"/>
                <c:pt idx="0">
                  <c:v>EcoChill</c:v>
                </c:pt>
              </c:strCache>
            </c:strRef>
          </c:tx>
          <c:spPr>
            <a:ln w="31750" cap="rnd">
              <a:solidFill>
                <a:schemeClr val="accent2"/>
              </a:solidFill>
              <a:round/>
            </a:ln>
            <a:effectLst/>
          </c:spPr>
          <c:marker>
            <c:symbol val="none"/>
          </c:marker>
          <c:cat>
            <c:numRef>
              <c:f>Data_Price!$AF$3:$AI$3</c:f>
              <c:numCache>
                <c:formatCode>#,##0</c:formatCode>
                <c:ptCount val="4"/>
                <c:pt idx="0">
                  <c:v>1</c:v>
                </c:pt>
                <c:pt idx="1">
                  <c:v>2</c:v>
                </c:pt>
                <c:pt idx="2">
                  <c:v>3</c:v>
                </c:pt>
                <c:pt idx="3">
                  <c:v>4</c:v>
                </c:pt>
              </c:numCache>
            </c:numRef>
          </c:cat>
          <c:val>
            <c:numRef>
              <c:f>Data_Price!$AF$5:$AI$5</c:f>
              <c:numCache>
                <c:formatCode>#,##0</c:formatCode>
                <c:ptCount val="4"/>
                <c:pt idx="0">
                  <c:v>2099</c:v>
                </c:pt>
                <c:pt idx="1">
                  <c:v>2049</c:v>
                </c:pt>
                <c:pt idx="2">
                  <c:v>2099</c:v>
                </c:pt>
                <c:pt idx="3">
                  <c:v>2149</c:v>
                </c:pt>
              </c:numCache>
            </c:numRef>
          </c:val>
          <c:smooth val="0"/>
          <c:extLst>
            <c:ext xmlns:c16="http://schemas.microsoft.com/office/drawing/2014/chart" uri="{C3380CC4-5D6E-409C-BE32-E72D297353CC}">
              <c16:uniqueId val="{00000001-08D1-A84F-86BF-4984CC13005D}"/>
            </c:ext>
          </c:extLst>
        </c:ser>
        <c:ser>
          <c:idx val="2"/>
          <c:order val="2"/>
          <c:tx>
            <c:strRef>
              <c:f>Data_Price!$AE$6</c:f>
              <c:strCache>
                <c:ptCount val="1"/>
                <c:pt idx="0">
                  <c:v>LOLL</c:v>
                </c:pt>
              </c:strCache>
            </c:strRef>
          </c:tx>
          <c:spPr>
            <a:ln w="31750" cap="rnd">
              <a:solidFill>
                <a:schemeClr val="accent3"/>
              </a:solidFill>
              <a:round/>
            </a:ln>
            <a:effectLst/>
          </c:spPr>
          <c:marker>
            <c:symbol val="none"/>
          </c:marker>
          <c:cat>
            <c:numRef>
              <c:f>Data_Price!$AF$3:$AI$3</c:f>
              <c:numCache>
                <c:formatCode>#,##0</c:formatCode>
                <c:ptCount val="4"/>
                <c:pt idx="0">
                  <c:v>1</c:v>
                </c:pt>
                <c:pt idx="1">
                  <c:v>2</c:v>
                </c:pt>
                <c:pt idx="2">
                  <c:v>3</c:v>
                </c:pt>
                <c:pt idx="3">
                  <c:v>4</c:v>
                </c:pt>
              </c:numCache>
            </c:numRef>
          </c:cat>
          <c:val>
            <c:numRef>
              <c:f>Data_Price!$AF$6:$AI$6</c:f>
              <c:numCache>
                <c:formatCode>#,##0</c:formatCode>
                <c:ptCount val="4"/>
                <c:pt idx="0">
                  <c:v>2699</c:v>
                </c:pt>
                <c:pt idx="1">
                  <c:v>2599</c:v>
                </c:pt>
                <c:pt idx="2">
                  <c:v>2599</c:v>
                </c:pt>
                <c:pt idx="3">
                  <c:v>2699</c:v>
                </c:pt>
              </c:numCache>
            </c:numRef>
          </c:val>
          <c:smooth val="0"/>
          <c:extLst>
            <c:ext xmlns:c16="http://schemas.microsoft.com/office/drawing/2014/chart" uri="{C3380CC4-5D6E-409C-BE32-E72D297353CC}">
              <c16:uniqueId val="{00000002-08D1-A84F-86BF-4984CC13005D}"/>
            </c:ext>
          </c:extLst>
        </c:ser>
        <c:ser>
          <c:idx val="3"/>
          <c:order val="3"/>
          <c:tx>
            <c:strRef>
              <c:f>Data_Price!$AE$7</c:f>
              <c:strCache>
                <c:ptCount val="1"/>
                <c:pt idx="0">
                  <c:v>NorthBreeze</c:v>
                </c:pt>
              </c:strCache>
            </c:strRef>
          </c:tx>
          <c:spPr>
            <a:ln w="31750" cap="rnd">
              <a:solidFill>
                <a:schemeClr val="accent4"/>
              </a:solidFill>
              <a:round/>
            </a:ln>
            <a:effectLst/>
          </c:spPr>
          <c:marker>
            <c:symbol val="none"/>
          </c:marker>
          <c:cat>
            <c:numRef>
              <c:f>Data_Price!$AF$3:$AI$3</c:f>
              <c:numCache>
                <c:formatCode>#,##0</c:formatCode>
                <c:ptCount val="4"/>
                <c:pt idx="0">
                  <c:v>1</c:v>
                </c:pt>
                <c:pt idx="1">
                  <c:v>2</c:v>
                </c:pt>
                <c:pt idx="2">
                  <c:v>3</c:v>
                </c:pt>
                <c:pt idx="3">
                  <c:v>4</c:v>
                </c:pt>
              </c:numCache>
            </c:numRef>
          </c:cat>
          <c:val>
            <c:numRef>
              <c:f>Data_Price!$AF$7:$AI$7</c:f>
              <c:numCache>
                <c:formatCode>#,##0</c:formatCode>
                <c:ptCount val="4"/>
                <c:pt idx="0">
                  <c:v>2249</c:v>
                </c:pt>
                <c:pt idx="1">
                  <c:v>2249</c:v>
                </c:pt>
                <c:pt idx="2">
                  <c:v>2229</c:v>
                </c:pt>
                <c:pt idx="3">
                  <c:v>2249</c:v>
                </c:pt>
              </c:numCache>
            </c:numRef>
          </c:val>
          <c:smooth val="0"/>
          <c:extLst>
            <c:ext xmlns:c16="http://schemas.microsoft.com/office/drawing/2014/chart" uri="{C3380CC4-5D6E-409C-BE32-E72D297353CC}">
              <c16:uniqueId val="{00000003-08D1-A84F-86BF-4984CC13005D}"/>
            </c:ext>
          </c:extLst>
        </c:ser>
        <c:dLbls>
          <c:showLegendKey val="0"/>
          <c:showVal val="0"/>
          <c:showCatName val="0"/>
          <c:showSerName val="0"/>
          <c:showPercent val="0"/>
          <c:showBubbleSize val="0"/>
        </c:dLbls>
        <c:smooth val="0"/>
        <c:axId val="2131258848"/>
        <c:axId val="1999133088"/>
      </c:lineChart>
      <c:catAx>
        <c:axId val="2131258848"/>
        <c:scaling>
          <c:orientation val="minMax"/>
        </c:scaling>
        <c:delete val="0"/>
        <c:axPos val="b"/>
        <c:numFmt formatCode="#,##0"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9133088"/>
        <c:crosses val="autoZero"/>
        <c:auto val="1"/>
        <c:lblAlgn val="ctr"/>
        <c:lblOffset val="100"/>
        <c:noMultiLvlLbl val="0"/>
      </c:catAx>
      <c:valAx>
        <c:axId val="199913308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1258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Q9</a:t>
            </a:r>
            <a:r>
              <a:rPr lang="en-US" baseline="0"/>
              <a:t> Price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Data_Price!$AK$4</c:f>
              <c:strCache>
                <c:ptCount val="1"/>
                <c:pt idx="0">
                  <c:v>EcoBreeze</c:v>
                </c:pt>
              </c:strCache>
            </c:strRef>
          </c:tx>
          <c:spPr>
            <a:ln w="31750" cap="rnd">
              <a:solidFill>
                <a:schemeClr val="accent1"/>
              </a:solidFill>
              <a:round/>
            </a:ln>
            <a:effectLst/>
          </c:spPr>
          <c:marker>
            <c:symbol val="none"/>
          </c:marker>
          <c:cat>
            <c:numRef>
              <c:f>Data_Price!$AL$3:$AO$3</c:f>
              <c:numCache>
                <c:formatCode>#,##0</c:formatCode>
                <c:ptCount val="4"/>
                <c:pt idx="0">
                  <c:v>1</c:v>
                </c:pt>
                <c:pt idx="1">
                  <c:v>2</c:v>
                </c:pt>
                <c:pt idx="2">
                  <c:v>3</c:v>
                </c:pt>
                <c:pt idx="3">
                  <c:v>4</c:v>
                </c:pt>
              </c:numCache>
            </c:numRef>
          </c:cat>
          <c:val>
            <c:numRef>
              <c:f>Data_Price!$AL$4:$AO$4</c:f>
              <c:numCache>
                <c:formatCode>#,##0</c:formatCode>
                <c:ptCount val="4"/>
                <c:pt idx="0">
                  <c:v>2799</c:v>
                </c:pt>
                <c:pt idx="1">
                  <c:v>2599</c:v>
                </c:pt>
                <c:pt idx="2">
                  <c:v>2799</c:v>
                </c:pt>
                <c:pt idx="3">
                  <c:v>2799</c:v>
                </c:pt>
              </c:numCache>
            </c:numRef>
          </c:val>
          <c:smooth val="0"/>
          <c:extLst>
            <c:ext xmlns:c16="http://schemas.microsoft.com/office/drawing/2014/chart" uri="{C3380CC4-5D6E-409C-BE32-E72D297353CC}">
              <c16:uniqueId val="{00000000-47A5-9E4C-9B42-25FCE3D9EC3C}"/>
            </c:ext>
          </c:extLst>
        </c:ser>
        <c:ser>
          <c:idx val="1"/>
          <c:order val="1"/>
          <c:tx>
            <c:strRef>
              <c:f>Data_Price!$AK$5</c:f>
              <c:strCache>
                <c:ptCount val="1"/>
                <c:pt idx="0">
                  <c:v>EcoChill</c:v>
                </c:pt>
              </c:strCache>
            </c:strRef>
          </c:tx>
          <c:spPr>
            <a:ln w="31750" cap="rnd">
              <a:solidFill>
                <a:schemeClr val="accent2"/>
              </a:solidFill>
              <a:round/>
            </a:ln>
            <a:effectLst/>
          </c:spPr>
          <c:marker>
            <c:symbol val="none"/>
          </c:marker>
          <c:cat>
            <c:numRef>
              <c:f>Data_Price!$AL$3:$AO$3</c:f>
              <c:numCache>
                <c:formatCode>#,##0</c:formatCode>
                <c:ptCount val="4"/>
                <c:pt idx="0">
                  <c:v>1</c:v>
                </c:pt>
                <c:pt idx="1">
                  <c:v>2</c:v>
                </c:pt>
                <c:pt idx="2">
                  <c:v>3</c:v>
                </c:pt>
                <c:pt idx="3">
                  <c:v>4</c:v>
                </c:pt>
              </c:numCache>
            </c:numRef>
          </c:cat>
          <c:val>
            <c:numRef>
              <c:f>Data_Price!$AL$5:$AO$5</c:f>
              <c:numCache>
                <c:formatCode>#,##0</c:formatCode>
                <c:ptCount val="4"/>
                <c:pt idx="0">
                  <c:v>2149.98</c:v>
                </c:pt>
                <c:pt idx="1">
                  <c:v>2099</c:v>
                </c:pt>
                <c:pt idx="2">
                  <c:v>2149</c:v>
                </c:pt>
                <c:pt idx="3">
                  <c:v>2199</c:v>
                </c:pt>
              </c:numCache>
            </c:numRef>
          </c:val>
          <c:smooth val="0"/>
          <c:extLst>
            <c:ext xmlns:c16="http://schemas.microsoft.com/office/drawing/2014/chart" uri="{C3380CC4-5D6E-409C-BE32-E72D297353CC}">
              <c16:uniqueId val="{00000001-47A5-9E4C-9B42-25FCE3D9EC3C}"/>
            </c:ext>
          </c:extLst>
        </c:ser>
        <c:ser>
          <c:idx val="2"/>
          <c:order val="2"/>
          <c:tx>
            <c:strRef>
              <c:f>Data_Price!$AK$6</c:f>
              <c:strCache>
                <c:ptCount val="1"/>
                <c:pt idx="0">
                  <c:v>LOLL</c:v>
                </c:pt>
              </c:strCache>
            </c:strRef>
          </c:tx>
          <c:spPr>
            <a:ln w="31750" cap="rnd">
              <a:solidFill>
                <a:schemeClr val="accent3"/>
              </a:solidFill>
              <a:round/>
            </a:ln>
            <a:effectLst/>
          </c:spPr>
          <c:marker>
            <c:symbol val="none"/>
          </c:marker>
          <c:cat>
            <c:numRef>
              <c:f>Data_Price!$AL$3:$AO$3</c:f>
              <c:numCache>
                <c:formatCode>#,##0</c:formatCode>
                <c:ptCount val="4"/>
                <c:pt idx="0">
                  <c:v>1</c:v>
                </c:pt>
                <c:pt idx="1">
                  <c:v>2</c:v>
                </c:pt>
                <c:pt idx="2">
                  <c:v>3</c:v>
                </c:pt>
                <c:pt idx="3">
                  <c:v>4</c:v>
                </c:pt>
              </c:numCache>
            </c:numRef>
          </c:cat>
          <c:val>
            <c:numRef>
              <c:f>Data_Price!$AL$6:$AO$6</c:f>
              <c:numCache>
                <c:formatCode>#,##0</c:formatCode>
                <c:ptCount val="4"/>
                <c:pt idx="0">
                  <c:v>2799</c:v>
                </c:pt>
                <c:pt idx="1">
                  <c:v>2699</c:v>
                </c:pt>
                <c:pt idx="2">
                  <c:v>2699</c:v>
                </c:pt>
                <c:pt idx="3">
                  <c:v>2799</c:v>
                </c:pt>
              </c:numCache>
            </c:numRef>
          </c:val>
          <c:smooth val="0"/>
          <c:extLst>
            <c:ext xmlns:c16="http://schemas.microsoft.com/office/drawing/2014/chart" uri="{C3380CC4-5D6E-409C-BE32-E72D297353CC}">
              <c16:uniqueId val="{00000002-47A5-9E4C-9B42-25FCE3D9EC3C}"/>
            </c:ext>
          </c:extLst>
        </c:ser>
        <c:ser>
          <c:idx val="3"/>
          <c:order val="3"/>
          <c:tx>
            <c:strRef>
              <c:f>Data_Price!$AK$7</c:f>
              <c:strCache>
                <c:ptCount val="1"/>
                <c:pt idx="0">
                  <c:v>NorthBreeze</c:v>
                </c:pt>
              </c:strCache>
            </c:strRef>
          </c:tx>
          <c:spPr>
            <a:ln w="31750" cap="rnd">
              <a:solidFill>
                <a:schemeClr val="accent4"/>
              </a:solidFill>
              <a:round/>
            </a:ln>
            <a:effectLst/>
          </c:spPr>
          <c:marker>
            <c:symbol val="none"/>
          </c:marker>
          <c:cat>
            <c:numRef>
              <c:f>Data_Price!$AL$3:$AO$3</c:f>
              <c:numCache>
                <c:formatCode>#,##0</c:formatCode>
                <c:ptCount val="4"/>
                <c:pt idx="0">
                  <c:v>1</c:v>
                </c:pt>
                <c:pt idx="1">
                  <c:v>2</c:v>
                </c:pt>
                <c:pt idx="2">
                  <c:v>3</c:v>
                </c:pt>
                <c:pt idx="3">
                  <c:v>4</c:v>
                </c:pt>
              </c:numCache>
            </c:numRef>
          </c:cat>
          <c:val>
            <c:numRef>
              <c:f>Data_Price!$AL$7:$AO$7</c:f>
              <c:numCache>
                <c:formatCode>#,##0</c:formatCode>
                <c:ptCount val="4"/>
                <c:pt idx="0">
                  <c:v>2399</c:v>
                </c:pt>
                <c:pt idx="1">
                  <c:v>2399</c:v>
                </c:pt>
                <c:pt idx="2">
                  <c:v>2359</c:v>
                </c:pt>
                <c:pt idx="3">
                  <c:v>2399</c:v>
                </c:pt>
              </c:numCache>
            </c:numRef>
          </c:val>
          <c:smooth val="0"/>
          <c:extLst>
            <c:ext xmlns:c16="http://schemas.microsoft.com/office/drawing/2014/chart" uri="{C3380CC4-5D6E-409C-BE32-E72D297353CC}">
              <c16:uniqueId val="{00000003-47A5-9E4C-9B42-25FCE3D9EC3C}"/>
            </c:ext>
          </c:extLst>
        </c:ser>
        <c:dLbls>
          <c:showLegendKey val="0"/>
          <c:showVal val="0"/>
          <c:showCatName val="0"/>
          <c:showSerName val="0"/>
          <c:showPercent val="0"/>
          <c:showBubbleSize val="0"/>
        </c:dLbls>
        <c:smooth val="0"/>
        <c:axId val="2035546144"/>
        <c:axId val="2035547856"/>
      </c:lineChart>
      <c:catAx>
        <c:axId val="2035546144"/>
        <c:scaling>
          <c:orientation val="minMax"/>
        </c:scaling>
        <c:delete val="0"/>
        <c:axPos val="b"/>
        <c:numFmt formatCode="#,##0"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5547856"/>
        <c:crosses val="autoZero"/>
        <c:auto val="1"/>
        <c:lblAlgn val="ctr"/>
        <c:lblOffset val="100"/>
        <c:noMultiLvlLbl val="0"/>
      </c:catAx>
      <c:valAx>
        <c:axId val="203554785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35546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Q11</a:t>
            </a:r>
            <a:r>
              <a:rPr lang="en-US" baseline="0"/>
              <a:t> Price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Data_Price!$AQ$4</c:f>
              <c:strCache>
                <c:ptCount val="1"/>
                <c:pt idx="0">
                  <c:v>EcoBreeze</c:v>
                </c:pt>
              </c:strCache>
            </c:strRef>
          </c:tx>
          <c:spPr>
            <a:ln w="31750" cap="rnd">
              <a:solidFill>
                <a:schemeClr val="accent1"/>
              </a:solidFill>
              <a:round/>
            </a:ln>
            <a:effectLst/>
          </c:spPr>
          <c:marker>
            <c:symbol val="none"/>
          </c:marker>
          <c:cat>
            <c:strRef>
              <c:f>Data_Price!$AR$2:$AU$3</c:f>
              <c:strCache>
                <c:ptCount val="4"/>
                <c:pt idx="0">
                  <c:v>1</c:v>
                </c:pt>
                <c:pt idx="1">
                  <c:v>2</c:v>
                </c:pt>
                <c:pt idx="2">
                  <c:v>3</c:v>
                </c:pt>
                <c:pt idx="3">
                  <c:v>4</c:v>
                </c:pt>
              </c:strCache>
            </c:strRef>
          </c:cat>
          <c:val>
            <c:numRef>
              <c:f>Data_Price!$AR$4:$AU$4</c:f>
              <c:numCache>
                <c:formatCode>#,##0</c:formatCode>
                <c:ptCount val="4"/>
                <c:pt idx="0">
                  <c:v>2899</c:v>
                </c:pt>
                <c:pt idx="1">
                  <c:v>2599</c:v>
                </c:pt>
                <c:pt idx="2">
                  <c:v>2899</c:v>
                </c:pt>
                <c:pt idx="3">
                  <c:v>2899</c:v>
                </c:pt>
              </c:numCache>
            </c:numRef>
          </c:val>
          <c:smooth val="0"/>
          <c:extLst>
            <c:ext xmlns:c16="http://schemas.microsoft.com/office/drawing/2014/chart" uri="{C3380CC4-5D6E-409C-BE32-E72D297353CC}">
              <c16:uniqueId val="{00000000-12ED-2D4B-8E77-F41E0D68A4E5}"/>
            </c:ext>
          </c:extLst>
        </c:ser>
        <c:ser>
          <c:idx val="1"/>
          <c:order val="1"/>
          <c:tx>
            <c:strRef>
              <c:f>Data_Price!$AQ$5</c:f>
              <c:strCache>
                <c:ptCount val="1"/>
                <c:pt idx="0">
                  <c:v>EcoChill</c:v>
                </c:pt>
              </c:strCache>
            </c:strRef>
          </c:tx>
          <c:spPr>
            <a:ln w="31750" cap="rnd">
              <a:solidFill>
                <a:schemeClr val="accent2"/>
              </a:solidFill>
              <a:round/>
            </a:ln>
            <a:effectLst/>
          </c:spPr>
          <c:marker>
            <c:symbol val="none"/>
          </c:marker>
          <c:cat>
            <c:strRef>
              <c:f>Data_Price!$AR$2:$AU$3</c:f>
              <c:strCache>
                <c:ptCount val="4"/>
                <c:pt idx="0">
                  <c:v>1</c:v>
                </c:pt>
                <c:pt idx="1">
                  <c:v>2</c:v>
                </c:pt>
                <c:pt idx="2">
                  <c:v>3</c:v>
                </c:pt>
                <c:pt idx="3">
                  <c:v>4</c:v>
                </c:pt>
              </c:strCache>
            </c:strRef>
          </c:cat>
          <c:val>
            <c:numRef>
              <c:f>Data_Price!$AR$5:$AU$5</c:f>
              <c:numCache>
                <c:formatCode>#,##0</c:formatCode>
                <c:ptCount val="4"/>
                <c:pt idx="0">
                  <c:v>2249.98</c:v>
                </c:pt>
                <c:pt idx="1">
                  <c:v>2199.98</c:v>
                </c:pt>
                <c:pt idx="2">
                  <c:v>2249.98</c:v>
                </c:pt>
                <c:pt idx="3">
                  <c:v>2299.98</c:v>
                </c:pt>
              </c:numCache>
            </c:numRef>
          </c:val>
          <c:smooth val="0"/>
          <c:extLst>
            <c:ext xmlns:c16="http://schemas.microsoft.com/office/drawing/2014/chart" uri="{C3380CC4-5D6E-409C-BE32-E72D297353CC}">
              <c16:uniqueId val="{00000001-12ED-2D4B-8E77-F41E0D68A4E5}"/>
            </c:ext>
          </c:extLst>
        </c:ser>
        <c:ser>
          <c:idx val="2"/>
          <c:order val="2"/>
          <c:tx>
            <c:strRef>
              <c:f>Data_Price!$AQ$6</c:f>
              <c:strCache>
                <c:ptCount val="1"/>
                <c:pt idx="0">
                  <c:v>LOLL</c:v>
                </c:pt>
              </c:strCache>
            </c:strRef>
          </c:tx>
          <c:spPr>
            <a:ln w="31750" cap="rnd">
              <a:solidFill>
                <a:schemeClr val="accent3"/>
              </a:solidFill>
              <a:round/>
            </a:ln>
            <a:effectLst/>
          </c:spPr>
          <c:marker>
            <c:symbol val="none"/>
          </c:marker>
          <c:cat>
            <c:strRef>
              <c:f>Data_Price!$AR$2:$AU$3</c:f>
              <c:strCache>
                <c:ptCount val="4"/>
                <c:pt idx="0">
                  <c:v>1</c:v>
                </c:pt>
                <c:pt idx="1">
                  <c:v>2</c:v>
                </c:pt>
                <c:pt idx="2">
                  <c:v>3</c:v>
                </c:pt>
                <c:pt idx="3">
                  <c:v>4</c:v>
                </c:pt>
              </c:strCache>
            </c:strRef>
          </c:cat>
          <c:val>
            <c:numRef>
              <c:f>Data_Price!$AR$6:$AU$6</c:f>
              <c:numCache>
                <c:formatCode>#,##0</c:formatCode>
                <c:ptCount val="4"/>
                <c:pt idx="0">
                  <c:v>2399</c:v>
                </c:pt>
                <c:pt idx="1">
                  <c:v>2299</c:v>
                </c:pt>
                <c:pt idx="2">
                  <c:v>2299</c:v>
                </c:pt>
                <c:pt idx="3">
                  <c:v>2399</c:v>
                </c:pt>
              </c:numCache>
            </c:numRef>
          </c:val>
          <c:smooth val="0"/>
          <c:extLst>
            <c:ext xmlns:c16="http://schemas.microsoft.com/office/drawing/2014/chart" uri="{C3380CC4-5D6E-409C-BE32-E72D297353CC}">
              <c16:uniqueId val="{00000002-12ED-2D4B-8E77-F41E0D68A4E5}"/>
            </c:ext>
          </c:extLst>
        </c:ser>
        <c:ser>
          <c:idx val="3"/>
          <c:order val="3"/>
          <c:tx>
            <c:strRef>
              <c:f>Data_Price!$AQ$7</c:f>
              <c:strCache>
                <c:ptCount val="1"/>
                <c:pt idx="0">
                  <c:v>NorthBreeze</c:v>
                </c:pt>
              </c:strCache>
            </c:strRef>
          </c:tx>
          <c:spPr>
            <a:ln w="31750" cap="rnd">
              <a:solidFill>
                <a:schemeClr val="accent4"/>
              </a:solidFill>
              <a:round/>
            </a:ln>
            <a:effectLst/>
          </c:spPr>
          <c:marker>
            <c:symbol val="none"/>
          </c:marker>
          <c:cat>
            <c:strRef>
              <c:f>Data_Price!$AR$2:$AU$3</c:f>
              <c:strCache>
                <c:ptCount val="4"/>
                <c:pt idx="0">
                  <c:v>1</c:v>
                </c:pt>
                <c:pt idx="1">
                  <c:v>2</c:v>
                </c:pt>
                <c:pt idx="2">
                  <c:v>3</c:v>
                </c:pt>
                <c:pt idx="3">
                  <c:v>4</c:v>
                </c:pt>
              </c:strCache>
            </c:strRef>
          </c:cat>
          <c:val>
            <c:numRef>
              <c:f>Data_Price!$AR$7:$AU$7</c:f>
              <c:numCache>
                <c:formatCode>#,##0</c:formatCode>
                <c:ptCount val="4"/>
                <c:pt idx="0">
                  <c:v>2579</c:v>
                </c:pt>
                <c:pt idx="1">
                  <c:v>2579</c:v>
                </c:pt>
                <c:pt idx="2">
                  <c:v>2549</c:v>
                </c:pt>
                <c:pt idx="3">
                  <c:v>2579</c:v>
                </c:pt>
              </c:numCache>
            </c:numRef>
          </c:val>
          <c:smooth val="0"/>
          <c:extLst>
            <c:ext xmlns:c16="http://schemas.microsoft.com/office/drawing/2014/chart" uri="{C3380CC4-5D6E-409C-BE32-E72D297353CC}">
              <c16:uniqueId val="{00000003-12ED-2D4B-8E77-F41E0D68A4E5}"/>
            </c:ext>
          </c:extLst>
        </c:ser>
        <c:dLbls>
          <c:showLegendKey val="0"/>
          <c:showVal val="0"/>
          <c:showCatName val="0"/>
          <c:showSerName val="0"/>
          <c:showPercent val="0"/>
          <c:showBubbleSize val="0"/>
        </c:dLbls>
        <c:smooth val="0"/>
        <c:axId val="1306890464"/>
        <c:axId val="478374592"/>
      </c:lineChart>
      <c:catAx>
        <c:axId val="130689046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8374592"/>
        <c:crosses val="autoZero"/>
        <c:auto val="1"/>
        <c:lblAlgn val="ctr"/>
        <c:lblOffset val="100"/>
        <c:noMultiLvlLbl val="0"/>
      </c:catAx>
      <c:valAx>
        <c:axId val="47837459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6890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Q12</a:t>
            </a:r>
            <a:r>
              <a:rPr lang="en-US" baseline="0"/>
              <a:t> Price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Data_Price!$AW$4</c:f>
              <c:strCache>
                <c:ptCount val="1"/>
                <c:pt idx="0">
                  <c:v>EcoBreeze</c:v>
                </c:pt>
              </c:strCache>
            </c:strRef>
          </c:tx>
          <c:spPr>
            <a:ln w="31750" cap="rnd">
              <a:solidFill>
                <a:schemeClr val="accent1"/>
              </a:solidFill>
              <a:round/>
            </a:ln>
            <a:effectLst/>
          </c:spPr>
          <c:marker>
            <c:symbol val="none"/>
          </c:marker>
          <c:cat>
            <c:strRef>
              <c:f>Data_Price!$AX$2:$BA$3</c:f>
              <c:strCache>
                <c:ptCount val="4"/>
                <c:pt idx="0">
                  <c:v>1</c:v>
                </c:pt>
                <c:pt idx="1">
                  <c:v>2</c:v>
                </c:pt>
                <c:pt idx="2">
                  <c:v>3</c:v>
                </c:pt>
                <c:pt idx="3">
                  <c:v>4</c:v>
                </c:pt>
              </c:strCache>
            </c:strRef>
          </c:cat>
          <c:val>
            <c:numRef>
              <c:f>Data_Price!$AX$4:$BA$4</c:f>
              <c:numCache>
                <c:formatCode>#,##0</c:formatCode>
                <c:ptCount val="4"/>
                <c:pt idx="0">
                  <c:v>2899</c:v>
                </c:pt>
                <c:pt idx="1">
                  <c:v>2599</c:v>
                </c:pt>
                <c:pt idx="2">
                  <c:v>2899</c:v>
                </c:pt>
                <c:pt idx="3">
                  <c:v>2899</c:v>
                </c:pt>
              </c:numCache>
            </c:numRef>
          </c:val>
          <c:smooth val="0"/>
          <c:extLst>
            <c:ext xmlns:c16="http://schemas.microsoft.com/office/drawing/2014/chart" uri="{C3380CC4-5D6E-409C-BE32-E72D297353CC}">
              <c16:uniqueId val="{00000000-D9A1-C943-BB52-1093F98FF311}"/>
            </c:ext>
          </c:extLst>
        </c:ser>
        <c:ser>
          <c:idx val="1"/>
          <c:order val="1"/>
          <c:tx>
            <c:strRef>
              <c:f>Data_Price!$AW$5</c:f>
              <c:strCache>
                <c:ptCount val="1"/>
                <c:pt idx="0">
                  <c:v>EcoChill</c:v>
                </c:pt>
              </c:strCache>
            </c:strRef>
          </c:tx>
          <c:spPr>
            <a:ln w="31750" cap="rnd">
              <a:solidFill>
                <a:schemeClr val="accent2"/>
              </a:solidFill>
              <a:round/>
            </a:ln>
            <a:effectLst/>
          </c:spPr>
          <c:marker>
            <c:symbol val="none"/>
          </c:marker>
          <c:cat>
            <c:strRef>
              <c:f>Data_Price!$AX$2:$BA$3</c:f>
              <c:strCache>
                <c:ptCount val="4"/>
                <c:pt idx="0">
                  <c:v>1</c:v>
                </c:pt>
                <c:pt idx="1">
                  <c:v>2</c:v>
                </c:pt>
                <c:pt idx="2">
                  <c:v>3</c:v>
                </c:pt>
                <c:pt idx="3">
                  <c:v>4</c:v>
                </c:pt>
              </c:strCache>
            </c:strRef>
          </c:cat>
          <c:val>
            <c:numRef>
              <c:f>Data_Price!$AX$5:$BA$5</c:f>
              <c:numCache>
                <c:formatCode>#,##0</c:formatCode>
                <c:ptCount val="4"/>
                <c:pt idx="0">
                  <c:v>2050</c:v>
                </c:pt>
                <c:pt idx="1">
                  <c:v>2000</c:v>
                </c:pt>
                <c:pt idx="2">
                  <c:v>2050</c:v>
                </c:pt>
                <c:pt idx="3">
                  <c:v>2100</c:v>
                </c:pt>
              </c:numCache>
            </c:numRef>
          </c:val>
          <c:smooth val="0"/>
          <c:extLst>
            <c:ext xmlns:c16="http://schemas.microsoft.com/office/drawing/2014/chart" uri="{C3380CC4-5D6E-409C-BE32-E72D297353CC}">
              <c16:uniqueId val="{00000001-D9A1-C943-BB52-1093F98FF311}"/>
            </c:ext>
          </c:extLst>
        </c:ser>
        <c:ser>
          <c:idx val="2"/>
          <c:order val="2"/>
          <c:tx>
            <c:strRef>
              <c:f>Data_Price!$AW$6</c:f>
              <c:strCache>
                <c:ptCount val="1"/>
                <c:pt idx="0">
                  <c:v>LOLL</c:v>
                </c:pt>
              </c:strCache>
            </c:strRef>
          </c:tx>
          <c:spPr>
            <a:ln w="31750" cap="rnd">
              <a:solidFill>
                <a:schemeClr val="accent3"/>
              </a:solidFill>
              <a:round/>
            </a:ln>
            <a:effectLst/>
          </c:spPr>
          <c:marker>
            <c:symbol val="none"/>
          </c:marker>
          <c:cat>
            <c:strRef>
              <c:f>Data_Price!$AX$2:$BA$3</c:f>
              <c:strCache>
                <c:ptCount val="4"/>
                <c:pt idx="0">
                  <c:v>1</c:v>
                </c:pt>
                <c:pt idx="1">
                  <c:v>2</c:v>
                </c:pt>
                <c:pt idx="2">
                  <c:v>3</c:v>
                </c:pt>
                <c:pt idx="3">
                  <c:v>4</c:v>
                </c:pt>
              </c:strCache>
            </c:strRef>
          </c:cat>
          <c:val>
            <c:numRef>
              <c:f>Data_Price!$AX$6:$BA$6</c:f>
              <c:numCache>
                <c:formatCode>#,##0</c:formatCode>
                <c:ptCount val="4"/>
                <c:pt idx="0">
                  <c:v>2399</c:v>
                </c:pt>
                <c:pt idx="1">
                  <c:v>2299</c:v>
                </c:pt>
                <c:pt idx="2">
                  <c:v>2299</c:v>
                </c:pt>
                <c:pt idx="3">
                  <c:v>2399</c:v>
                </c:pt>
              </c:numCache>
            </c:numRef>
          </c:val>
          <c:smooth val="0"/>
          <c:extLst>
            <c:ext xmlns:c16="http://schemas.microsoft.com/office/drawing/2014/chart" uri="{C3380CC4-5D6E-409C-BE32-E72D297353CC}">
              <c16:uniqueId val="{00000002-D9A1-C943-BB52-1093F98FF311}"/>
            </c:ext>
          </c:extLst>
        </c:ser>
        <c:ser>
          <c:idx val="3"/>
          <c:order val="3"/>
          <c:tx>
            <c:strRef>
              <c:f>Data_Price!$AW$7</c:f>
              <c:strCache>
                <c:ptCount val="1"/>
                <c:pt idx="0">
                  <c:v>NorthBreeze</c:v>
                </c:pt>
              </c:strCache>
            </c:strRef>
          </c:tx>
          <c:spPr>
            <a:ln w="31750" cap="rnd">
              <a:solidFill>
                <a:schemeClr val="accent4"/>
              </a:solidFill>
              <a:round/>
            </a:ln>
            <a:effectLst/>
          </c:spPr>
          <c:marker>
            <c:symbol val="none"/>
          </c:marker>
          <c:cat>
            <c:strRef>
              <c:f>Data_Price!$AX$2:$BA$3</c:f>
              <c:strCache>
                <c:ptCount val="4"/>
                <c:pt idx="0">
                  <c:v>1</c:v>
                </c:pt>
                <c:pt idx="1">
                  <c:v>2</c:v>
                </c:pt>
                <c:pt idx="2">
                  <c:v>3</c:v>
                </c:pt>
                <c:pt idx="3">
                  <c:v>4</c:v>
                </c:pt>
              </c:strCache>
            </c:strRef>
          </c:cat>
          <c:val>
            <c:numRef>
              <c:f>Data_Price!$AX$7:$BA$7</c:f>
              <c:numCache>
                <c:formatCode>#,##0</c:formatCode>
                <c:ptCount val="4"/>
                <c:pt idx="0">
                  <c:v>2799</c:v>
                </c:pt>
                <c:pt idx="1">
                  <c:v>2799</c:v>
                </c:pt>
                <c:pt idx="2">
                  <c:v>2799</c:v>
                </c:pt>
                <c:pt idx="3">
                  <c:v>2799</c:v>
                </c:pt>
              </c:numCache>
            </c:numRef>
          </c:val>
          <c:smooth val="0"/>
          <c:extLst>
            <c:ext xmlns:c16="http://schemas.microsoft.com/office/drawing/2014/chart" uri="{C3380CC4-5D6E-409C-BE32-E72D297353CC}">
              <c16:uniqueId val="{00000003-D9A1-C943-BB52-1093F98FF311}"/>
            </c:ext>
          </c:extLst>
        </c:ser>
        <c:dLbls>
          <c:showLegendKey val="0"/>
          <c:showVal val="0"/>
          <c:showCatName val="0"/>
          <c:showSerName val="0"/>
          <c:showPercent val="0"/>
          <c:showBubbleSize val="0"/>
        </c:dLbls>
        <c:smooth val="0"/>
        <c:axId val="457459696"/>
        <c:axId val="457687184"/>
      </c:lineChart>
      <c:catAx>
        <c:axId val="45745969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7687184"/>
        <c:crosses val="autoZero"/>
        <c:auto val="1"/>
        <c:lblAlgn val="ctr"/>
        <c:lblOffset val="100"/>
        <c:noMultiLvlLbl val="0"/>
      </c:catAx>
      <c:valAx>
        <c:axId val="45768718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7459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a:t>Cash In, Cash Out &amp; Opening Balance by Quarter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Data_CashFlows!$A$3</c:f>
              <c:strCache>
                <c:ptCount val="1"/>
                <c:pt idx="0">
                  <c:v>Initial Balance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val>
            <c:numRef>
              <c:f>Data_CashFlows!$B$3:$L$3</c:f>
              <c:numCache>
                <c:formatCode>_("$"* #,##0_);_("$"* \(#,##0\);_("$"* "-"??_);_(@_)</c:formatCode>
                <c:ptCount val="11"/>
                <c:pt idx="0">
                  <c:v>3200000</c:v>
                </c:pt>
                <c:pt idx="1">
                  <c:v>437085.64</c:v>
                </c:pt>
                <c:pt idx="2">
                  <c:v>100000</c:v>
                </c:pt>
                <c:pt idx="3">
                  <c:v>100000</c:v>
                </c:pt>
                <c:pt idx="4">
                  <c:v>100000</c:v>
                </c:pt>
                <c:pt idx="5">
                  <c:v>214828.04</c:v>
                </c:pt>
                <c:pt idx="6">
                  <c:v>348702.4</c:v>
                </c:pt>
                <c:pt idx="7">
                  <c:v>592772.49</c:v>
                </c:pt>
                <c:pt idx="8">
                  <c:v>215682.39</c:v>
                </c:pt>
                <c:pt idx="9">
                  <c:v>660900.91</c:v>
                </c:pt>
                <c:pt idx="10">
                  <c:v>1412002.73</c:v>
                </c:pt>
              </c:numCache>
            </c:numRef>
          </c:val>
          <c:extLst>
            <c:ext xmlns:c16="http://schemas.microsoft.com/office/drawing/2014/chart" uri="{C3380CC4-5D6E-409C-BE32-E72D297353CC}">
              <c16:uniqueId val="{00000000-07B3-384A-BCF2-C2D6B678085D}"/>
            </c:ext>
          </c:extLst>
        </c:ser>
        <c:ser>
          <c:idx val="1"/>
          <c:order val="1"/>
          <c:tx>
            <c:strRef>
              <c:f>Data_CashFlows!$A$12</c:f>
              <c:strCache>
                <c:ptCount val="1"/>
                <c:pt idx="0">
                  <c:v>TOTAL INCOME (INC LOAN)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val>
            <c:numRef>
              <c:f>Data_CashFlows!$B$12:$L$12</c:f>
              <c:numCache>
                <c:formatCode>_(* #,##0_);_(* \(#,##0\);_(* "-"??_);_(@_)</c:formatCode>
                <c:ptCount val="11"/>
                <c:pt idx="0">
                  <c:v>0</c:v>
                </c:pt>
                <c:pt idx="1">
                  <c:v>1545641.6400000001</c:v>
                </c:pt>
                <c:pt idx="2">
                  <c:v>2323112</c:v>
                </c:pt>
                <c:pt idx="3">
                  <c:v>1786105</c:v>
                </c:pt>
                <c:pt idx="4">
                  <c:v>3589303</c:v>
                </c:pt>
                <c:pt idx="5">
                  <c:v>2768851.04</c:v>
                </c:pt>
                <c:pt idx="6">
                  <c:v>3616316</c:v>
                </c:pt>
                <c:pt idx="7">
                  <c:v>2792036</c:v>
                </c:pt>
                <c:pt idx="8">
                  <c:v>4158295</c:v>
                </c:pt>
                <c:pt idx="9">
                  <c:v>4562295</c:v>
                </c:pt>
                <c:pt idx="10">
                  <c:v>5265050</c:v>
                </c:pt>
              </c:numCache>
            </c:numRef>
          </c:val>
          <c:extLst>
            <c:ext xmlns:c16="http://schemas.microsoft.com/office/drawing/2014/chart" uri="{C3380CC4-5D6E-409C-BE32-E72D297353CC}">
              <c16:uniqueId val="{00000001-07B3-384A-BCF2-C2D6B678085D}"/>
            </c:ext>
          </c:extLst>
        </c:ser>
        <c:ser>
          <c:idx val="2"/>
          <c:order val="2"/>
          <c:tx>
            <c:strRef>
              <c:f>Data_CashFlows!$A$22</c:f>
              <c:strCache>
                <c:ptCount val="1"/>
                <c:pt idx="0">
                  <c:v>TOTAL PAYMENT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val>
            <c:numRef>
              <c:f>Data_CashFlows!$B$22:$L$22</c:f>
              <c:numCache>
                <c:formatCode>_(* #,##0_);_(* \(#,##0\);_(* "-"??_);_(@_)</c:formatCode>
                <c:ptCount val="11"/>
                <c:pt idx="0">
                  <c:v>2762914.36</c:v>
                </c:pt>
                <c:pt idx="1">
                  <c:v>1606475.6</c:v>
                </c:pt>
                <c:pt idx="2">
                  <c:v>2602761.48</c:v>
                </c:pt>
                <c:pt idx="3">
                  <c:v>2658687.67</c:v>
                </c:pt>
                <c:pt idx="4">
                  <c:v>3374474.96</c:v>
                </c:pt>
                <c:pt idx="5">
                  <c:v>2420148.6399999997</c:v>
                </c:pt>
                <c:pt idx="6">
                  <c:v>3372245.91</c:v>
                </c:pt>
                <c:pt idx="7">
                  <c:v>3169126.1</c:v>
                </c:pt>
                <c:pt idx="8">
                  <c:v>3713076.48</c:v>
                </c:pt>
                <c:pt idx="9">
                  <c:v>3811193.18</c:v>
                </c:pt>
                <c:pt idx="10">
                  <c:v>3792331.07</c:v>
                </c:pt>
              </c:numCache>
            </c:numRef>
          </c:val>
          <c:extLst>
            <c:ext xmlns:c16="http://schemas.microsoft.com/office/drawing/2014/chart" uri="{C3380CC4-5D6E-409C-BE32-E72D297353CC}">
              <c16:uniqueId val="{00000002-07B3-384A-BCF2-C2D6B678085D}"/>
            </c:ext>
          </c:extLst>
        </c:ser>
        <c:dLbls>
          <c:showLegendKey val="0"/>
          <c:showVal val="0"/>
          <c:showCatName val="0"/>
          <c:showSerName val="0"/>
          <c:showPercent val="0"/>
          <c:showBubbleSize val="0"/>
        </c:dLbls>
        <c:gapWidth val="100"/>
        <c:overlap val="-24"/>
        <c:axId val="2121219152"/>
        <c:axId val="662308224"/>
      </c:barChart>
      <c:catAx>
        <c:axId val="21212191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Quarter</a:t>
                </a:r>
              </a:p>
            </c:rich>
          </c:tx>
          <c:layout>
            <c:manualLayout>
              <c:xMode val="edge"/>
              <c:yMode val="edge"/>
              <c:x val="0.50996552250592841"/>
              <c:y val="0.890866376635130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2308224"/>
        <c:crosses val="autoZero"/>
        <c:auto val="1"/>
        <c:lblAlgn val="ctr"/>
        <c:lblOffset val="100"/>
        <c:noMultiLvlLbl val="0"/>
      </c:catAx>
      <c:valAx>
        <c:axId val="662308224"/>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121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Data_CashFlows!$A$29</c:f>
              <c:strCache>
                <c:ptCount val="1"/>
                <c:pt idx="0">
                  <c:v>Initial Balance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val>
            <c:numRef>
              <c:f>Data_CashFlows!$B$29:$M$29</c:f>
              <c:numCache>
                <c:formatCode>_(* #,##0_);_(* \(#,##0\);_(* "-"??_);_(@_)</c:formatCode>
                <c:ptCount val="12"/>
                <c:pt idx="0">
                  <c:v>3200000</c:v>
                </c:pt>
                <c:pt idx="1">
                  <c:v>437085.64</c:v>
                </c:pt>
                <c:pt idx="2">
                  <c:v>100000</c:v>
                </c:pt>
                <c:pt idx="3">
                  <c:v>100000</c:v>
                </c:pt>
                <c:pt idx="4">
                  <c:v>100000</c:v>
                </c:pt>
                <c:pt idx="5">
                  <c:v>214828.04</c:v>
                </c:pt>
                <c:pt idx="6">
                  <c:v>348702.4</c:v>
                </c:pt>
                <c:pt idx="7">
                  <c:v>592772.49</c:v>
                </c:pt>
                <c:pt idx="8">
                  <c:v>215682.39</c:v>
                </c:pt>
                <c:pt idx="9">
                  <c:v>660900.91</c:v>
                </c:pt>
                <c:pt idx="10">
                  <c:v>1412002.73</c:v>
                </c:pt>
                <c:pt idx="11">
                  <c:v>2884721.66</c:v>
                </c:pt>
              </c:numCache>
            </c:numRef>
          </c:val>
          <c:extLst>
            <c:ext xmlns:c16="http://schemas.microsoft.com/office/drawing/2014/chart" uri="{C3380CC4-5D6E-409C-BE32-E72D297353CC}">
              <c16:uniqueId val="{00000000-FE14-E343-A826-7F328CBF10BC}"/>
            </c:ext>
          </c:extLst>
        </c:ser>
        <c:dLbls>
          <c:showLegendKey val="0"/>
          <c:showVal val="0"/>
          <c:showCatName val="0"/>
          <c:showSerName val="0"/>
          <c:showPercent val="0"/>
          <c:showBubbleSize val="0"/>
        </c:dLbls>
        <c:gapWidth val="100"/>
        <c:overlap val="-24"/>
        <c:axId val="1968446720"/>
        <c:axId val="1454240928"/>
      </c:barChart>
      <c:catAx>
        <c:axId val="19684467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4240928"/>
        <c:crosses val="autoZero"/>
        <c:auto val="1"/>
        <c:lblAlgn val="ctr"/>
        <c:lblOffset val="100"/>
        <c:noMultiLvlLbl val="0"/>
      </c:catAx>
      <c:valAx>
        <c:axId val="1454240928"/>
        <c:scaling>
          <c:orientation val="minMax"/>
        </c:scaling>
        <c:delete val="0"/>
        <c:axPos val="l"/>
        <c:majorGridlines>
          <c:spPr>
            <a:ln w="9525" cap="flat" cmpd="sng" algn="ctr">
              <a:solidFill>
                <a:schemeClr val="tx2">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8446720"/>
        <c:crosses val="autoZero"/>
        <c:crossBetween val="between"/>
      </c:valAx>
      <c:spPr>
        <a:noFill/>
        <a:ln>
          <a:noFill/>
        </a:ln>
        <a:effectLst/>
      </c:spPr>
    </c:plotArea>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Data_CashFlows!$A$30</c:f>
              <c:strCache>
                <c:ptCount val="1"/>
                <c:pt idx="0">
                  <c:v>Quarter Final Balance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val>
            <c:numRef>
              <c:f>Data_CashFlows!$B$30:$M$30</c:f>
              <c:numCache>
                <c:formatCode>_("$"* #,##0_);_("$"* \(#,##0\);_("$"* "-"??_);_(@_)</c:formatCode>
                <c:ptCount val="12"/>
                <c:pt idx="0">
                  <c:v>437085.64000000013</c:v>
                </c:pt>
                <c:pt idx="1">
                  <c:v>-60833.959999999963</c:v>
                </c:pt>
                <c:pt idx="2">
                  <c:v>-279649.48</c:v>
                </c:pt>
                <c:pt idx="3">
                  <c:v>-872582.67</c:v>
                </c:pt>
                <c:pt idx="4">
                  <c:v>214828.04</c:v>
                </c:pt>
                <c:pt idx="5">
                  <c:v>348702.4</c:v>
                </c:pt>
                <c:pt idx="6">
                  <c:v>592772.49</c:v>
                </c:pt>
                <c:pt idx="7">
                  <c:v>215682.39</c:v>
                </c:pt>
                <c:pt idx="8">
                  <c:v>660900.91</c:v>
                </c:pt>
                <c:pt idx="9">
                  <c:v>1412002.73</c:v>
                </c:pt>
                <c:pt idx="10">
                  <c:v>2884721.66</c:v>
                </c:pt>
                <c:pt idx="11">
                  <c:v>3799741.7</c:v>
                </c:pt>
              </c:numCache>
            </c:numRef>
          </c:val>
          <c:extLst>
            <c:ext xmlns:c16="http://schemas.microsoft.com/office/drawing/2014/chart" uri="{C3380CC4-5D6E-409C-BE32-E72D297353CC}">
              <c16:uniqueId val="{00000000-5173-4B47-B2B6-5557F15B6FC3}"/>
            </c:ext>
          </c:extLst>
        </c:ser>
        <c:dLbls>
          <c:showLegendKey val="0"/>
          <c:showVal val="0"/>
          <c:showCatName val="0"/>
          <c:showSerName val="0"/>
          <c:showPercent val="0"/>
          <c:showBubbleSize val="0"/>
        </c:dLbls>
        <c:gapWidth val="100"/>
        <c:overlap val="-24"/>
        <c:axId val="1776651008"/>
        <c:axId val="46712383"/>
      </c:barChart>
      <c:catAx>
        <c:axId val="17766510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712383"/>
        <c:crosses val="autoZero"/>
        <c:auto val="1"/>
        <c:lblAlgn val="ctr"/>
        <c:lblOffset val="100"/>
        <c:noMultiLvlLbl val="0"/>
      </c:catAx>
      <c:valAx>
        <c:axId val="46712383"/>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76651008"/>
        <c:crosses val="autoZero"/>
        <c:crossBetween val="between"/>
      </c:valAx>
      <c:spPr>
        <a:noFill/>
        <a:ln>
          <a:noFill/>
        </a:ln>
        <a:effectLst/>
      </c:spPr>
    </c:plotArea>
    <c:plotVisOnly val="1"/>
    <c:dispBlanksAs val="gap"/>
    <c:showDLblsOverMax val="0"/>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Data_IncomeStatement!$A$2</c:f>
              <c:strCache>
                <c:ptCount val="1"/>
                <c:pt idx="0">
                  <c:v>Sales Income</c:v>
                </c:pt>
              </c:strCache>
            </c:strRef>
          </c:tx>
          <c:spPr>
            <a:ln w="31750" cap="rnd">
              <a:solidFill>
                <a:schemeClr val="accent1"/>
              </a:solidFill>
              <a:round/>
            </a:ln>
            <a:effectLst/>
          </c:spPr>
          <c:marker>
            <c:symbol val="none"/>
          </c:marker>
          <c:cat>
            <c:numRef>
              <c:f>Data_IncomeStatement!$B$1:$M$1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Data_IncomeStatement!$B$2:$M$2</c:f>
              <c:numCache>
                <c:formatCode>"$"#,##0.00</c:formatCode>
                <c:ptCount val="12"/>
                <c:pt idx="0">
                  <c:v>0</c:v>
                </c:pt>
                <c:pt idx="1">
                  <c:v>798556</c:v>
                </c:pt>
                <c:pt idx="2">
                  <c:v>1923112</c:v>
                </c:pt>
                <c:pt idx="3">
                  <c:v>1686105</c:v>
                </c:pt>
                <c:pt idx="4">
                  <c:v>3489303</c:v>
                </c:pt>
                <c:pt idx="5" formatCode="#,##0.00">
                  <c:v>2554023</c:v>
                </c:pt>
                <c:pt idx="6" formatCode="#,##0.00">
                  <c:v>3616316</c:v>
                </c:pt>
                <c:pt idx="7" formatCode="#,##0.00">
                  <c:v>2792036</c:v>
                </c:pt>
                <c:pt idx="8" formatCode="#,##0.00">
                  <c:v>4158295</c:v>
                </c:pt>
                <c:pt idx="9" formatCode="#,##0.00">
                  <c:v>4562295</c:v>
                </c:pt>
                <c:pt idx="10" formatCode="#,##0.00">
                  <c:v>5265050</c:v>
                </c:pt>
                <c:pt idx="11" formatCode="#,##0.00">
                  <c:v>3728892</c:v>
                </c:pt>
              </c:numCache>
            </c:numRef>
          </c:val>
          <c:smooth val="0"/>
          <c:extLst>
            <c:ext xmlns:c16="http://schemas.microsoft.com/office/drawing/2014/chart" uri="{C3380CC4-5D6E-409C-BE32-E72D297353CC}">
              <c16:uniqueId val="{00000000-805A-224A-8947-23DCC0D98A90}"/>
            </c:ext>
          </c:extLst>
        </c:ser>
        <c:dLbls>
          <c:showLegendKey val="0"/>
          <c:showVal val="0"/>
          <c:showCatName val="0"/>
          <c:showSerName val="0"/>
          <c:showPercent val="0"/>
          <c:showBubbleSize val="0"/>
        </c:dLbls>
        <c:smooth val="0"/>
        <c:axId val="2117790895"/>
        <c:axId val="489500320"/>
      </c:lineChart>
      <c:catAx>
        <c:axId val="211779089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9500320"/>
        <c:crosses val="autoZero"/>
        <c:auto val="1"/>
        <c:lblAlgn val="ctr"/>
        <c:lblOffset val="100"/>
        <c:noMultiLvlLbl val="0"/>
      </c:catAx>
      <c:valAx>
        <c:axId val="489500320"/>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7790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Data_IncomeStatement!$A$4</c:f>
              <c:strCache>
                <c:ptCount val="1"/>
                <c:pt idx="0">
                  <c:v>Gross Profit and Loss</c:v>
                </c:pt>
              </c:strCache>
            </c:strRef>
          </c:tx>
          <c:spPr>
            <a:ln w="31750" cap="rnd">
              <a:solidFill>
                <a:schemeClr val="accent1"/>
              </a:solidFill>
              <a:round/>
            </a:ln>
            <a:effectLst/>
          </c:spPr>
          <c:marker>
            <c:symbol val="none"/>
          </c:marker>
          <c:val>
            <c:numRef>
              <c:f>Data_IncomeStatement!$B$4:$M$4</c:f>
              <c:numCache>
                <c:formatCode>"$"#,##0.00</c:formatCode>
                <c:ptCount val="12"/>
                <c:pt idx="0">
                  <c:v>0</c:v>
                </c:pt>
                <c:pt idx="1">
                  <c:v>375270.1</c:v>
                </c:pt>
                <c:pt idx="2">
                  <c:v>878063.22</c:v>
                </c:pt>
                <c:pt idx="3">
                  <c:v>894554.03</c:v>
                </c:pt>
                <c:pt idx="4">
                  <c:v>2044769.95</c:v>
                </c:pt>
                <c:pt idx="5" formatCode="#,##0.00">
                  <c:v>1557964.2</c:v>
                </c:pt>
                <c:pt idx="6" formatCode="#,##0.00">
                  <c:v>2259214.79</c:v>
                </c:pt>
                <c:pt idx="7" formatCode="#,##0.00">
                  <c:v>1758911.38</c:v>
                </c:pt>
                <c:pt idx="8" formatCode="#,##0.00">
                  <c:v>2582495.9900000002</c:v>
                </c:pt>
                <c:pt idx="9" formatCode="#,##0.00">
                  <c:v>2800386.9749999996</c:v>
                </c:pt>
                <c:pt idx="10" formatCode="#,##0.00">
                  <c:v>3299619.24</c:v>
                </c:pt>
                <c:pt idx="11" formatCode="#,##0.00">
                  <c:v>2338102.87</c:v>
                </c:pt>
              </c:numCache>
            </c:numRef>
          </c:val>
          <c:smooth val="0"/>
          <c:extLst>
            <c:ext xmlns:c16="http://schemas.microsoft.com/office/drawing/2014/chart" uri="{C3380CC4-5D6E-409C-BE32-E72D297353CC}">
              <c16:uniqueId val="{00000000-0B59-0741-A8E9-0DC217F4FB95}"/>
            </c:ext>
          </c:extLst>
        </c:ser>
        <c:dLbls>
          <c:showLegendKey val="0"/>
          <c:showVal val="0"/>
          <c:showCatName val="0"/>
          <c:showSerName val="0"/>
          <c:showPercent val="0"/>
          <c:showBubbleSize val="0"/>
        </c:dLbls>
        <c:smooth val="0"/>
        <c:axId val="623119168"/>
        <c:axId val="623333792"/>
      </c:lineChart>
      <c:catAx>
        <c:axId val="62311916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3333792"/>
        <c:crosses val="autoZero"/>
        <c:auto val="1"/>
        <c:lblAlgn val="ctr"/>
        <c:lblOffset val="100"/>
        <c:noMultiLvlLbl val="0"/>
      </c:catAx>
      <c:valAx>
        <c:axId val="623333792"/>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3119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Data_IncomeStatement!$A$28</c:f>
              <c:strCache>
                <c:ptCount val="1"/>
                <c:pt idx="0">
                  <c:v>NET PROFIT / LOSS</c:v>
                </c:pt>
              </c:strCache>
            </c:strRef>
          </c:tx>
          <c:spPr>
            <a:ln w="31750" cap="rnd">
              <a:solidFill>
                <a:schemeClr val="accent1"/>
              </a:solidFill>
              <a:round/>
            </a:ln>
            <a:effectLst/>
          </c:spPr>
          <c:marker>
            <c:symbol val="none"/>
          </c:marker>
          <c:val>
            <c:numRef>
              <c:f>Data_IncomeStatement!$B$28:$M$28</c:f>
              <c:numCache>
                <c:formatCode>"$"#,##0.00</c:formatCode>
                <c:ptCount val="12"/>
                <c:pt idx="0">
                  <c:v>-706786.36</c:v>
                </c:pt>
                <c:pt idx="1">
                  <c:v>-499845.76160000009</c:v>
                </c:pt>
                <c:pt idx="2">
                  <c:v>-175590.33639999991</c:v>
                </c:pt>
                <c:pt idx="3">
                  <c:v>-193441.46479999996</c:v>
                </c:pt>
                <c:pt idx="4">
                  <c:v>620597.27</c:v>
                </c:pt>
                <c:pt idx="5" formatCode="#,##0.00">
                  <c:v>363502.27934000001</c:v>
                </c:pt>
                <c:pt idx="6" formatCode="#,##0.00">
                  <c:v>325046.33250000014</c:v>
                </c:pt>
                <c:pt idx="7" formatCode="#,##0.00">
                  <c:v>-89853.060400000075</c:v>
                </c:pt>
                <c:pt idx="8" formatCode="#,##0.00">
                  <c:v>470345.46510000015</c:v>
                </c:pt>
                <c:pt idx="9" formatCode="#,##0.00">
                  <c:v>724813.27278999961</c:v>
                </c:pt>
                <c:pt idx="10" formatCode="#,##0.00">
                  <c:v>1088371.4661500002</c:v>
                </c:pt>
                <c:pt idx="11" formatCode="#,##0.00">
                  <c:v>309202.76872000011</c:v>
                </c:pt>
              </c:numCache>
            </c:numRef>
          </c:val>
          <c:smooth val="0"/>
          <c:extLst>
            <c:ext xmlns:c16="http://schemas.microsoft.com/office/drawing/2014/chart" uri="{C3380CC4-5D6E-409C-BE32-E72D297353CC}">
              <c16:uniqueId val="{00000000-3A3E-974C-B21C-2932B09A9CBA}"/>
            </c:ext>
          </c:extLst>
        </c:ser>
        <c:dLbls>
          <c:showLegendKey val="0"/>
          <c:showVal val="0"/>
          <c:showCatName val="0"/>
          <c:showSerName val="0"/>
          <c:showPercent val="0"/>
          <c:showBubbleSize val="0"/>
        </c:dLbls>
        <c:smooth val="0"/>
        <c:axId val="119736160"/>
        <c:axId val="1995600703"/>
      </c:lineChart>
      <c:catAx>
        <c:axId val="1197361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5600703"/>
        <c:crosses val="autoZero"/>
        <c:auto val="1"/>
        <c:lblAlgn val="ctr"/>
        <c:lblOffset val="100"/>
        <c:noMultiLvlLbl val="0"/>
      </c:catAx>
      <c:valAx>
        <c:axId val="1995600703"/>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736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Data_IncomeStatement!$A$33</c:f>
              <c:strCache>
                <c:ptCount val="1"/>
                <c:pt idx="0">
                  <c:v>PROFIT AND LOSS STATEMENT RESULTS</c:v>
                </c:pt>
              </c:strCache>
            </c:strRef>
          </c:tx>
          <c:spPr>
            <a:ln w="31750" cap="rnd">
              <a:solidFill>
                <a:schemeClr val="accent1"/>
              </a:solidFill>
              <a:round/>
            </a:ln>
            <a:effectLst/>
          </c:spPr>
          <c:marker>
            <c:symbol val="none"/>
          </c:marker>
          <c:val>
            <c:numRef>
              <c:f>Data_IncomeStatement!$B$33:$M$33</c:f>
              <c:numCache>
                <c:formatCode>"$"#,##0.00</c:formatCode>
                <c:ptCount val="12"/>
                <c:pt idx="0">
                  <c:v>-706786.36</c:v>
                </c:pt>
                <c:pt idx="1">
                  <c:v>-1206632.1216000002</c:v>
                </c:pt>
                <c:pt idx="2">
                  <c:v>-1382222.4580000001</c:v>
                </c:pt>
                <c:pt idx="3">
                  <c:v>-1575663.9228000001</c:v>
                </c:pt>
                <c:pt idx="4">
                  <c:v>-955066.65</c:v>
                </c:pt>
                <c:pt idx="5" formatCode="#,##0.00">
                  <c:v>-591564.37066000002</c:v>
                </c:pt>
                <c:pt idx="6" formatCode="#,##0.00">
                  <c:v>-266518.03815999988</c:v>
                </c:pt>
                <c:pt idx="7" formatCode="#,##0.00">
                  <c:v>-356371.09855999995</c:v>
                </c:pt>
                <c:pt idx="8" formatCode="#,##0.00">
                  <c:v>113974.36654000019</c:v>
                </c:pt>
                <c:pt idx="9" formatCode="#,##0.00">
                  <c:v>838787.6393299998</c:v>
                </c:pt>
                <c:pt idx="10" formatCode="#,##0.00">
                  <c:v>1927159.1054799999</c:v>
                </c:pt>
                <c:pt idx="11" formatCode="#,##0.00">
                  <c:v>2236361.8742</c:v>
                </c:pt>
              </c:numCache>
            </c:numRef>
          </c:val>
          <c:smooth val="0"/>
          <c:extLst>
            <c:ext xmlns:c16="http://schemas.microsoft.com/office/drawing/2014/chart" uri="{C3380CC4-5D6E-409C-BE32-E72D297353CC}">
              <c16:uniqueId val="{00000000-9629-4941-9125-C415BDAB3D0C}"/>
            </c:ext>
          </c:extLst>
        </c:ser>
        <c:dLbls>
          <c:showLegendKey val="0"/>
          <c:showVal val="0"/>
          <c:showCatName val="0"/>
          <c:showSerName val="0"/>
          <c:showPercent val="0"/>
          <c:showBubbleSize val="0"/>
        </c:dLbls>
        <c:smooth val="0"/>
        <c:axId val="1941674447"/>
        <c:axId val="813571520"/>
      </c:lineChart>
      <c:catAx>
        <c:axId val="194167444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3571520"/>
        <c:crosses val="autoZero"/>
        <c:auto val="1"/>
        <c:lblAlgn val="ctr"/>
        <c:lblOffset val="100"/>
        <c:noMultiLvlLbl val="0"/>
      </c:catAx>
      <c:valAx>
        <c:axId val="813571520"/>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16744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 Id="rId9" Type="http://schemas.openxmlformats.org/officeDocument/2006/relationships/chart" Target="../charts/chart2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chart" Target="../charts/chart34.xml"/></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A657694C-63FF-4744-BDC8-ABF8ADAD5C46}"/>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2</xdr:col>
      <xdr:colOff>525960</xdr:colOff>
      <xdr:row>0</xdr:row>
      <xdr:rowOff>271367</xdr:rowOff>
    </xdr:from>
    <xdr:to>
      <xdr:col>12</xdr:col>
      <xdr:colOff>973361</xdr:colOff>
      <xdr:row>11</xdr:row>
      <xdr:rowOff>54273</xdr:rowOff>
    </xdr:to>
    <xdr:sp macro="" textlink="">
      <xdr:nvSpPr>
        <xdr:cNvPr id="3" name="TextBox 2">
          <a:extLst>
            <a:ext uri="{FF2B5EF4-FFF2-40B4-BE49-F238E27FC236}">
              <a16:creationId xmlns:a16="http://schemas.microsoft.com/office/drawing/2014/main" id="{95EA8F54-EE94-F344-BC0C-E39F4694BBFD}"/>
            </a:ext>
          </a:extLst>
        </xdr:cNvPr>
        <xdr:cNvSpPr txBox="1"/>
      </xdr:nvSpPr>
      <xdr:spPr>
        <a:xfrm>
          <a:off x="3500148" y="271367"/>
          <a:ext cx="12745777" cy="2149231"/>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 summary/reflection</a:t>
          </a:r>
        </a:p>
        <a:p>
          <a:endParaRPr lang="en-US" sz="1100" baseline="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C420DBCD-F3AA-D440-A600-1AC96BB5AAA4}"/>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43A9DCB0-4C60-2F41-92EE-83EED9E6C62A}"/>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731212</xdr:colOff>
      <xdr:row>12</xdr:row>
      <xdr:rowOff>50799</xdr:rowOff>
    </xdr:from>
    <xdr:to>
      <xdr:col>23</xdr:col>
      <xdr:colOff>50800</xdr:colOff>
      <xdr:row>27</xdr:row>
      <xdr:rowOff>19242</xdr:rowOff>
    </xdr:to>
    <xdr:graphicFrame macro="">
      <xdr:nvGraphicFramePr>
        <xdr:cNvPr id="11" name="Chart 2">
          <a:extLst>
            <a:ext uri="{FF2B5EF4-FFF2-40B4-BE49-F238E27FC236}">
              <a16:creationId xmlns:a16="http://schemas.microsoft.com/office/drawing/2014/main" id="{09425DF1-D995-904F-918C-E3FE0132D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495609</xdr:colOff>
      <xdr:row>12</xdr:row>
      <xdr:rowOff>50800</xdr:rowOff>
    </xdr:from>
    <xdr:to>
      <xdr:col>30</xdr:col>
      <xdr:colOff>38485</xdr:colOff>
      <xdr:row>27</xdr:row>
      <xdr:rowOff>0</xdr:rowOff>
    </xdr:to>
    <xdr:graphicFrame macro="">
      <xdr:nvGraphicFramePr>
        <xdr:cNvPr id="9" name="Chart 3">
          <a:extLst>
            <a:ext uri="{FF2B5EF4-FFF2-40B4-BE49-F238E27FC236}">
              <a16:creationId xmlns:a16="http://schemas.microsoft.com/office/drawing/2014/main" id="{C7EA8B31-E355-A445-8126-DB20D0600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751759</xdr:colOff>
      <xdr:row>28</xdr:row>
      <xdr:rowOff>197511</xdr:rowOff>
    </xdr:from>
    <xdr:to>
      <xdr:col>23</xdr:col>
      <xdr:colOff>38485</xdr:colOff>
      <xdr:row>44</xdr:row>
      <xdr:rowOff>153938</xdr:rowOff>
    </xdr:to>
    <xdr:graphicFrame macro="">
      <xdr:nvGraphicFramePr>
        <xdr:cNvPr id="27" name="Chart 4">
          <a:extLst>
            <a:ext uri="{FF2B5EF4-FFF2-40B4-BE49-F238E27FC236}">
              <a16:creationId xmlns:a16="http://schemas.microsoft.com/office/drawing/2014/main" id="{A5598881-1B19-7D45-AAF7-0DB950129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464634</xdr:colOff>
      <xdr:row>28</xdr:row>
      <xdr:rowOff>202609</xdr:rowOff>
    </xdr:from>
    <xdr:to>
      <xdr:col>30</xdr:col>
      <xdr:colOff>0</xdr:colOff>
      <xdr:row>44</xdr:row>
      <xdr:rowOff>192424</xdr:rowOff>
    </xdr:to>
    <xdr:graphicFrame macro="">
      <xdr:nvGraphicFramePr>
        <xdr:cNvPr id="24" name="Chart 5">
          <a:extLst>
            <a:ext uri="{FF2B5EF4-FFF2-40B4-BE49-F238E27FC236}">
              <a16:creationId xmlns:a16="http://schemas.microsoft.com/office/drawing/2014/main" id="{0A9E0CD3-F472-1241-A4FF-ABA2F7842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431800</xdr:colOff>
      <xdr:row>12</xdr:row>
      <xdr:rowOff>82550</xdr:rowOff>
    </xdr:from>
    <xdr:to>
      <xdr:col>13</xdr:col>
      <xdr:colOff>933823</xdr:colOff>
      <xdr:row>30</xdr:row>
      <xdr:rowOff>149412</xdr:rowOff>
    </xdr:to>
    <xdr:graphicFrame macro="">
      <xdr:nvGraphicFramePr>
        <xdr:cNvPr id="4" name="Chart 9">
          <a:extLst>
            <a:ext uri="{FF2B5EF4-FFF2-40B4-BE49-F238E27FC236}">
              <a16:creationId xmlns:a16="http://schemas.microsoft.com/office/drawing/2014/main" id="{2EB5DB67-C2ED-8B3D-BAF9-EF08B71E8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762000</xdr:colOff>
      <xdr:row>55</xdr:row>
      <xdr:rowOff>25400</xdr:rowOff>
    </xdr:from>
    <xdr:to>
      <xdr:col>23</xdr:col>
      <xdr:colOff>81588</xdr:colOff>
      <xdr:row>71</xdr:row>
      <xdr:rowOff>19243</xdr:rowOff>
    </xdr:to>
    <xdr:graphicFrame macro="">
      <xdr:nvGraphicFramePr>
        <xdr:cNvPr id="35" name="Chart 2">
          <a:extLst>
            <a:ext uri="{FF2B5EF4-FFF2-40B4-BE49-F238E27FC236}">
              <a16:creationId xmlns:a16="http://schemas.microsoft.com/office/drawing/2014/main" id="{A4C1F421-E4C3-4342-A78E-AEC1D30CC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431800</xdr:colOff>
      <xdr:row>55</xdr:row>
      <xdr:rowOff>25400</xdr:rowOff>
    </xdr:from>
    <xdr:to>
      <xdr:col>29</xdr:col>
      <xdr:colOff>965276</xdr:colOff>
      <xdr:row>71</xdr:row>
      <xdr:rowOff>0</xdr:rowOff>
    </xdr:to>
    <xdr:graphicFrame macro="">
      <xdr:nvGraphicFramePr>
        <xdr:cNvPr id="54" name="Chart 3">
          <a:extLst>
            <a:ext uri="{FF2B5EF4-FFF2-40B4-BE49-F238E27FC236}">
              <a16:creationId xmlns:a16="http://schemas.microsoft.com/office/drawing/2014/main" id="{F720CDC5-D739-6049-813A-677CC6975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812800</xdr:colOff>
      <xdr:row>73</xdr:row>
      <xdr:rowOff>25400</xdr:rowOff>
    </xdr:from>
    <xdr:to>
      <xdr:col>23</xdr:col>
      <xdr:colOff>99526</xdr:colOff>
      <xdr:row>89</xdr:row>
      <xdr:rowOff>134227</xdr:rowOff>
    </xdr:to>
    <xdr:graphicFrame macro="">
      <xdr:nvGraphicFramePr>
        <xdr:cNvPr id="41" name="Chart 4">
          <a:extLst>
            <a:ext uri="{FF2B5EF4-FFF2-40B4-BE49-F238E27FC236}">
              <a16:creationId xmlns:a16="http://schemas.microsoft.com/office/drawing/2014/main" id="{4AEC6C4F-7253-7F4B-95FC-0DF0FB87E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431800</xdr:colOff>
      <xdr:row>73</xdr:row>
      <xdr:rowOff>0</xdr:rowOff>
    </xdr:from>
    <xdr:to>
      <xdr:col>29</xdr:col>
      <xdr:colOff>957766</xdr:colOff>
      <xdr:row>89</xdr:row>
      <xdr:rowOff>142215</xdr:rowOff>
    </xdr:to>
    <xdr:graphicFrame macro="">
      <xdr:nvGraphicFramePr>
        <xdr:cNvPr id="39" name="Chart 5">
          <a:extLst>
            <a:ext uri="{FF2B5EF4-FFF2-40B4-BE49-F238E27FC236}">
              <a16:creationId xmlns:a16="http://schemas.microsoft.com/office/drawing/2014/main" id="{B11E265F-DC6F-B649-8701-402556B67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1597454</xdr:colOff>
      <xdr:row>40</xdr:row>
      <xdr:rowOff>204571</xdr:rowOff>
    </xdr:from>
    <xdr:to>
      <xdr:col>45</xdr:col>
      <xdr:colOff>475049</xdr:colOff>
      <xdr:row>80</xdr:row>
      <xdr:rowOff>170248</xdr:rowOff>
    </xdr:to>
    <xdr:graphicFrame macro="">
      <xdr:nvGraphicFramePr>
        <xdr:cNvPr id="2" name="Chart 1">
          <a:extLst>
            <a:ext uri="{FF2B5EF4-FFF2-40B4-BE49-F238E27FC236}">
              <a16:creationId xmlns:a16="http://schemas.microsoft.com/office/drawing/2014/main" id="{EF40EFB5-AE5A-9C40-8500-B3025E88E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1613243</xdr:colOff>
      <xdr:row>82</xdr:row>
      <xdr:rowOff>137297</xdr:rowOff>
    </xdr:from>
    <xdr:to>
      <xdr:col>45</xdr:col>
      <xdr:colOff>446215</xdr:colOff>
      <xdr:row>126</xdr:row>
      <xdr:rowOff>0</xdr:rowOff>
    </xdr:to>
    <xdr:graphicFrame macro="">
      <xdr:nvGraphicFramePr>
        <xdr:cNvPr id="3" name="Chart 2">
          <a:extLst>
            <a:ext uri="{FF2B5EF4-FFF2-40B4-BE49-F238E27FC236}">
              <a16:creationId xmlns:a16="http://schemas.microsoft.com/office/drawing/2014/main" id="{B2A93B10-256B-AD4A-9D92-339F7BF23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34</xdr:col>
      <xdr:colOff>1613243</xdr:colOff>
      <xdr:row>128</xdr:row>
      <xdr:rowOff>99545</xdr:rowOff>
    </xdr:from>
    <xdr:to>
      <xdr:col>45</xdr:col>
      <xdr:colOff>455898</xdr:colOff>
      <xdr:row>172</xdr:row>
      <xdr:rowOff>97692</xdr:rowOff>
    </xdr:to>
    <xdr:graphicFrame macro="">
      <xdr:nvGraphicFramePr>
        <xdr:cNvPr id="56" name="Chart 4">
          <a:extLst>
            <a:ext uri="{FF2B5EF4-FFF2-40B4-BE49-F238E27FC236}">
              <a16:creationId xmlns:a16="http://schemas.microsoft.com/office/drawing/2014/main" id="{4F40CEAE-18B9-6944-A539-4C48BC3F3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812800</xdr:colOff>
      <xdr:row>100</xdr:row>
      <xdr:rowOff>177800</xdr:rowOff>
    </xdr:from>
    <xdr:to>
      <xdr:col>23</xdr:col>
      <xdr:colOff>132388</xdr:colOff>
      <xdr:row>116</xdr:row>
      <xdr:rowOff>171643</xdr:rowOff>
    </xdr:to>
    <xdr:graphicFrame macro="">
      <xdr:nvGraphicFramePr>
        <xdr:cNvPr id="44" name="Chart 2">
          <a:extLst>
            <a:ext uri="{FF2B5EF4-FFF2-40B4-BE49-F238E27FC236}">
              <a16:creationId xmlns:a16="http://schemas.microsoft.com/office/drawing/2014/main" id="{F7B652D3-AD22-EC4C-BB76-1623C9A52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457200</xdr:colOff>
      <xdr:row>100</xdr:row>
      <xdr:rowOff>177800</xdr:rowOff>
    </xdr:from>
    <xdr:to>
      <xdr:col>30</xdr:col>
      <xdr:colOff>76</xdr:colOff>
      <xdr:row>116</xdr:row>
      <xdr:rowOff>152400</xdr:rowOff>
    </xdr:to>
    <xdr:graphicFrame macro="">
      <xdr:nvGraphicFramePr>
        <xdr:cNvPr id="43" name="Chart 3">
          <a:extLst>
            <a:ext uri="{FF2B5EF4-FFF2-40B4-BE49-F238E27FC236}">
              <a16:creationId xmlns:a16="http://schemas.microsoft.com/office/drawing/2014/main" id="{E516D2C7-2410-A24E-85EF-754F0BCBB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0</xdr:colOff>
      <xdr:row>119</xdr:row>
      <xdr:rowOff>0</xdr:rowOff>
    </xdr:from>
    <xdr:to>
      <xdr:col>23</xdr:col>
      <xdr:colOff>124926</xdr:colOff>
      <xdr:row>135</xdr:row>
      <xdr:rowOff>108827</xdr:rowOff>
    </xdr:to>
    <xdr:graphicFrame macro="">
      <xdr:nvGraphicFramePr>
        <xdr:cNvPr id="46" name="Chart 4">
          <a:extLst>
            <a:ext uri="{FF2B5EF4-FFF2-40B4-BE49-F238E27FC236}">
              <a16:creationId xmlns:a16="http://schemas.microsoft.com/office/drawing/2014/main" id="{57B191DC-F041-054E-8883-BD7F5A177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457200</xdr:colOff>
      <xdr:row>119</xdr:row>
      <xdr:rowOff>0</xdr:rowOff>
    </xdr:from>
    <xdr:to>
      <xdr:col>29</xdr:col>
      <xdr:colOff>983166</xdr:colOff>
      <xdr:row>135</xdr:row>
      <xdr:rowOff>142215</xdr:rowOff>
    </xdr:to>
    <xdr:graphicFrame macro="">
      <xdr:nvGraphicFramePr>
        <xdr:cNvPr id="42" name="Chart 5">
          <a:extLst>
            <a:ext uri="{FF2B5EF4-FFF2-40B4-BE49-F238E27FC236}">
              <a16:creationId xmlns:a16="http://schemas.microsoft.com/office/drawing/2014/main" id="{8D7F5B6C-4B46-7B48-8A18-3A2ED68C6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50</xdr:col>
      <xdr:colOff>766379</xdr:colOff>
      <xdr:row>16</xdr:row>
      <xdr:rowOff>153275</xdr:rowOff>
    </xdr:from>
    <xdr:to>
      <xdr:col>64</xdr:col>
      <xdr:colOff>21897</xdr:colOff>
      <xdr:row>46</xdr:row>
      <xdr:rowOff>43792</xdr:rowOff>
    </xdr:to>
    <xdr:graphicFrame macro="">
      <xdr:nvGraphicFramePr>
        <xdr:cNvPr id="5" name="Chart 4">
          <a:extLst>
            <a:ext uri="{FF2B5EF4-FFF2-40B4-BE49-F238E27FC236}">
              <a16:creationId xmlns:a16="http://schemas.microsoft.com/office/drawing/2014/main" id="{31E101F9-E27F-974D-F18D-B10B9A507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21</xdr:col>
      <xdr:colOff>204107</xdr:colOff>
      <xdr:row>5</xdr:row>
      <xdr:rowOff>81642</xdr:rowOff>
    </xdr:from>
    <xdr:to>
      <xdr:col>34</xdr:col>
      <xdr:colOff>510266</xdr:colOff>
      <xdr:row>28</xdr:row>
      <xdr:rowOff>201386</xdr:rowOff>
    </xdr:to>
    <xdr:graphicFrame macro="">
      <xdr:nvGraphicFramePr>
        <xdr:cNvPr id="3" name="Chart 2">
          <a:extLst>
            <a:ext uri="{FF2B5EF4-FFF2-40B4-BE49-F238E27FC236}">
              <a16:creationId xmlns:a16="http://schemas.microsoft.com/office/drawing/2014/main" id="{FA725A1D-2FC6-4DCE-08B4-E3FC24189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229462</xdr:colOff>
      <xdr:row>8</xdr:row>
      <xdr:rowOff>81346</xdr:rowOff>
    </xdr:from>
    <xdr:to>
      <xdr:col>5</xdr:col>
      <xdr:colOff>12176</xdr:colOff>
      <xdr:row>20</xdr:row>
      <xdr:rowOff>171707</xdr:rowOff>
    </xdr:to>
    <xdr:graphicFrame macro="">
      <xdr:nvGraphicFramePr>
        <xdr:cNvPr id="3" name="Chart 2">
          <a:extLst>
            <a:ext uri="{FF2B5EF4-FFF2-40B4-BE49-F238E27FC236}">
              <a16:creationId xmlns:a16="http://schemas.microsoft.com/office/drawing/2014/main" id="{63149DD8-E5AB-3463-4182-FB0F39DC9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33280</xdr:colOff>
      <xdr:row>8</xdr:row>
      <xdr:rowOff>120057</xdr:rowOff>
    </xdr:from>
    <xdr:to>
      <xdr:col>10</xdr:col>
      <xdr:colOff>822629</xdr:colOff>
      <xdr:row>20</xdr:row>
      <xdr:rowOff>163589</xdr:rowOff>
    </xdr:to>
    <xdr:graphicFrame macro="">
      <xdr:nvGraphicFramePr>
        <xdr:cNvPr id="4" name="Chart 3">
          <a:extLst>
            <a:ext uri="{FF2B5EF4-FFF2-40B4-BE49-F238E27FC236}">
              <a16:creationId xmlns:a16="http://schemas.microsoft.com/office/drawing/2014/main" id="{E624661E-1567-7850-A12A-3B5469797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774112</xdr:colOff>
      <xdr:row>8</xdr:row>
      <xdr:rowOff>66983</xdr:rowOff>
    </xdr:from>
    <xdr:to>
      <xdr:col>16</xdr:col>
      <xdr:colOff>739272</xdr:colOff>
      <xdr:row>21</xdr:row>
      <xdr:rowOff>101150</xdr:rowOff>
    </xdr:to>
    <xdr:graphicFrame macro="">
      <xdr:nvGraphicFramePr>
        <xdr:cNvPr id="5" name="Chart 4">
          <a:extLst>
            <a:ext uri="{FF2B5EF4-FFF2-40B4-BE49-F238E27FC236}">
              <a16:creationId xmlns:a16="http://schemas.microsoft.com/office/drawing/2014/main" id="{71373E59-0407-E383-71E0-324717FFB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608852</xdr:colOff>
      <xdr:row>8</xdr:row>
      <xdr:rowOff>94503</xdr:rowOff>
    </xdr:from>
    <xdr:to>
      <xdr:col>23</xdr:col>
      <xdr:colOff>138205</xdr:colOff>
      <xdr:row>21</xdr:row>
      <xdr:rowOff>166967</xdr:rowOff>
    </xdr:to>
    <xdr:graphicFrame macro="">
      <xdr:nvGraphicFramePr>
        <xdr:cNvPr id="6" name="Chart 5">
          <a:extLst>
            <a:ext uri="{FF2B5EF4-FFF2-40B4-BE49-F238E27FC236}">
              <a16:creationId xmlns:a16="http://schemas.microsoft.com/office/drawing/2014/main" id="{757A5449-68DE-DF0E-CC40-379CEF777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646206</xdr:colOff>
      <xdr:row>8</xdr:row>
      <xdr:rowOff>113180</xdr:rowOff>
    </xdr:from>
    <xdr:to>
      <xdr:col>29</xdr:col>
      <xdr:colOff>175559</xdr:colOff>
      <xdr:row>21</xdr:row>
      <xdr:rowOff>185644</xdr:rowOff>
    </xdr:to>
    <xdr:graphicFrame macro="">
      <xdr:nvGraphicFramePr>
        <xdr:cNvPr id="7" name="Chart 6">
          <a:extLst>
            <a:ext uri="{FF2B5EF4-FFF2-40B4-BE49-F238E27FC236}">
              <a16:creationId xmlns:a16="http://schemas.microsoft.com/office/drawing/2014/main" id="{B7056691-D43B-1A5F-249C-3DFC0DEFA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664883</xdr:colOff>
      <xdr:row>8</xdr:row>
      <xdr:rowOff>113180</xdr:rowOff>
    </xdr:from>
    <xdr:to>
      <xdr:col>35</xdr:col>
      <xdr:colOff>194236</xdr:colOff>
      <xdr:row>21</xdr:row>
      <xdr:rowOff>185644</xdr:rowOff>
    </xdr:to>
    <xdr:graphicFrame macro="">
      <xdr:nvGraphicFramePr>
        <xdr:cNvPr id="8" name="Chart 7">
          <a:extLst>
            <a:ext uri="{FF2B5EF4-FFF2-40B4-BE49-F238E27FC236}">
              <a16:creationId xmlns:a16="http://schemas.microsoft.com/office/drawing/2014/main" id="{1627231E-2D07-8242-699B-7E9BAA0F0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608853</xdr:colOff>
      <xdr:row>8</xdr:row>
      <xdr:rowOff>113180</xdr:rowOff>
    </xdr:from>
    <xdr:to>
      <xdr:col>41</xdr:col>
      <xdr:colOff>138206</xdr:colOff>
      <xdr:row>21</xdr:row>
      <xdr:rowOff>185644</xdr:rowOff>
    </xdr:to>
    <xdr:graphicFrame macro="">
      <xdr:nvGraphicFramePr>
        <xdr:cNvPr id="9" name="Chart 8">
          <a:extLst>
            <a:ext uri="{FF2B5EF4-FFF2-40B4-BE49-F238E27FC236}">
              <a16:creationId xmlns:a16="http://schemas.microsoft.com/office/drawing/2014/main" id="{7810EFA6-2D0F-C29B-8C5C-E494AED485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42</xdr:col>
      <xdr:colOff>0</xdr:colOff>
      <xdr:row>8</xdr:row>
      <xdr:rowOff>128314</xdr:rowOff>
    </xdr:from>
    <xdr:to>
      <xdr:col>47</xdr:col>
      <xdr:colOff>183931</xdr:colOff>
      <xdr:row>22</xdr:row>
      <xdr:rowOff>112549</xdr:rowOff>
    </xdr:to>
    <xdr:graphicFrame macro="">
      <xdr:nvGraphicFramePr>
        <xdr:cNvPr id="10" name="Chart 9">
          <a:extLst>
            <a:ext uri="{FF2B5EF4-FFF2-40B4-BE49-F238E27FC236}">
              <a16:creationId xmlns:a16="http://schemas.microsoft.com/office/drawing/2014/main" id="{A2E02E75-0D60-CB71-1DEE-DBC7E0F81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47</xdr:col>
      <xdr:colOff>648139</xdr:colOff>
      <xdr:row>8</xdr:row>
      <xdr:rowOff>172107</xdr:rowOff>
    </xdr:from>
    <xdr:to>
      <xdr:col>53</xdr:col>
      <xdr:colOff>227725</xdr:colOff>
      <xdr:row>22</xdr:row>
      <xdr:rowOff>156342</xdr:rowOff>
    </xdr:to>
    <xdr:graphicFrame macro="">
      <xdr:nvGraphicFramePr>
        <xdr:cNvPr id="11" name="Chart 10">
          <a:extLst>
            <a:ext uri="{FF2B5EF4-FFF2-40B4-BE49-F238E27FC236}">
              <a16:creationId xmlns:a16="http://schemas.microsoft.com/office/drawing/2014/main" id="{664773FF-B82A-2FC2-B528-0E7AF3107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435023</xdr:colOff>
      <xdr:row>1</xdr:row>
      <xdr:rowOff>15828</xdr:rowOff>
    </xdr:from>
    <xdr:to>
      <xdr:col>23</xdr:col>
      <xdr:colOff>609600</xdr:colOff>
      <xdr:row>28</xdr:row>
      <xdr:rowOff>152399</xdr:rowOff>
    </xdr:to>
    <xdr:graphicFrame macro="">
      <xdr:nvGraphicFramePr>
        <xdr:cNvPr id="37" name="Chart 1">
          <a:extLst>
            <a:ext uri="{FF2B5EF4-FFF2-40B4-BE49-F238E27FC236}">
              <a16:creationId xmlns:a16="http://schemas.microsoft.com/office/drawing/2014/main" id="{264BD93D-25DA-A81F-9934-D76559863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436034</xdr:colOff>
      <xdr:row>29</xdr:row>
      <xdr:rowOff>87207</xdr:rowOff>
    </xdr:from>
    <xdr:to>
      <xdr:col>23</xdr:col>
      <xdr:colOff>660400</xdr:colOff>
      <xdr:row>56</xdr:row>
      <xdr:rowOff>177800</xdr:rowOff>
    </xdr:to>
    <xdr:graphicFrame macro="">
      <xdr:nvGraphicFramePr>
        <xdr:cNvPr id="47" name="Chart 80">
          <a:extLst>
            <a:ext uri="{FF2B5EF4-FFF2-40B4-BE49-F238E27FC236}">
              <a16:creationId xmlns:a16="http://schemas.microsoft.com/office/drawing/2014/main" id="{C3907550-B043-F934-B43E-D09C12A77040}"/>
            </a:ext>
            <a:ext uri="{147F2762-F138-4A5C-976F-8EAC2B608ADB}">
              <a16:predDERef xmlns:a16="http://schemas.microsoft.com/office/drawing/2014/main" pred="{264BD93D-25DA-A81F-9934-D76559863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440479</xdr:colOff>
      <xdr:row>58</xdr:row>
      <xdr:rowOff>33867</xdr:rowOff>
    </xdr:from>
    <xdr:to>
      <xdr:col>23</xdr:col>
      <xdr:colOff>711200</xdr:colOff>
      <xdr:row>86</xdr:row>
      <xdr:rowOff>0</xdr:rowOff>
    </xdr:to>
    <xdr:graphicFrame macro="">
      <xdr:nvGraphicFramePr>
        <xdr:cNvPr id="57" name="Chart 81">
          <a:extLst>
            <a:ext uri="{FF2B5EF4-FFF2-40B4-BE49-F238E27FC236}">
              <a16:creationId xmlns:a16="http://schemas.microsoft.com/office/drawing/2014/main" id="{A42CC204-06BE-506E-9C0B-CEE84769650E}"/>
            </a:ext>
            <a:ext uri="{147F2762-F138-4A5C-976F-8EAC2B608ADB}">
              <a16:predDERef xmlns:a16="http://schemas.microsoft.com/office/drawing/2014/main" pred="{C3907550-B043-F934-B43E-D09C12A77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262063</xdr:colOff>
      <xdr:row>33</xdr:row>
      <xdr:rowOff>0</xdr:rowOff>
    </xdr:from>
    <xdr:to>
      <xdr:col>12</xdr:col>
      <xdr:colOff>838200</xdr:colOff>
      <xdr:row>48</xdr:row>
      <xdr:rowOff>80635</xdr:rowOff>
    </xdr:to>
    <xdr:sp macro="" textlink="">
      <xdr:nvSpPr>
        <xdr:cNvPr id="86" name="TextBox 1">
          <a:extLst>
            <a:ext uri="{FF2B5EF4-FFF2-40B4-BE49-F238E27FC236}">
              <a16:creationId xmlns:a16="http://schemas.microsoft.com/office/drawing/2014/main" id="{E56AC1F7-41F9-E351-463B-952AE619A192}"/>
            </a:ext>
          </a:extLst>
        </xdr:cNvPr>
        <xdr:cNvSpPr txBox="1"/>
      </xdr:nvSpPr>
      <xdr:spPr>
        <a:xfrm>
          <a:off x="262063" y="6692698"/>
          <a:ext cx="14848518" cy="3104445"/>
        </a:xfrm>
        <a:prstGeom prst="rect">
          <a:avLst/>
        </a:prstGeom>
        <a:solidFill>
          <a:srgbClr val="FFF57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Issues</a:t>
          </a:r>
        </a:p>
        <a:p>
          <a:r>
            <a:rPr lang="en-US" sz="1100"/>
            <a:t>High</a:t>
          </a:r>
          <a:r>
            <a:rPr lang="en-US" sz="1100" baseline="0"/>
            <a:t> loan payments - drains liquidity </a:t>
          </a:r>
        </a:p>
        <a:p>
          <a:r>
            <a:rPr lang="en-US" sz="1100" baseline="0"/>
            <a:t>High RM purchase - high inventory </a:t>
          </a:r>
        </a:p>
        <a:p>
          <a:endParaRPr lang="en-US" sz="1100"/>
        </a:p>
        <a:p>
          <a:r>
            <a:rPr lang="en-US" sz="1100"/>
            <a:t>NOTES ON THE</a:t>
          </a:r>
          <a:r>
            <a:rPr lang="en-US" sz="1100" baseline="0"/>
            <a:t> QUARTERS</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956731</xdr:colOff>
      <xdr:row>35</xdr:row>
      <xdr:rowOff>143933</xdr:rowOff>
    </xdr:from>
    <xdr:to>
      <xdr:col>9</xdr:col>
      <xdr:colOff>127000</xdr:colOff>
      <xdr:row>63</xdr:row>
      <xdr:rowOff>101600</xdr:rowOff>
    </xdr:to>
    <xdr:graphicFrame macro="">
      <xdr:nvGraphicFramePr>
        <xdr:cNvPr id="2" name="Chart 1">
          <a:extLst>
            <a:ext uri="{FF2B5EF4-FFF2-40B4-BE49-F238E27FC236}">
              <a16:creationId xmlns:a16="http://schemas.microsoft.com/office/drawing/2014/main" id="{2021F669-B58C-2BA6-AA46-5EF2F376E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931334</xdr:colOff>
      <xdr:row>63</xdr:row>
      <xdr:rowOff>135466</xdr:rowOff>
    </xdr:from>
    <xdr:to>
      <xdr:col>9</xdr:col>
      <xdr:colOff>110067</xdr:colOff>
      <xdr:row>91</xdr:row>
      <xdr:rowOff>101600</xdr:rowOff>
    </xdr:to>
    <xdr:graphicFrame macro="">
      <xdr:nvGraphicFramePr>
        <xdr:cNvPr id="4" name="Chart 3">
          <a:extLst>
            <a:ext uri="{FF2B5EF4-FFF2-40B4-BE49-F238E27FC236}">
              <a16:creationId xmlns:a16="http://schemas.microsoft.com/office/drawing/2014/main" id="{429F4880-5F9B-E71B-5957-9D77BA048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177799</xdr:colOff>
      <xdr:row>35</xdr:row>
      <xdr:rowOff>126998</xdr:rowOff>
    </xdr:from>
    <xdr:to>
      <xdr:col>21</xdr:col>
      <xdr:colOff>406400</xdr:colOff>
      <xdr:row>63</xdr:row>
      <xdr:rowOff>76199</xdr:rowOff>
    </xdr:to>
    <xdr:graphicFrame macro="">
      <xdr:nvGraphicFramePr>
        <xdr:cNvPr id="5" name="Chart 4">
          <a:extLst>
            <a:ext uri="{FF2B5EF4-FFF2-40B4-BE49-F238E27FC236}">
              <a16:creationId xmlns:a16="http://schemas.microsoft.com/office/drawing/2014/main" id="{7E5E3B64-B95B-C53C-83A3-F601969AB9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184548</xdr:colOff>
      <xdr:row>63</xdr:row>
      <xdr:rowOff>106759</xdr:rowOff>
    </xdr:from>
    <xdr:to>
      <xdr:col>21</xdr:col>
      <xdr:colOff>416719</xdr:colOff>
      <xdr:row>91</xdr:row>
      <xdr:rowOff>19843</xdr:rowOff>
    </xdr:to>
    <xdr:graphicFrame macro="">
      <xdr:nvGraphicFramePr>
        <xdr:cNvPr id="7" name="Chart 6">
          <a:extLst>
            <a:ext uri="{FF2B5EF4-FFF2-40B4-BE49-F238E27FC236}">
              <a16:creationId xmlns:a16="http://schemas.microsoft.com/office/drawing/2014/main" id="{4A148B96-3AE7-1A6B-3DE0-AD4A1E275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393700</xdr:colOff>
      <xdr:row>4</xdr:row>
      <xdr:rowOff>152400</xdr:rowOff>
    </xdr:from>
    <xdr:to>
      <xdr:col>10</xdr:col>
      <xdr:colOff>266700</xdr:colOff>
      <xdr:row>43</xdr:row>
      <xdr:rowOff>88900</xdr:rowOff>
    </xdr:to>
    <xdr:sp macro="" textlink="">
      <xdr:nvSpPr>
        <xdr:cNvPr id="2" name="TextBox 1">
          <a:extLst>
            <a:ext uri="{FF2B5EF4-FFF2-40B4-BE49-F238E27FC236}">
              <a16:creationId xmlns:a16="http://schemas.microsoft.com/office/drawing/2014/main" id="{7FF73F1F-C42F-3E1B-26EE-99C75C8C12E0}"/>
            </a:ext>
          </a:extLst>
        </xdr:cNvPr>
        <xdr:cNvSpPr txBox="1"/>
      </xdr:nvSpPr>
      <xdr:spPr>
        <a:xfrm>
          <a:off x="1219200" y="965200"/>
          <a:ext cx="7302500" cy="786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Sub OGG_Macro()</a:t>
          </a:r>
        </a:p>
        <a:p>
          <a:endParaRPr lang="en-US" sz="1100"/>
        </a:p>
        <a:p>
          <a:r>
            <a:rPr lang="en-US" sz="1100"/>
            <a:t>    Dim wsIn As Worksheet</a:t>
          </a:r>
        </a:p>
        <a:p>
          <a:r>
            <a:rPr lang="en-US" sz="1100"/>
            <a:t>    Dim wsSc As Worksheet</a:t>
          </a:r>
        </a:p>
        <a:p>
          <a:r>
            <a:rPr lang="en-US" sz="1100"/>
            <a:t>    Dim lastRow As Long</a:t>
          </a:r>
        </a:p>
        <a:p>
          <a:r>
            <a:rPr lang="en-US" sz="1100"/>
            <a:t>    Dim r As Long</a:t>
          </a:r>
        </a:p>
        <a:p>
          <a:r>
            <a:rPr lang="en-US" sz="1100"/>
            <a:t>    </a:t>
          </a:r>
        </a:p>
        <a:p>
          <a:endParaRPr lang="en-US" sz="1100"/>
        </a:p>
        <a:p>
          <a:r>
            <a:rPr lang="en-US" sz="1100"/>
            <a:t>    Set wsIn = ThisWorkbook.Worksheets("NoTouch-Sheet4")          ' ???????</a:t>
          </a:r>
        </a:p>
        <a:p>
          <a:r>
            <a:rPr lang="en-US" sz="1100"/>
            <a:t>    Set wsSc = ThisWorkbook.Worksheets("Macro")  ' ?????</a:t>
          </a:r>
        </a:p>
        <a:p>
          <a:r>
            <a:rPr lang="en-US" sz="1100"/>
            <a:t>    </a:t>
          </a:r>
        </a:p>
        <a:p>
          <a:r>
            <a:rPr lang="en-US" sz="1100"/>
            <a:t>    lastRow = wsSc.Cells(wsSc.Rows.Count, "A").End(xlUp).Row</a:t>
          </a:r>
        </a:p>
        <a:p>
          <a:r>
            <a:rPr lang="en-US" sz="1100"/>
            <a:t>    </a:t>
          </a:r>
        </a:p>
        <a:p>
          <a:r>
            <a:rPr lang="en-US" sz="1100"/>
            <a:t>    Application.ScreenUpdating = False</a:t>
          </a:r>
        </a:p>
        <a:p>
          <a:r>
            <a:rPr lang="en-US" sz="1100"/>
            <a:t>    </a:t>
          </a:r>
        </a:p>
        <a:p>
          <a:r>
            <a:rPr lang="en-US" sz="1100"/>
            <a:t>    For r = 2 To lastRow</a:t>
          </a:r>
        </a:p>
        <a:p>
          <a:r>
            <a:rPr lang="en-US" sz="1100"/>
            <a:t>        </a:t>
          </a:r>
        </a:p>
        <a:p>
          <a:r>
            <a:rPr lang="en-US" sz="1100"/>
            <a:t>        If wsSc.Cells(r, "B").Value &lt;&gt; "" Then</a:t>
          </a:r>
        </a:p>
        <a:p>
          <a:r>
            <a:rPr lang="en-US" sz="1100"/>
            <a:t>        </a:t>
          </a:r>
        </a:p>
        <a:p>
          <a:r>
            <a:rPr lang="en-US" sz="1100"/>
            <a:t>    </a:t>
          </a:r>
        </a:p>
        <a:p>
          <a:r>
            <a:rPr lang="en-US" sz="1100"/>
            <a:t>     </a:t>
          </a:r>
        </a:p>
        <a:p>
          <a:r>
            <a:rPr lang="en-US" sz="1100"/>
            <a:t>            wsIn.Range("B8").Value = wsSc.Cells(r, "B").Value  ' Price R1</a:t>
          </a:r>
        </a:p>
        <a:p>
          <a:r>
            <a:rPr lang="en-US" sz="1100"/>
            <a:t>            wsIn.Range("B9").Value = wsSc.Cells(r, "C").Value  ' Price R2</a:t>
          </a:r>
        </a:p>
        <a:p>
          <a:r>
            <a:rPr lang="en-US" sz="1100"/>
            <a:t>            wsIn.Range("B10").Value = wsSc.Cells(r, "D").Value ' Price R3</a:t>
          </a:r>
        </a:p>
        <a:p>
          <a:r>
            <a:rPr lang="en-US" sz="1100"/>
            <a:t>            wsIn.Range("B11").Value = wsSc.Cells(r, "E").Value ' Price R4</a:t>
          </a:r>
        </a:p>
        <a:p>
          <a:r>
            <a:rPr lang="en-US" sz="1100"/>
            <a:t>            </a:t>
          </a:r>
        </a:p>
        <a:p>
          <a:r>
            <a:rPr lang="en-US" sz="1100"/>
            <a:t>            wsIn.Range("B19").Value = wsSc.Cells(r, "F").Value ' Total</a:t>
          </a:r>
        </a:p>
        <a:p>
          <a:r>
            <a:rPr lang="en-US" sz="1100"/>
            <a:t>            wsIn.Range("C20").Value = wsSc.Cells(r, "G").Value ' Dist R1</a:t>
          </a:r>
        </a:p>
        <a:p>
          <a:r>
            <a:rPr lang="en-US" sz="1100"/>
            <a:t>            wsIn.Range("C21").Value = wsSc.Cells(r, "H").Value ' Dist R2</a:t>
          </a:r>
        </a:p>
        <a:p>
          <a:r>
            <a:rPr lang="en-US" sz="1100"/>
            <a:t>            wsIn.Range("C22").Value = wsSc.Cells(r, "I").Value ' Dist R3</a:t>
          </a:r>
        </a:p>
        <a:p>
          <a:r>
            <a:rPr lang="en-US" sz="1100"/>
            <a:t>            wsIn.Range("C23").Value = wsSc.Cells(r, "J").Value ' Dist R4</a:t>
          </a:r>
        </a:p>
        <a:p>
          <a:r>
            <a:rPr lang="en-US" sz="1100"/>
            <a:t>            </a:t>
          </a:r>
        </a:p>
        <a:p>
          <a:r>
            <a:rPr lang="en-US" sz="1100"/>
            <a:t>            wsIn.Range("C25").Value = wsSc.Cells(r, "K").Value ' Dist R1</a:t>
          </a:r>
        </a:p>
        <a:p>
          <a:r>
            <a:rPr lang="en-US" sz="1100"/>
            <a:t>            wsIn.Range("C26").Value = wsSc.Cells(r, "L").Value ' Dist R2</a:t>
          </a:r>
        </a:p>
        <a:p>
          <a:r>
            <a:rPr lang="en-US" sz="1100"/>
            <a:t>            wsIn.Range("C27").Value = wsSc.Cells(r, "M").Value ' Dist R3</a:t>
          </a:r>
        </a:p>
        <a:p>
          <a:r>
            <a:rPr lang="en-US" sz="1100"/>
            <a:t>            wsIn.Range("C28").Value = wsSc.Cells(r, "N").Value ' Dist R4</a:t>
          </a:r>
        </a:p>
        <a:p>
          <a:r>
            <a:rPr lang="en-US" sz="1100"/>
            <a:t>         </a:t>
          </a:r>
        </a:p>
        <a:p>
          <a:r>
            <a:rPr lang="en-US" sz="1100"/>
            <a:t>            Application.Calculate</a:t>
          </a:r>
        </a:p>
        <a:p>
          <a:r>
            <a:rPr lang="en-US" sz="1100"/>
            <a:t>            </a:t>
          </a:r>
        </a:p>
        <a:p>
          <a:r>
            <a:rPr lang="en-US" sz="1100"/>
            <a:t>            ' ???????? ScenarioTable</a:t>
          </a:r>
        </a:p>
        <a:p>
          <a:r>
            <a:rPr lang="en-US" sz="1100"/>
            <a:t>            wsSc.Cells(r, "O").Value = wsIn.Range("B12").Value   ' B14 ??????????????</a:t>
          </a:r>
        </a:p>
        <a:p>
          <a:r>
            <a:rPr lang="en-US" sz="1100"/>
            <a:t>            wsSc.Cells(r, "P").Value = wsIn.Range("B13").Value</a:t>
          </a:r>
        </a:p>
        <a:p>
          <a:r>
            <a:rPr lang="en-US" sz="1100"/>
            <a:t>        End If</a:t>
          </a:r>
        </a:p>
        <a:p>
          <a:r>
            <a:rPr lang="en-US" sz="1100"/>
            <a:t>        </a:t>
          </a:r>
        </a:p>
        <a:p>
          <a:r>
            <a:rPr lang="en-US" sz="1100"/>
            <a:t>    Next r</a:t>
          </a:r>
        </a:p>
        <a:p>
          <a:r>
            <a:rPr lang="en-US" sz="1100"/>
            <a:t>    </a:t>
          </a:r>
        </a:p>
        <a:p>
          <a:r>
            <a:rPr lang="en-US" sz="1100"/>
            <a:t>    Application.ScreenUpdating = True</a:t>
          </a:r>
        </a:p>
        <a:p>
          <a:r>
            <a:rPr lang="en-US" sz="1100"/>
            <a:t>    </a:t>
          </a:r>
        </a:p>
        <a:p>
          <a:r>
            <a:rPr lang="en-US" sz="1100"/>
            <a:t>    MsgBox "All scenarios finished.", vbInformation</a:t>
          </a:r>
        </a:p>
        <a:p>
          <a:endParaRPr lang="en-US" sz="1100"/>
        </a:p>
        <a:p>
          <a:r>
            <a:rPr lang="en-US" sz="1100"/>
            <a:t>End Sub</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4CD43A85-6348-624D-95D9-182D6915EDB1}"/>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2</xdr:col>
      <xdr:colOff>525960</xdr:colOff>
      <xdr:row>0</xdr:row>
      <xdr:rowOff>271367</xdr:rowOff>
    </xdr:from>
    <xdr:to>
      <xdr:col>12</xdr:col>
      <xdr:colOff>973361</xdr:colOff>
      <xdr:row>11</xdr:row>
      <xdr:rowOff>54273</xdr:rowOff>
    </xdr:to>
    <xdr:sp macro="" textlink="">
      <xdr:nvSpPr>
        <xdr:cNvPr id="3" name="TextBox 2">
          <a:extLst>
            <a:ext uri="{FF2B5EF4-FFF2-40B4-BE49-F238E27FC236}">
              <a16:creationId xmlns:a16="http://schemas.microsoft.com/office/drawing/2014/main" id="{29362064-E307-7F48-ABC1-716DED0ACBF0}"/>
            </a:ext>
          </a:extLst>
        </xdr:cNvPr>
        <xdr:cNvSpPr txBox="1"/>
      </xdr:nvSpPr>
      <xdr:spPr>
        <a:xfrm>
          <a:off x="3497760" y="271367"/>
          <a:ext cx="14036401" cy="21197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 summary/reflection</a:t>
          </a:r>
        </a:p>
        <a:p>
          <a:endParaRPr lang="en-US" sz="1100" baseline="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FE4163D5-7EF3-2046-8DB1-301B36BC0EC9}"/>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6F364683-FA7A-DC4C-998B-927E32B91254}"/>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ABA18E06-DE0B-9746-A6D4-D4186C1ACF8D}"/>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2</xdr:col>
      <xdr:colOff>525960</xdr:colOff>
      <xdr:row>0</xdr:row>
      <xdr:rowOff>271367</xdr:rowOff>
    </xdr:from>
    <xdr:to>
      <xdr:col>12</xdr:col>
      <xdr:colOff>973361</xdr:colOff>
      <xdr:row>11</xdr:row>
      <xdr:rowOff>54273</xdr:rowOff>
    </xdr:to>
    <xdr:sp macro="" textlink="">
      <xdr:nvSpPr>
        <xdr:cNvPr id="3" name="TextBox 2">
          <a:extLst>
            <a:ext uri="{FF2B5EF4-FFF2-40B4-BE49-F238E27FC236}">
              <a16:creationId xmlns:a16="http://schemas.microsoft.com/office/drawing/2014/main" id="{4D742D77-2EB8-924E-AC20-92C2580C961D}"/>
            </a:ext>
          </a:extLst>
        </xdr:cNvPr>
        <xdr:cNvSpPr txBox="1"/>
      </xdr:nvSpPr>
      <xdr:spPr>
        <a:xfrm>
          <a:off x="3497760" y="271367"/>
          <a:ext cx="14036401" cy="21197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 summary/reflection</a:t>
          </a:r>
        </a:p>
        <a:p>
          <a:endParaRPr lang="en-US" sz="1100" baseline="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9B73EE63-B49E-A242-BEDF-D0314C0F80E0}"/>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13DD597C-77F2-B843-AF8E-46F47BFF76C0}"/>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241905</xdr:colOff>
      <xdr:row>10</xdr:row>
      <xdr:rowOff>131032</xdr:rowOff>
    </xdr:from>
    <xdr:to>
      <xdr:col>4</xdr:col>
      <xdr:colOff>645080</xdr:colOff>
      <xdr:row>11</xdr:row>
      <xdr:rowOff>100794</xdr:rowOff>
    </xdr:to>
    <xdr:sp macro="" textlink="">
      <xdr:nvSpPr>
        <xdr:cNvPr id="2" name="Right Arrow 1">
          <a:extLst>
            <a:ext uri="{FF2B5EF4-FFF2-40B4-BE49-F238E27FC236}">
              <a16:creationId xmlns:a16="http://schemas.microsoft.com/office/drawing/2014/main" id="{1E7E0F85-38DB-E648-A159-A42229D6C28A}"/>
            </a:ext>
          </a:extLst>
        </xdr:cNvPr>
        <xdr:cNvSpPr/>
      </xdr:nvSpPr>
      <xdr:spPr>
        <a:xfrm>
          <a:off x="4521805" y="2163032"/>
          <a:ext cx="1241375" cy="172962"/>
        </a:xfrm>
        <a:prstGeom prst="rightArrow">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952B4566-B500-EA49-A613-E1E6A086A67C}"/>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2</xdr:col>
      <xdr:colOff>525960</xdr:colOff>
      <xdr:row>0</xdr:row>
      <xdr:rowOff>271367</xdr:rowOff>
    </xdr:from>
    <xdr:to>
      <xdr:col>12</xdr:col>
      <xdr:colOff>973361</xdr:colOff>
      <xdr:row>11</xdr:row>
      <xdr:rowOff>54273</xdr:rowOff>
    </xdr:to>
    <xdr:sp macro="" textlink="">
      <xdr:nvSpPr>
        <xdr:cNvPr id="3" name="TextBox 2">
          <a:extLst>
            <a:ext uri="{FF2B5EF4-FFF2-40B4-BE49-F238E27FC236}">
              <a16:creationId xmlns:a16="http://schemas.microsoft.com/office/drawing/2014/main" id="{803909B6-A26D-9047-BC1D-0BC701DC2E69}"/>
            </a:ext>
          </a:extLst>
        </xdr:cNvPr>
        <xdr:cNvSpPr txBox="1"/>
      </xdr:nvSpPr>
      <xdr:spPr>
        <a:xfrm>
          <a:off x="3497760" y="271367"/>
          <a:ext cx="14036401" cy="21197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 summary/reflection</a:t>
          </a:r>
        </a:p>
        <a:p>
          <a:endParaRPr lang="en-US" sz="1100" baseline="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69AA5808-2785-E740-A405-C7113378BE2E}"/>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F629C25D-D145-D940-8AF9-457F4AA94E08}"/>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0172F65A-0CF8-AF44-9C92-26FB6AB62010}"/>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2</xdr:col>
      <xdr:colOff>525960</xdr:colOff>
      <xdr:row>0</xdr:row>
      <xdr:rowOff>271367</xdr:rowOff>
    </xdr:from>
    <xdr:to>
      <xdr:col>12</xdr:col>
      <xdr:colOff>973361</xdr:colOff>
      <xdr:row>11</xdr:row>
      <xdr:rowOff>54273</xdr:rowOff>
    </xdr:to>
    <xdr:sp macro="" textlink="">
      <xdr:nvSpPr>
        <xdr:cNvPr id="3" name="TextBox 2">
          <a:extLst>
            <a:ext uri="{FF2B5EF4-FFF2-40B4-BE49-F238E27FC236}">
              <a16:creationId xmlns:a16="http://schemas.microsoft.com/office/drawing/2014/main" id="{6555CF1F-F588-CF4C-B39C-AE2DF3D3BEDA}"/>
            </a:ext>
          </a:extLst>
        </xdr:cNvPr>
        <xdr:cNvSpPr txBox="1"/>
      </xdr:nvSpPr>
      <xdr:spPr>
        <a:xfrm>
          <a:off x="3497760" y="271367"/>
          <a:ext cx="14036401" cy="21197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 summary/reflection</a:t>
          </a:r>
        </a:p>
        <a:p>
          <a:endParaRPr lang="en-US" sz="1100" baseline="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91307A0D-5520-A546-8BB1-1675E90C1589}"/>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3106D05F-F2E8-BF4D-B62C-F3FD333CCE53}"/>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241905</xdr:colOff>
      <xdr:row>10</xdr:row>
      <xdr:rowOff>131032</xdr:rowOff>
    </xdr:from>
    <xdr:to>
      <xdr:col>4</xdr:col>
      <xdr:colOff>645080</xdr:colOff>
      <xdr:row>11</xdr:row>
      <xdr:rowOff>100794</xdr:rowOff>
    </xdr:to>
    <xdr:sp macro="" textlink="">
      <xdr:nvSpPr>
        <xdr:cNvPr id="2" name="Right Arrow 1">
          <a:extLst>
            <a:ext uri="{FF2B5EF4-FFF2-40B4-BE49-F238E27FC236}">
              <a16:creationId xmlns:a16="http://schemas.microsoft.com/office/drawing/2014/main" id="{8E6E343C-D62B-BB46-A427-0B0D9185EAB6}"/>
            </a:ext>
          </a:extLst>
        </xdr:cNvPr>
        <xdr:cNvSpPr/>
      </xdr:nvSpPr>
      <xdr:spPr>
        <a:xfrm>
          <a:off x="4521805" y="2163032"/>
          <a:ext cx="1241375" cy="172962"/>
        </a:xfrm>
        <a:prstGeom prst="rightArrow">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241905</xdr:colOff>
      <xdr:row>10</xdr:row>
      <xdr:rowOff>131032</xdr:rowOff>
    </xdr:from>
    <xdr:to>
      <xdr:col>4</xdr:col>
      <xdr:colOff>645080</xdr:colOff>
      <xdr:row>11</xdr:row>
      <xdr:rowOff>100794</xdr:rowOff>
    </xdr:to>
    <xdr:sp macro="" textlink="">
      <xdr:nvSpPr>
        <xdr:cNvPr id="2" name="Right Arrow 1">
          <a:extLst>
            <a:ext uri="{FF2B5EF4-FFF2-40B4-BE49-F238E27FC236}">
              <a16:creationId xmlns:a16="http://schemas.microsoft.com/office/drawing/2014/main" id="{7F307334-369E-8540-BF02-CE1831EDACEC}"/>
            </a:ext>
          </a:extLst>
        </xdr:cNvPr>
        <xdr:cNvSpPr/>
      </xdr:nvSpPr>
      <xdr:spPr>
        <a:xfrm>
          <a:off x="4521805" y="2163032"/>
          <a:ext cx="1241375" cy="172962"/>
        </a:xfrm>
        <a:prstGeom prst="rightArrow">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41F79DBC-BE14-1641-84C0-339BF3917817}"/>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2</xdr:col>
      <xdr:colOff>525960</xdr:colOff>
      <xdr:row>0</xdr:row>
      <xdr:rowOff>271367</xdr:rowOff>
    </xdr:from>
    <xdr:to>
      <xdr:col>12</xdr:col>
      <xdr:colOff>973361</xdr:colOff>
      <xdr:row>11</xdr:row>
      <xdr:rowOff>54273</xdr:rowOff>
    </xdr:to>
    <xdr:sp macro="" textlink="">
      <xdr:nvSpPr>
        <xdr:cNvPr id="3" name="TextBox 2">
          <a:extLst>
            <a:ext uri="{FF2B5EF4-FFF2-40B4-BE49-F238E27FC236}">
              <a16:creationId xmlns:a16="http://schemas.microsoft.com/office/drawing/2014/main" id="{BD1FDBB6-0948-D141-A21C-68AAF25F2FC0}"/>
            </a:ext>
          </a:extLst>
        </xdr:cNvPr>
        <xdr:cNvSpPr txBox="1"/>
      </xdr:nvSpPr>
      <xdr:spPr>
        <a:xfrm>
          <a:off x="3497760" y="271367"/>
          <a:ext cx="14036401" cy="21197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 summary/reflection</a:t>
          </a:r>
        </a:p>
        <a:p>
          <a:endParaRPr lang="en-US" sz="1100" baseline="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4D3E8490-2322-484F-93D7-D6198D161337}"/>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DCA4ADC7-3674-9745-98EB-F2D2206FE99E}"/>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3D3AB882-4A84-914A-92CF-2C296FAB41D4}"/>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2</xdr:col>
      <xdr:colOff>525960</xdr:colOff>
      <xdr:row>0</xdr:row>
      <xdr:rowOff>271367</xdr:rowOff>
    </xdr:from>
    <xdr:to>
      <xdr:col>12</xdr:col>
      <xdr:colOff>973361</xdr:colOff>
      <xdr:row>11</xdr:row>
      <xdr:rowOff>54273</xdr:rowOff>
    </xdr:to>
    <xdr:sp macro="" textlink="">
      <xdr:nvSpPr>
        <xdr:cNvPr id="3" name="TextBox 2">
          <a:extLst>
            <a:ext uri="{FF2B5EF4-FFF2-40B4-BE49-F238E27FC236}">
              <a16:creationId xmlns:a16="http://schemas.microsoft.com/office/drawing/2014/main" id="{D68AAEAC-A869-EB41-905C-E3DC1B2FDE17}"/>
            </a:ext>
          </a:extLst>
        </xdr:cNvPr>
        <xdr:cNvSpPr txBox="1"/>
      </xdr:nvSpPr>
      <xdr:spPr>
        <a:xfrm>
          <a:off x="3497760" y="271367"/>
          <a:ext cx="14036401" cy="21197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 summary/reflection</a:t>
          </a:r>
        </a:p>
        <a:p>
          <a:endParaRPr lang="en-US" sz="1100" baseline="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CB7943F5-CDCE-5D4B-942D-8AFBE3EE3B86}"/>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6E3BBCEE-299E-1E46-AC12-49181EA58333}"/>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85AB3461-041A-2540-9AF2-29C0A61FEA77}"/>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2</xdr:col>
      <xdr:colOff>525960</xdr:colOff>
      <xdr:row>0</xdr:row>
      <xdr:rowOff>271367</xdr:rowOff>
    </xdr:from>
    <xdr:to>
      <xdr:col>12</xdr:col>
      <xdr:colOff>973361</xdr:colOff>
      <xdr:row>11</xdr:row>
      <xdr:rowOff>54273</xdr:rowOff>
    </xdr:to>
    <xdr:sp macro="" textlink="">
      <xdr:nvSpPr>
        <xdr:cNvPr id="3" name="TextBox 2">
          <a:extLst>
            <a:ext uri="{FF2B5EF4-FFF2-40B4-BE49-F238E27FC236}">
              <a16:creationId xmlns:a16="http://schemas.microsoft.com/office/drawing/2014/main" id="{41666F42-83C3-1240-ACEF-7CAD4A112CFE}"/>
            </a:ext>
          </a:extLst>
        </xdr:cNvPr>
        <xdr:cNvSpPr txBox="1"/>
      </xdr:nvSpPr>
      <xdr:spPr>
        <a:xfrm>
          <a:off x="3497760" y="271367"/>
          <a:ext cx="14036401" cy="21197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 summary/reflection</a:t>
          </a:r>
        </a:p>
        <a:p>
          <a:endParaRPr lang="en-US" sz="1100" baseline="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E8111DE2-C899-5F4A-97EC-6AB71B285914}"/>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D29A97D5-F936-9444-B3D8-4D6586F14B93}"/>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3</xdr:col>
      <xdr:colOff>241905</xdr:colOff>
      <xdr:row>10</xdr:row>
      <xdr:rowOff>131032</xdr:rowOff>
    </xdr:from>
    <xdr:to>
      <xdr:col>4</xdr:col>
      <xdr:colOff>645080</xdr:colOff>
      <xdr:row>11</xdr:row>
      <xdr:rowOff>100794</xdr:rowOff>
    </xdr:to>
    <xdr:sp macro="" textlink="">
      <xdr:nvSpPr>
        <xdr:cNvPr id="2" name="Right Arrow 1">
          <a:extLst>
            <a:ext uri="{FF2B5EF4-FFF2-40B4-BE49-F238E27FC236}">
              <a16:creationId xmlns:a16="http://schemas.microsoft.com/office/drawing/2014/main" id="{57ED63A8-8808-4B4A-8CAE-83CAD0E25D23}"/>
            </a:ext>
          </a:extLst>
        </xdr:cNvPr>
        <xdr:cNvSpPr/>
      </xdr:nvSpPr>
      <xdr:spPr>
        <a:xfrm>
          <a:off x="4521805" y="2163032"/>
          <a:ext cx="1241375" cy="172962"/>
        </a:xfrm>
        <a:prstGeom prst="rightArrow">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FCA749ED-EC29-124F-8BB7-1917F6940D4A}"/>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2</xdr:col>
      <xdr:colOff>525960</xdr:colOff>
      <xdr:row>0</xdr:row>
      <xdr:rowOff>271367</xdr:rowOff>
    </xdr:from>
    <xdr:to>
      <xdr:col>12</xdr:col>
      <xdr:colOff>973361</xdr:colOff>
      <xdr:row>11</xdr:row>
      <xdr:rowOff>54273</xdr:rowOff>
    </xdr:to>
    <xdr:sp macro="" textlink="">
      <xdr:nvSpPr>
        <xdr:cNvPr id="3" name="TextBox 2">
          <a:extLst>
            <a:ext uri="{FF2B5EF4-FFF2-40B4-BE49-F238E27FC236}">
              <a16:creationId xmlns:a16="http://schemas.microsoft.com/office/drawing/2014/main" id="{E411620B-0AE6-CE49-8E31-6B4AB9800559}"/>
            </a:ext>
          </a:extLst>
        </xdr:cNvPr>
        <xdr:cNvSpPr txBox="1"/>
      </xdr:nvSpPr>
      <xdr:spPr>
        <a:xfrm>
          <a:off x="3497760" y="271367"/>
          <a:ext cx="12944201" cy="21197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Q(9) summary/reflection</a:t>
          </a:r>
        </a:p>
        <a:p>
          <a:endParaRPr lang="en-US" sz="1100" baseline="0"/>
        </a:p>
        <a:p>
          <a:r>
            <a:rPr lang="en-US" sz="1100" baseline="0"/>
            <a:t>1. Recheck the pricing</a:t>
          </a:r>
        </a:p>
        <a:p>
          <a:r>
            <a:rPr lang="en-US" sz="1100" baseline="0"/>
            <a:t>2. Not too positive in the low quarter</a:t>
          </a:r>
        </a:p>
        <a:p>
          <a:r>
            <a:rPr lang="en-US" sz="1100" baseline="0"/>
            <a:t>Debate on whether overtime,</a:t>
          </a:r>
        </a:p>
        <a:p>
          <a:r>
            <a:rPr lang="en-US" sz="1100" baseline="0"/>
            <a:t>pro: no cost for finished good, more avalable for busy season</a:t>
          </a:r>
        </a:p>
        <a:p>
          <a:r>
            <a:rPr lang="en-US" sz="1100" baseline="0"/>
            <a:t>cons: lower positive ROA overall</a:t>
          </a:r>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B2ED48C2-645D-3A45-B410-5F91450225FB}"/>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C944E7DA-4530-6440-9BEB-61C98C4A714D}"/>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FA6AE780-2FB6-A645-A6A3-F6B427B2CC9F}"/>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2</xdr:col>
      <xdr:colOff>525960</xdr:colOff>
      <xdr:row>0</xdr:row>
      <xdr:rowOff>271368</xdr:rowOff>
    </xdr:from>
    <xdr:to>
      <xdr:col>12</xdr:col>
      <xdr:colOff>973361</xdr:colOff>
      <xdr:row>10</xdr:row>
      <xdr:rowOff>76970</xdr:rowOff>
    </xdr:to>
    <xdr:sp macro="" textlink="">
      <xdr:nvSpPr>
        <xdr:cNvPr id="18" name="TextBox 2">
          <a:extLst>
            <a:ext uri="{FF2B5EF4-FFF2-40B4-BE49-F238E27FC236}">
              <a16:creationId xmlns:a16="http://schemas.microsoft.com/office/drawing/2014/main" id="{7493DEE5-C7CC-AB45-B369-BA71DACB8721}"/>
            </a:ext>
          </a:extLst>
        </xdr:cNvPr>
        <xdr:cNvSpPr txBox="1"/>
      </xdr:nvSpPr>
      <xdr:spPr>
        <a:xfrm>
          <a:off x="3496990" y="271368"/>
          <a:ext cx="14309644" cy="1914572"/>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Q(7) summary/reflection</a:t>
          </a:r>
        </a:p>
        <a:p>
          <a:endParaRPr lang="en-US" sz="1100" baseline="0"/>
        </a:p>
        <a:p>
          <a:r>
            <a:rPr lang="en-US" sz="1100" baseline="0"/>
            <a:t>Problem Solved: Regain the first ranking in region 2 market share</a:t>
          </a:r>
        </a:p>
        <a:p>
          <a:r>
            <a:rPr lang="en-US" sz="1100" baseline="0"/>
            <a:t>Issue: We did make a lost</a:t>
          </a:r>
        </a:p>
        <a:p>
          <a:r>
            <a:rPr lang="en-US" sz="1100" baseline="0"/>
            <a:t>Reason: Mal-prediction on competitors price, seems like get penalized by the pricing policy</a:t>
          </a:r>
        </a:p>
        <a:p>
          <a:r>
            <a:rPr lang="en-US" sz="1100" baseline="0"/>
            <a:t>Inter-confliction on aggresive/conservative move</a:t>
          </a:r>
        </a:p>
        <a:p>
          <a:endParaRPr lang="en-US" sz="1100" baseline="0"/>
        </a:p>
        <a:p>
          <a:r>
            <a:rPr lang="en-US" sz="1100" baseline="0"/>
            <a:t>- Increasing our price to $3,000 instead of maintaining the planned levels led to lower demand, reduced efficiency due to heaviy overtime, and ultimately contributed to our loss and excess inventory of 584 units. </a:t>
          </a:r>
        </a:p>
        <a:p>
          <a:r>
            <a:rPr lang="en-US" sz="1100" baseline="0"/>
            <a:t>- The price increase also reduced our profits margins and lowered our conversion rate, although our HR structure remained strong and consistent across quarters. </a:t>
          </a:r>
        </a:p>
        <a:p>
          <a:r>
            <a:rPr lang="en-US" sz="1100" baseline="0"/>
            <a:t>- Our innovation score increased to three, reinforcing our ongoing commitment to product development and differentiation. </a:t>
          </a:r>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6078FE99-8A3D-DF4E-B82C-032845022566}"/>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BC9FD69E-E711-1B48-9769-B17FA515730A}"/>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35FB73D2-D947-C942-BE11-5CE7C0505A89}"/>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2</xdr:col>
      <xdr:colOff>525960</xdr:colOff>
      <xdr:row>0</xdr:row>
      <xdr:rowOff>271367</xdr:rowOff>
    </xdr:from>
    <xdr:to>
      <xdr:col>12</xdr:col>
      <xdr:colOff>973361</xdr:colOff>
      <xdr:row>11</xdr:row>
      <xdr:rowOff>54273</xdr:rowOff>
    </xdr:to>
    <xdr:sp macro="" textlink="">
      <xdr:nvSpPr>
        <xdr:cNvPr id="3" name="TextBox 2">
          <a:extLst>
            <a:ext uri="{FF2B5EF4-FFF2-40B4-BE49-F238E27FC236}">
              <a16:creationId xmlns:a16="http://schemas.microsoft.com/office/drawing/2014/main" id="{53AD3076-5AF7-CB4C-9CB0-8F8E60EE5768}"/>
            </a:ext>
          </a:extLst>
        </xdr:cNvPr>
        <xdr:cNvSpPr txBox="1"/>
      </xdr:nvSpPr>
      <xdr:spPr>
        <a:xfrm>
          <a:off x="3497760" y="271367"/>
          <a:ext cx="12944201" cy="21197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 summary/reflection</a:t>
          </a:r>
        </a:p>
        <a:p>
          <a:endParaRPr lang="en-US" sz="1100" baseline="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5533B678-981A-C445-8361-AAC8D1D171D7}"/>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C973E046-0288-4942-A410-6C639C586358}"/>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35835C2A-5128-9E4B-AFCB-13576A39F8AA}"/>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2</xdr:col>
      <xdr:colOff>525960</xdr:colOff>
      <xdr:row>0</xdr:row>
      <xdr:rowOff>271367</xdr:rowOff>
    </xdr:from>
    <xdr:to>
      <xdr:col>12</xdr:col>
      <xdr:colOff>973361</xdr:colOff>
      <xdr:row>11</xdr:row>
      <xdr:rowOff>54273</xdr:rowOff>
    </xdr:to>
    <xdr:sp macro="" textlink="">
      <xdr:nvSpPr>
        <xdr:cNvPr id="7" name="TextBox 2">
          <a:extLst>
            <a:ext uri="{FF2B5EF4-FFF2-40B4-BE49-F238E27FC236}">
              <a16:creationId xmlns:a16="http://schemas.microsoft.com/office/drawing/2014/main" id="{5F566C61-191B-6E4D-956C-2753DD29AB91}"/>
            </a:ext>
          </a:extLst>
        </xdr:cNvPr>
        <xdr:cNvSpPr txBox="1"/>
      </xdr:nvSpPr>
      <xdr:spPr>
        <a:xfrm>
          <a:off x="3497760" y="271367"/>
          <a:ext cx="12944201" cy="21197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aseline="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B671BE3B-15A5-1640-BFD4-F928E1E06D20}"/>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4C499915-977F-134F-99DF-67C8BC98C299}"/>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5B551A5E-6699-0A43-B9C2-01976BAC95CD}"/>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1. Keep the previous combination of RM</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2. Keep the same or elevate the R&amp;D</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3. Keep high volumn on purchase/produce</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(reason: because of the moderate conversion rate)</a:t>
          </a:r>
          <a:r>
            <a:rPr lang="en-US">
              <a:effectLst/>
            </a:rPr>
            <a:t> </a:t>
          </a:r>
        </a:p>
        <a:p>
          <a:endParaRPr lang="en-US" sz="1100"/>
        </a:p>
      </xdr:txBody>
    </xdr:sp>
    <xdr:clientData/>
  </xdr:twoCellAnchor>
  <xdr:twoCellAnchor>
    <xdr:from>
      <xdr:col>0</xdr:col>
      <xdr:colOff>384848</xdr:colOff>
      <xdr:row>0</xdr:row>
      <xdr:rowOff>1</xdr:rowOff>
    </xdr:from>
    <xdr:to>
      <xdr:col>9</xdr:col>
      <xdr:colOff>1027634</xdr:colOff>
      <xdr:row>5</xdr:row>
      <xdr:rowOff>126032</xdr:rowOff>
    </xdr:to>
    <xdr:sp macro="" textlink="">
      <xdr:nvSpPr>
        <xdr:cNvPr id="3" name="TextBox 2">
          <a:extLst>
            <a:ext uri="{FF2B5EF4-FFF2-40B4-BE49-F238E27FC236}">
              <a16:creationId xmlns:a16="http://schemas.microsoft.com/office/drawing/2014/main" id="{49924DE7-9963-6743-87A3-943DBDA40C16}"/>
            </a:ext>
          </a:extLst>
        </xdr:cNvPr>
        <xdr:cNvSpPr txBox="1"/>
      </xdr:nvSpPr>
      <xdr:spPr>
        <a:xfrm>
          <a:off x="384848" y="1"/>
          <a:ext cx="12745886" cy="1243631"/>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Q7 Prediction and decision strategy</a:t>
          </a:r>
        </a:p>
        <a:p>
          <a:r>
            <a:rPr lang="en-US" sz="1100" baseline="0"/>
            <a:t>Overtime?</a:t>
          </a:r>
        </a:p>
        <a:p>
          <a:r>
            <a:rPr lang="en-US" sz="1100" baseline="0"/>
            <a:t>According to the predicted amount</a:t>
          </a:r>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02EB6DBA-5698-FA49-B2D3-3CDEB31CABBF}"/>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 We should increase the price, </a:t>
          </a:r>
          <a:r>
            <a:rPr lang="en-US">
              <a:effectLst/>
            </a:rPr>
            <a:t> </a:t>
          </a:r>
          <a:r>
            <a:rPr lang="en-US" sz="1100" b="0" i="0" u="none" strike="noStrike">
              <a:solidFill>
                <a:schemeClr val="dk1"/>
              </a:solidFill>
              <a:effectLst/>
              <a:latin typeface="+mn-lt"/>
              <a:ea typeface="+mn-ea"/>
              <a:cs typeface="+mn-cs"/>
            </a:rPr>
            <a:t>because our investment in R&amp;D will now have positive impact on the product</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r>
            <a:rPr lang="en-US" sz="1100"/>
            <a:t>Option: higher commision --&gt; higher conversion rate</a:t>
          </a:r>
        </a:p>
        <a:p>
          <a:r>
            <a:rPr lang="en-US" sz="1100"/>
            <a:t>pro: we do not need to increase our price to a much higher level</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F9B393CE-DFEE-C94E-A7E3-894B54139EA1}"/>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Is neutreul satisfaction good? </a:t>
          </a:r>
          <a:r>
            <a:rPr lang="en-US">
              <a:effectLst/>
            </a:rPr>
            <a:t> </a:t>
          </a:r>
        </a:p>
        <a:p>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C6484664-3370-5141-85D7-21AD7F561C6B}"/>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1. Keep the previous combination of RM</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2. Keep the same or elevate the R&amp;D</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3. Keep high volumn on purchase/produce</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(reason: because of the moderate conversion rate)</a:t>
          </a:r>
          <a:r>
            <a:rPr lang="en-US">
              <a:effectLst/>
            </a:rPr>
            <a:t> </a:t>
          </a:r>
        </a:p>
        <a:p>
          <a:endParaRPr lang="en-US" sz="1100"/>
        </a:p>
      </xdr:txBody>
    </xdr:sp>
    <xdr:clientData/>
  </xdr:twoCellAnchor>
  <xdr:twoCellAnchor>
    <xdr:from>
      <xdr:col>0</xdr:col>
      <xdr:colOff>384848</xdr:colOff>
      <xdr:row>0</xdr:row>
      <xdr:rowOff>1</xdr:rowOff>
    </xdr:from>
    <xdr:to>
      <xdr:col>9</xdr:col>
      <xdr:colOff>1027634</xdr:colOff>
      <xdr:row>5</xdr:row>
      <xdr:rowOff>126032</xdr:rowOff>
    </xdr:to>
    <xdr:sp macro="" textlink="">
      <xdr:nvSpPr>
        <xdr:cNvPr id="25" name="TextBox 2">
          <a:extLst>
            <a:ext uri="{FF2B5EF4-FFF2-40B4-BE49-F238E27FC236}">
              <a16:creationId xmlns:a16="http://schemas.microsoft.com/office/drawing/2014/main" id="{A6E23235-2208-ED41-A2E3-1C8A32298AE7}"/>
            </a:ext>
          </a:extLst>
        </xdr:cNvPr>
        <xdr:cNvSpPr txBox="1"/>
      </xdr:nvSpPr>
      <xdr:spPr>
        <a:xfrm>
          <a:off x="384848" y="1"/>
          <a:ext cx="12745886" cy="1243631"/>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Q6 summary/reflection</a:t>
          </a:r>
        </a:p>
        <a:p>
          <a:r>
            <a:rPr lang="en-US" sz="1100" b="1" baseline="0"/>
            <a:t>Great Prediction ( can put the comparison of Q6-Predict with P6-Validation)</a:t>
          </a:r>
        </a:p>
        <a:p>
          <a:r>
            <a:rPr lang="en-US" sz="1100" b="1" baseline="0"/>
            <a:t>Low productivity?? Why??</a:t>
          </a:r>
        </a:p>
        <a:p>
          <a:r>
            <a:rPr lang="en-US" sz="1100" baseline="0"/>
            <a:t>- Sales reached $2.55 million with a strong gross margin and a profit of $363,502, showing clear financial recovery and convirming that our pricing, A&amp;P, product positioning are working. </a:t>
          </a:r>
        </a:p>
        <a:p>
          <a:r>
            <a:rPr lang="en-US" sz="1100" baseline="0"/>
            <a:t>- With a 91% productivity, stable inventory levels, and high conversions in Regions 1, 2 and 4, our decisions effectively supported market performance despite Region 3's continued weakness. </a:t>
          </a:r>
        </a:p>
        <a:p>
          <a:r>
            <a:rPr lang="en-US" sz="1100" baseline="0"/>
            <a:t>- Employee satisfaction stayed steady with our consistent HR structure. </a:t>
          </a:r>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E89978AD-D152-4C41-A69A-72D0917596D1}"/>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 We should increase the price, </a:t>
          </a:r>
          <a:r>
            <a:rPr lang="en-US">
              <a:effectLst/>
            </a:rPr>
            <a:t> </a:t>
          </a:r>
          <a:r>
            <a:rPr lang="en-US" sz="1100" b="0" i="0" u="none" strike="noStrike">
              <a:solidFill>
                <a:schemeClr val="dk1"/>
              </a:solidFill>
              <a:effectLst/>
              <a:latin typeface="+mn-lt"/>
              <a:ea typeface="+mn-ea"/>
              <a:cs typeface="+mn-cs"/>
            </a:rPr>
            <a:t>because our investment in R&amp;D will now have positive impact on the product</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r>
            <a:rPr lang="en-US" sz="1100"/>
            <a:t>Option: higher commision --&gt; higher conversion rate</a:t>
          </a:r>
        </a:p>
        <a:p>
          <a:r>
            <a:rPr lang="en-US" sz="1100"/>
            <a:t>pro: we do not need to increase our price to a much higher level</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EDA08991-06C7-914B-A26B-07D477380075}"/>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Is neutreul satisfaction good? </a:t>
          </a:r>
          <a:r>
            <a:rPr lang="en-US">
              <a:effectLst/>
            </a:rPr>
            <a:t> </a:t>
          </a:r>
        </a:p>
        <a:p>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BD74FD78-81BA-F44F-B9DF-D31E5305C4E0}"/>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1. Keep the previous combination of RM</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2. Keep the same or elevate the R&amp;D</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3. Keep high volumn on purchase/produce</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(reason: because of the moderate conversion rate)</a:t>
          </a:r>
          <a:r>
            <a:rPr lang="en-US">
              <a:effectLst/>
            </a:rPr>
            <a:t> </a:t>
          </a:r>
        </a:p>
        <a:p>
          <a:endParaRPr lang="en-US" sz="1100"/>
        </a:p>
      </xdr:txBody>
    </xdr:sp>
    <xdr:clientData/>
  </xdr:twoCellAnchor>
  <xdr:twoCellAnchor>
    <xdr:from>
      <xdr:col>0</xdr:col>
      <xdr:colOff>384848</xdr:colOff>
      <xdr:row>0</xdr:row>
      <xdr:rowOff>1</xdr:rowOff>
    </xdr:from>
    <xdr:to>
      <xdr:col>9</xdr:col>
      <xdr:colOff>1027634</xdr:colOff>
      <xdr:row>5</xdr:row>
      <xdr:rowOff>126032</xdr:rowOff>
    </xdr:to>
    <xdr:sp macro="" textlink="">
      <xdr:nvSpPr>
        <xdr:cNvPr id="3" name="TextBox 2">
          <a:extLst>
            <a:ext uri="{FF2B5EF4-FFF2-40B4-BE49-F238E27FC236}">
              <a16:creationId xmlns:a16="http://schemas.microsoft.com/office/drawing/2014/main" id="{2A017E55-0CDC-4842-BB9B-E068820C9528}"/>
            </a:ext>
          </a:extLst>
        </xdr:cNvPr>
        <xdr:cNvSpPr txBox="1"/>
      </xdr:nvSpPr>
      <xdr:spPr>
        <a:xfrm>
          <a:off x="384848" y="1"/>
          <a:ext cx="12745886" cy="1243631"/>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Q5 summary/reflection</a:t>
          </a:r>
        </a:p>
        <a:p>
          <a:endParaRPr lang="en-US" sz="1100" baseline="0"/>
        </a:p>
        <a:p>
          <a:r>
            <a:rPr lang="en-US" sz="1100"/>
            <a:t>Region</a:t>
          </a:r>
          <a:r>
            <a:rPr lang="en-US" sz="1100" baseline="0"/>
            <a:t> 2 pricing strategy: </a:t>
          </a:r>
          <a:endParaRPr lang="en-US" sz="110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39ED8F6F-DF7A-4549-8778-743319CBCC7E}"/>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 We should increase the price, </a:t>
          </a:r>
          <a:r>
            <a:rPr lang="en-US">
              <a:effectLst/>
            </a:rPr>
            <a:t> </a:t>
          </a:r>
          <a:r>
            <a:rPr lang="en-US" sz="1100" b="0" i="0" u="none" strike="noStrike">
              <a:solidFill>
                <a:schemeClr val="dk1"/>
              </a:solidFill>
              <a:effectLst/>
              <a:latin typeface="+mn-lt"/>
              <a:ea typeface="+mn-ea"/>
              <a:cs typeface="+mn-cs"/>
            </a:rPr>
            <a:t>because our investment in R&amp;D will now have positive impact on the product</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r>
            <a:rPr lang="en-US" sz="1100"/>
            <a:t>Option: higher commision --&gt; higher conversion rate</a:t>
          </a:r>
        </a:p>
        <a:p>
          <a:r>
            <a:rPr lang="en-US" sz="1100"/>
            <a:t>pro: we do not need to increase our price to a much higher level</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6A693376-5D18-604B-932C-F2A421F90A45}"/>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Is neutreul satisfaction good? </a:t>
          </a:r>
          <a:r>
            <a:rPr lang="en-US">
              <a:effectLst/>
            </a:rPr>
            <a:t> </a:t>
          </a:r>
        </a:p>
        <a:p>
          <a:endParaRPr 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B6252FD7-EDFA-A24A-9E20-86CB573724B8}"/>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1. Keep the previous combination of RM</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2. Keep the same or elevate the R&amp;D</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3. Keep high volumn on purchase/produce</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(reason: because of the moderate conversion rate)</a:t>
          </a:r>
          <a:r>
            <a:rPr lang="en-US">
              <a:effectLst/>
            </a:rPr>
            <a:t> </a:t>
          </a:r>
        </a:p>
        <a:p>
          <a:endParaRPr lang="en-US" sz="1100"/>
        </a:p>
      </xdr:txBody>
    </xdr:sp>
    <xdr:clientData/>
  </xdr:twoCellAnchor>
  <xdr:twoCellAnchor>
    <xdr:from>
      <xdr:col>0</xdr:col>
      <xdr:colOff>384848</xdr:colOff>
      <xdr:row>0</xdr:row>
      <xdr:rowOff>0</xdr:rowOff>
    </xdr:from>
    <xdr:to>
      <xdr:col>9</xdr:col>
      <xdr:colOff>1027634</xdr:colOff>
      <xdr:row>5</xdr:row>
      <xdr:rowOff>174504</xdr:rowOff>
    </xdr:to>
    <xdr:sp macro="" textlink="">
      <xdr:nvSpPr>
        <xdr:cNvPr id="3" name="TextBox 2">
          <a:extLst>
            <a:ext uri="{FF2B5EF4-FFF2-40B4-BE49-F238E27FC236}">
              <a16:creationId xmlns:a16="http://schemas.microsoft.com/office/drawing/2014/main" id="{9597F72F-C32F-4A4F-9A18-99A8EDE404AA}"/>
            </a:ext>
          </a:extLst>
        </xdr:cNvPr>
        <xdr:cNvSpPr txBox="1"/>
      </xdr:nvSpPr>
      <xdr:spPr>
        <a:xfrm>
          <a:off x="384848" y="0"/>
          <a:ext cx="12751412" cy="1289389"/>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Q5 summary/reflection</a:t>
          </a:r>
        </a:p>
        <a:p>
          <a:r>
            <a:rPr lang="en-US" sz="1100"/>
            <a:t>For previous quarter, we are conservative because of low anticipated demand and low anticipated conversion rate, which was reasonable under the condition. However, the RM purchased amount did guarantee that we have at least 1200 unit of RM available for Q+1.</a:t>
          </a:r>
        </a:p>
        <a:p>
          <a:r>
            <a:rPr lang="en-US" sz="1100"/>
            <a:t>- A&amp;P rankings significantly influence our sales, leading us to increase Region 2's A&amp;P budget, add extra salesperson, and lower our price to stay competitive,</a:t>
          </a:r>
          <a:r>
            <a:rPr lang="en-US" sz="1100" baseline="0"/>
            <a:t> boosting demand. </a:t>
          </a:r>
        </a:p>
        <a:p>
          <a:r>
            <a:rPr lang="en-US" sz="1100" baseline="0"/>
            <a:t>- We targeted top A&amp;P rankings for Regions 1, 2 and 4 to maximize return on our differentiation strategy. We stepped back from Region 3's competitiveness, reallocating resources where they would be more effective.</a:t>
          </a:r>
        </a:p>
        <a:p>
          <a:r>
            <a:rPr lang="en-US" sz="1100" baseline="0"/>
            <a:t>- Enhanced our HR benefits, increased salary, invested more in training/CSR and R&amp;D. This got us to a high team satisfaction and improved our innovation. </a:t>
          </a:r>
          <a:endParaRPr lang="en-US" sz="110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74FFF1C9-3222-9E42-8F76-A49E2B5E968A}"/>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 We should increase the price, </a:t>
          </a:r>
          <a:r>
            <a:rPr lang="en-US">
              <a:effectLst/>
            </a:rPr>
            <a:t> </a:t>
          </a:r>
          <a:r>
            <a:rPr lang="en-US" sz="1100" b="0" i="0" u="none" strike="noStrike">
              <a:solidFill>
                <a:schemeClr val="dk1"/>
              </a:solidFill>
              <a:effectLst/>
              <a:latin typeface="+mn-lt"/>
              <a:ea typeface="+mn-ea"/>
              <a:cs typeface="+mn-cs"/>
            </a:rPr>
            <a:t>because our investment in R&amp;D will now have positive impact on the product</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r>
            <a:rPr lang="en-US" sz="1100"/>
            <a:t>Option: higher commision --&gt; higher conversion rate</a:t>
          </a:r>
        </a:p>
        <a:p>
          <a:r>
            <a:rPr lang="en-US" sz="1100"/>
            <a:t>pro: we do not need to increase our price to a much higher level</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0DB2181F-2DE0-2F46-979D-25199B80E98C}"/>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Is neutreul satisfaction good? </a:t>
          </a:r>
          <a:r>
            <a:rPr lang="en-US">
              <a:effectLst/>
            </a:rPr>
            <a:t> </a:t>
          </a:r>
        </a:p>
        <a:p>
          <a:endParaRPr 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0F7A8A8A-BC18-0A42-9FF8-25E0BD81A44E}"/>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1. Keep the previous combination of RM</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2. Keep the same or elevate the R&amp;D</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3. Keep high volumn on purchase/produce</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(reason: because of the moderate conversion rate)</a:t>
          </a:r>
          <a:r>
            <a:rPr lang="en-US">
              <a:effectLst/>
            </a:rPr>
            <a:t> </a:t>
          </a:r>
        </a:p>
        <a:p>
          <a:endParaRPr lang="en-US" sz="1100"/>
        </a:p>
      </xdr:txBody>
    </xdr:sp>
    <xdr:clientData/>
  </xdr:twoCellAnchor>
  <xdr:twoCellAnchor>
    <xdr:from>
      <xdr:col>0</xdr:col>
      <xdr:colOff>384848</xdr:colOff>
      <xdr:row>0</xdr:row>
      <xdr:rowOff>0</xdr:rowOff>
    </xdr:from>
    <xdr:to>
      <xdr:col>9</xdr:col>
      <xdr:colOff>1027634</xdr:colOff>
      <xdr:row>9</xdr:row>
      <xdr:rowOff>135724</xdr:rowOff>
    </xdr:to>
    <xdr:sp macro="" textlink="">
      <xdr:nvSpPr>
        <xdr:cNvPr id="3" name="TextBox 2">
          <a:extLst>
            <a:ext uri="{FF2B5EF4-FFF2-40B4-BE49-F238E27FC236}">
              <a16:creationId xmlns:a16="http://schemas.microsoft.com/office/drawing/2014/main" id="{C0079F7A-4C08-A24E-9B38-8189517AC53E}"/>
            </a:ext>
          </a:extLst>
        </xdr:cNvPr>
        <xdr:cNvSpPr txBox="1"/>
      </xdr:nvSpPr>
      <xdr:spPr>
        <a:xfrm>
          <a:off x="384848" y="0"/>
          <a:ext cx="12751412" cy="2064961"/>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issue or impovement to make:</a:t>
          </a:r>
        </a:p>
        <a:p>
          <a:pPr marL="0" marR="0" lvl="0" indent="0" defTabSz="914400" eaLnBrk="1" fontAlgn="auto" latinLnBrk="0" hangingPunct="1">
            <a:lnSpc>
              <a:spcPct val="100000"/>
            </a:lnSpc>
            <a:spcBef>
              <a:spcPts val="0"/>
            </a:spcBef>
            <a:spcAft>
              <a:spcPts val="0"/>
            </a:spcAft>
            <a:buClrTx/>
            <a:buSzTx/>
            <a:buFontTx/>
            <a:buNone/>
            <a:tabLst/>
            <a:defRPr/>
          </a:pPr>
          <a:r>
            <a:rPr lang="en-US">
              <a:solidFill>
                <a:srgbClr val="FF0000"/>
              </a:solidFill>
              <a:effectLst/>
            </a:rPr>
            <a:t>New</a:t>
          </a:r>
          <a:r>
            <a:rPr lang="en-US" baseline="0">
              <a:solidFill>
                <a:srgbClr val="FF0000"/>
              </a:solidFill>
              <a:effectLst/>
            </a:rPr>
            <a:t> finding: Sales unit will be effected on the ranking of a&amp;p investment</a:t>
          </a:r>
          <a:endParaRPr lang="en-US">
            <a:solidFill>
              <a:srgbClr val="FF0000"/>
            </a:solidFill>
            <a:effectLst/>
          </a:endParaRPr>
        </a:p>
        <a:p>
          <a:r>
            <a:rPr lang="en-US" sz="1100"/>
            <a:t>Region 2: Increase</a:t>
          </a:r>
          <a:r>
            <a:rPr lang="en-US" sz="1100" baseline="0"/>
            <a:t> a&amp;p, extra sales person, lower the price ( focus region)</a:t>
          </a:r>
          <a:br>
            <a:rPr lang="en-US" sz="1100" baseline="0"/>
          </a:br>
          <a:r>
            <a:rPr lang="en-US" sz="1100" baseline="0"/>
            <a:t> innovation</a:t>
          </a:r>
        </a:p>
        <a:p>
          <a:endParaRPr lang="en-US" sz="1100" baseline="0"/>
        </a:p>
        <a:p>
          <a:r>
            <a:rPr lang="en-US" sz="1100" baseline="0"/>
            <a:t>Check the final A&amp;P investment amount from last quarter, we aim to have the first place in region 1,2,4 to secure our sales unit. For region 3, since 2 teams are competing for the market share with low price. We stepped back. And region 2 another sales region.</a:t>
          </a:r>
        </a:p>
        <a:p>
          <a:r>
            <a:rPr lang="en-US" sz="1100" baseline="0"/>
            <a:t>We adjust the benefit and increase the salary according to the information in the newsletter.</a:t>
          </a:r>
        </a:p>
        <a:p>
          <a:r>
            <a:rPr lang="en-US" sz="1100" baseline="0"/>
            <a:t>We level up the R&amp;D investment, we do want to level up the innovation level which along with our differentiation strategy.</a:t>
          </a:r>
        </a:p>
        <a:p>
          <a:r>
            <a:rPr lang="en-US" sz="1100" baseline="0"/>
            <a:t>When deciding the price, we communicate with other team ( LOLL and EcoChill) They told us about their price increasing, so we pick a safe upperbound of the price.</a:t>
          </a:r>
        </a:p>
        <a:p>
          <a:r>
            <a:rPr lang="en-US" sz="1100" baseline="0"/>
            <a:t>With the simulation , and with non-positive conversion rate, the final decision would save us from making a loss.</a:t>
          </a:r>
        </a:p>
        <a:p>
          <a:endParaRPr lang="en-US" sz="1100" baseline="0"/>
        </a:p>
        <a:p>
          <a:endParaRPr lang="en-US" sz="110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F021BE09-1277-5A4E-B271-61715DA589FF}"/>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 We should increase the price, </a:t>
          </a:r>
          <a:r>
            <a:rPr lang="en-US">
              <a:effectLst/>
            </a:rPr>
            <a:t> </a:t>
          </a:r>
          <a:r>
            <a:rPr lang="en-US" sz="1100" b="0" i="0" u="none" strike="noStrike">
              <a:solidFill>
                <a:schemeClr val="dk1"/>
              </a:solidFill>
              <a:effectLst/>
              <a:latin typeface="+mn-lt"/>
              <a:ea typeface="+mn-ea"/>
              <a:cs typeface="+mn-cs"/>
            </a:rPr>
            <a:t>because our investment in R&amp;D will now have positive impact on the product</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r>
            <a:rPr lang="en-US" sz="1100"/>
            <a:t>Option: higher commision --&gt; higher conversion rate</a:t>
          </a:r>
        </a:p>
        <a:p>
          <a:r>
            <a:rPr lang="en-US" sz="1100"/>
            <a:t>pro: we do not need to increase our price to a much higher level</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E71EC4BF-5A18-2E44-A196-913A74772577}"/>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Is neutreul satisfaction good? </a:t>
          </a:r>
          <a:r>
            <a:rPr lang="en-US">
              <a:effectLst/>
            </a:rPr>
            <a:t> </a:t>
          </a:r>
        </a:p>
        <a:p>
          <a:endParaRPr lang="en-US" sz="1100"/>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82AF0D45-6C61-CE44-95D1-6BF6F05AD885}"/>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0</xdr:col>
      <xdr:colOff>384849</xdr:colOff>
      <xdr:row>0</xdr:row>
      <xdr:rowOff>0</xdr:rowOff>
    </xdr:from>
    <xdr:to>
      <xdr:col>3</xdr:col>
      <xdr:colOff>721591</xdr:colOff>
      <xdr:row>8</xdr:row>
      <xdr:rowOff>48106</xdr:rowOff>
    </xdr:to>
    <xdr:sp macro="" textlink="">
      <xdr:nvSpPr>
        <xdr:cNvPr id="25" name="TextBox 2">
          <a:extLst>
            <a:ext uri="{FF2B5EF4-FFF2-40B4-BE49-F238E27FC236}">
              <a16:creationId xmlns:a16="http://schemas.microsoft.com/office/drawing/2014/main" id="{F0D24622-DCD6-6E42-A0F5-F0EFAEAE009C}"/>
            </a:ext>
          </a:extLst>
        </xdr:cNvPr>
        <xdr:cNvSpPr txBox="1"/>
      </xdr:nvSpPr>
      <xdr:spPr>
        <a:xfrm>
          <a:off x="384849" y="0"/>
          <a:ext cx="4375342" cy="17753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effectLst/>
            </a:rPr>
            <a:t>Performance</a:t>
          </a:r>
          <a:r>
            <a:rPr lang="en-US" sz="1100" baseline="0">
              <a:effectLst/>
            </a:rPr>
            <a:t> Comment:</a:t>
          </a:r>
        </a:p>
        <a:p>
          <a:r>
            <a:rPr lang="en-US" sz="1100" baseline="0">
              <a:effectLst/>
            </a:rPr>
            <a:t>1. Low conversion rate, expecially region 2</a:t>
          </a:r>
        </a:p>
        <a:p>
          <a:r>
            <a:rPr lang="en-US" sz="1100" baseline="0">
              <a:effectLst/>
            </a:rPr>
            <a:t>2.</a:t>
          </a:r>
          <a:r>
            <a:rPr lang="zh-CN" altLang="en-US" sz="1100" baseline="0">
              <a:effectLst/>
            </a:rPr>
            <a:t> </a:t>
          </a:r>
          <a:r>
            <a:rPr lang="en-US" altLang="zh-CN" sz="1100" baseline="0">
              <a:effectLst/>
            </a:rPr>
            <a:t>Innovation level, need to be up</a:t>
          </a:r>
          <a:endParaRPr lang="en-US">
            <a:effectLst/>
          </a:endParaRPr>
        </a:p>
        <a:p>
          <a:endParaRPr lang="en-US" sz="1100"/>
        </a:p>
        <a:p>
          <a:r>
            <a:rPr lang="en-US" sz="1100"/>
            <a:t>- With</a:t>
          </a:r>
          <a:r>
            <a:rPr lang="en-US" sz="1100" baseline="0"/>
            <a:t> demand weaking and 52% conversion rate, we ended with high-finished goods inventory, especially regions with weak A&amp;P rankings. </a:t>
          </a:r>
        </a:p>
        <a:p>
          <a:r>
            <a:rPr lang="en-US" sz="1100" baseline="0"/>
            <a:t>- Low production sales and high costs created pressure on cash-flow pressure, forcing us to rely heavily on automatic loans and revealing that our current sales performance can't sustain our liquidity needs. Neutral team satisfaction. </a:t>
          </a:r>
          <a:endParaRPr lang="en-US" sz="1100"/>
        </a:p>
        <a:p>
          <a:endParaRPr lang="en-US" sz="110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06DC9F46-8C9E-CD45-A7DF-55344B389B98}"/>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B1DCE6D9-D129-9642-B475-CB59A5DDCB2A}"/>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editAs="oneCell">
    <xdr:from>
      <xdr:col>3</xdr:col>
      <xdr:colOff>798287</xdr:colOff>
      <xdr:row>0</xdr:row>
      <xdr:rowOff>0</xdr:rowOff>
    </xdr:from>
    <xdr:to>
      <xdr:col>8</xdr:col>
      <xdr:colOff>625929</xdr:colOff>
      <xdr:row>9</xdr:row>
      <xdr:rowOff>83425</xdr:rowOff>
    </xdr:to>
    <xdr:pic>
      <xdr:nvPicPr>
        <xdr:cNvPr id="3" name="Picture 2">
          <a:extLst>
            <a:ext uri="{FF2B5EF4-FFF2-40B4-BE49-F238E27FC236}">
              <a16:creationId xmlns:a16="http://schemas.microsoft.com/office/drawing/2014/main" id="{7FFD2BB1-E601-D082-31C4-248928405153}"/>
            </a:ext>
          </a:extLst>
        </xdr:cNvPr>
        <xdr:cNvPicPr>
          <a:picLocks noChangeAspect="1"/>
        </xdr:cNvPicPr>
      </xdr:nvPicPr>
      <xdr:blipFill>
        <a:blip xmlns:r="http://schemas.openxmlformats.org/officeDocument/2006/relationships" r:embed="rId1"/>
        <a:stretch>
          <a:fillRect/>
        </a:stretch>
      </xdr:blipFill>
      <xdr:spPr>
        <a:xfrm>
          <a:off x="4844144" y="0"/>
          <a:ext cx="6458856" cy="1988425"/>
        </a:xfrm>
        <a:prstGeom prst="rect">
          <a:avLst/>
        </a:prstGeom>
      </xdr:spPr>
    </xdr:pic>
    <xdr:clientData/>
  </xdr:twoCellAnchor>
  <xdr:twoCellAnchor editAs="oneCell">
    <xdr:from>
      <xdr:col>3</xdr:col>
      <xdr:colOff>889000</xdr:colOff>
      <xdr:row>4</xdr:row>
      <xdr:rowOff>163285</xdr:rowOff>
    </xdr:from>
    <xdr:to>
      <xdr:col>8</xdr:col>
      <xdr:colOff>1306286</xdr:colOff>
      <xdr:row>11</xdr:row>
      <xdr:rowOff>118052</xdr:rowOff>
    </xdr:to>
    <xdr:pic>
      <xdr:nvPicPr>
        <xdr:cNvPr id="6" name="Picture 5">
          <a:extLst>
            <a:ext uri="{FF2B5EF4-FFF2-40B4-BE49-F238E27FC236}">
              <a16:creationId xmlns:a16="http://schemas.microsoft.com/office/drawing/2014/main" id="{04C86D89-62E8-F02B-A78C-88DB915F27F0}"/>
            </a:ext>
          </a:extLst>
        </xdr:cNvPr>
        <xdr:cNvPicPr>
          <a:picLocks noChangeAspect="1"/>
        </xdr:cNvPicPr>
      </xdr:nvPicPr>
      <xdr:blipFill>
        <a:blip xmlns:r="http://schemas.openxmlformats.org/officeDocument/2006/relationships" r:embed="rId2"/>
        <a:stretch>
          <a:fillRect/>
        </a:stretch>
      </xdr:blipFill>
      <xdr:spPr>
        <a:xfrm>
          <a:off x="4934857" y="1070428"/>
          <a:ext cx="7048500" cy="135176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74AB5608-285F-5049-902E-1428774E28C4}"/>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1. Keep the previous combination of RM</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2. Keep the same or elevate the R&amp;D</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3. Keep high volumn on purchase/produce</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(reason: because of the moderate conversion rate)</a:t>
          </a:r>
          <a:r>
            <a:rPr lang="en-US">
              <a:effectLst/>
            </a:rPr>
            <a:t> </a:t>
          </a:r>
        </a:p>
        <a:p>
          <a:endParaRPr lang="en-US" sz="1100"/>
        </a:p>
      </xdr:txBody>
    </xdr:sp>
    <xdr:clientData/>
  </xdr:twoCellAnchor>
  <xdr:twoCellAnchor>
    <xdr:from>
      <xdr:col>0</xdr:col>
      <xdr:colOff>384849</xdr:colOff>
      <xdr:row>0</xdr:row>
      <xdr:rowOff>0</xdr:rowOff>
    </xdr:from>
    <xdr:to>
      <xdr:col>3</xdr:col>
      <xdr:colOff>721591</xdr:colOff>
      <xdr:row>8</xdr:row>
      <xdr:rowOff>48106</xdr:rowOff>
    </xdr:to>
    <xdr:sp macro="" textlink="">
      <xdr:nvSpPr>
        <xdr:cNvPr id="18" name="TextBox 2">
          <a:extLst>
            <a:ext uri="{FF2B5EF4-FFF2-40B4-BE49-F238E27FC236}">
              <a16:creationId xmlns:a16="http://schemas.microsoft.com/office/drawing/2014/main" id="{160D60B5-CA78-9648-9DE5-D8B61227FF39}"/>
            </a:ext>
          </a:extLst>
        </xdr:cNvPr>
        <xdr:cNvSpPr txBox="1"/>
      </xdr:nvSpPr>
      <xdr:spPr>
        <a:xfrm>
          <a:off x="384849" y="0"/>
          <a:ext cx="4375342" cy="17753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issue or impovement to make:</a:t>
          </a: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1.</a:t>
          </a:r>
          <a:r>
            <a:rPr lang="en-US" baseline="0">
              <a:effectLst/>
            </a:rPr>
            <a:t> </a:t>
          </a:r>
          <a:endParaRPr lang="en-US">
            <a:effectLst/>
          </a:endParaRPr>
        </a:p>
        <a:p>
          <a:endParaRPr lang="en-US" sz="110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3458938E-B5EF-024F-AE33-5B3BF459F14B}"/>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 We should increase the price, </a:t>
          </a:r>
          <a:r>
            <a:rPr lang="en-US">
              <a:effectLst/>
            </a:rPr>
            <a:t> </a:t>
          </a:r>
          <a:r>
            <a:rPr lang="en-US" sz="1100" b="0" i="0" u="none" strike="noStrike">
              <a:solidFill>
                <a:schemeClr val="dk1"/>
              </a:solidFill>
              <a:effectLst/>
              <a:latin typeface="+mn-lt"/>
              <a:ea typeface="+mn-ea"/>
              <a:cs typeface="+mn-cs"/>
            </a:rPr>
            <a:t>because our investment in R&amp;D will now have positive impact on the product</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r>
            <a:rPr lang="en-US" sz="1100"/>
            <a:t>Option: higher commision --&gt; higher conversion rate</a:t>
          </a:r>
        </a:p>
        <a:p>
          <a:r>
            <a:rPr lang="en-US" sz="1100"/>
            <a:t>pro: we do not need to increase our price to a much higher level</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BC991057-F430-3D47-83B3-B448D777C311}"/>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Is neutreul satisfaction good? </a:t>
          </a:r>
          <a:r>
            <a:rPr lang="en-US">
              <a:effectLst/>
            </a:rPr>
            <a:t> </a:t>
          </a:r>
        </a:p>
        <a:p>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BFA72A9D-173D-0B4D-BBEB-34E6E385D3BB}"/>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twoCellAnchor>
    <xdr:from>
      <xdr:col>0</xdr:col>
      <xdr:colOff>384849</xdr:colOff>
      <xdr:row>0</xdr:row>
      <xdr:rowOff>0</xdr:rowOff>
    </xdr:from>
    <xdr:to>
      <xdr:col>3</xdr:col>
      <xdr:colOff>721591</xdr:colOff>
      <xdr:row>8</xdr:row>
      <xdr:rowOff>48106</xdr:rowOff>
    </xdr:to>
    <xdr:sp macro="" textlink="">
      <xdr:nvSpPr>
        <xdr:cNvPr id="3" name="TextBox 2">
          <a:extLst>
            <a:ext uri="{FF2B5EF4-FFF2-40B4-BE49-F238E27FC236}">
              <a16:creationId xmlns:a16="http://schemas.microsoft.com/office/drawing/2014/main" id="{24D9B16E-E360-2947-889A-209836B94997}"/>
            </a:ext>
          </a:extLst>
        </xdr:cNvPr>
        <xdr:cNvSpPr txBox="1"/>
      </xdr:nvSpPr>
      <xdr:spPr>
        <a:xfrm>
          <a:off x="384849" y="0"/>
          <a:ext cx="4375342" cy="17753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effectLst/>
            </a:rPr>
            <a:t>Performance</a:t>
          </a:r>
          <a:r>
            <a:rPr lang="en-US" sz="1100" baseline="0">
              <a:effectLst/>
            </a:rPr>
            <a:t> Comment:</a:t>
          </a:r>
        </a:p>
        <a:p>
          <a:endParaRPr lang="en-US" sz="1100" baseline="0">
            <a:effectLst/>
          </a:endParaRPr>
        </a:p>
        <a:p>
          <a:r>
            <a:rPr lang="en-US" sz="1100" baseline="0">
              <a:effectLst/>
            </a:rPr>
            <a:t>- Competitor pricing placed us above market average, lowering our conversion rate, forcing us to recalculate profit. </a:t>
          </a:r>
        </a:p>
        <a:p>
          <a:r>
            <a:rPr lang="en-US" sz="1100" baseline="0">
              <a:effectLst/>
            </a:rPr>
            <a:t>- Our differentiation strategy and COGS misalignment limited our pricing flexibility, contributing weak cash flow and requiring an additional large sum of loan. </a:t>
          </a:r>
        </a:p>
        <a:p>
          <a:r>
            <a:rPr lang="en-US" sz="1100" baseline="0">
              <a:effectLst/>
            </a:rPr>
            <a:t>- To improve sales, we plan to increase the sales commission, expecting stronger conversion rates despite slightly reduced margins. </a:t>
          </a:r>
        </a:p>
        <a:p>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9A356E38-1C96-DD41-AE01-2E63AFC81B02}"/>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F7A4F22F-A76F-C34A-9F7A-8C5F0FEC6263}"/>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endParaRPr lang="en-US" sz="11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3" name="TextBox 2">
          <a:extLst>
            <a:ext uri="{FF2B5EF4-FFF2-40B4-BE49-F238E27FC236}">
              <a16:creationId xmlns:a16="http://schemas.microsoft.com/office/drawing/2014/main" id="{F9AEB37B-D625-C48D-2774-8D364D0A249F}"/>
            </a:ext>
          </a:extLst>
        </xdr:cNvPr>
        <xdr:cNvSpPr txBox="1"/>
      </xdr:nvSpPr>
      <xdr:spPr>
        <a:xfrm>
          <a:off x="327122" y="7494926"/>
          <a:ext cx="3838863" cy="1193030"/>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1. Keep the previous combination of RM</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2. Keep the same or elevate the R&amp;D</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3. Keep high volumn on purchase/produce</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(reason: because of the moderate conversion rate)</a:t>
          </a:r>
          <a:r>
            <a:rPr lang="en-US">
              <a:effectLst/>
            </a:rPr>
            <a:t> </a:t>
          </a:r>
        </a:p>
        <a:p>
          <a:endParaRPr lang="en-US" sz="1100"/>
        </a:p>
      </xdr:txBody>
    </xdr:sp>
    <xdr:clientData/>
  </xdr:twoCellAnchor>
  <xdr:twoCellAnchor>
    <xdr:from>
      <xdr:col>0</xdr:col>
      <xdr:colOff>384849</xdr:colOff>
      <xdr:row>0</xdr:row>
      <xdr:rowOff>0</xdr:rowOff>
    </xdr:from>
    <xdr:to>
      <xdr:col>3</xdr:col>
      <xdr:colOff>721591</xdr:colOff>
      <xdr:row>8</xdr:row>
      <xdr:rowOff>48106</xdr:rowOff>
    </xdr:to>
    <xdr:sp macro="" textlink="">
      <xdr:nvSpPr>
        <xdr:cNvPr id="4" name="TextBox 3">
          <a:extLst>
            <a:ext uri="{FF2B5EF4-FFF2-40B4-BE49-F238E27FC236}">
              <a16:creationId xmlns:a16="http://schemas.microsoft.com/office/drawing/2014/main" id="{F58C21F7-45E6-98B8-F108-6183086AB970}"/>
            </a:ext>
          </a:extLst>
        </xdr:cNvPr>
        <xdr:cNvSpPr txBox="1"/>
      </xdr:nvSpPr>
      <xdr:spPr>
        <a:xfrm>
          <a:off x="384849" y="0"/>
          <a:ext cx="4377651" cy="1770303"/>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issue or impovement to make: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1. new choice of plastic, gonna choose?</a:t>
          </a:r>
          <a:r>
            <a:rPr lang="en-US">
              <a:effectLst/>
            </a:rPr>
            <a:t> (Comment: </a:t>
          </a:r>
          <a:r>
            <a:rPr lang="en-US" sz="1100" b="0" i="0" u="none" strike="noStrike">
              <a:solidFill>
                <a:schemeClr val="dk1"/>
              </a:solidFill>
              <a:effectLst/>
              <a:latin typeface="+mn-lt"/>
              <a:ea typeface="+mn-ea"/>
              <a:cs typeface="+mn-cs"/>
            </a:rPr>
            <a:t>No</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2. Low conversion rate</a:t>
          </a:r>
          <a:r>
            <a:rPr lang="en-US">
              <a:effectLst/>
            </a:rPr>
            <a:t> (Comment: Increase our commision rate, 4% --&gt;8%</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3. Price </a:t>
          </a:r>
          <a:r>
            <a:rPr lang="en-US">
              <a:effectLst/>
            </a:rPr>
            <a:t> adjustment? (Comment: Recalculate, balance between having good profit margin and within the 30% boundary in the market</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5" name="TextBox 4">
          <a:extLst>
            <a:ext uri="{FF2B5EF4-FFF2-40B4-BE49-F238E27FC236}">
              <a16:creationId xmlns:a16="http://schemas.microsoft.com/office/drawing/2014/main" id="{A23D041E-710B-F8B4-F153-AA9CC0F393B0}"/>
            </a:ext>
          </a:extLst>
        </xdr:cNvPr>
        <xdr:cNvSpPr txBox="1"/>
      </xdr:nvSpPr>
      <xdr:spPr>
        <a:xfrm>
          <a:off x="471441" y="15951971"/>
          <a:ext cx="3511743" cy="1462424"/>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 We should increase the price, </a:t>
          </a:r>
          <a:r>
            <a:rPr lang="en-US">
              <a:effectLst/>
            </a:rPr>
            <a:t> </a:t>
          </a:r>
          <a:r>
            <a:rPr lang="en-US" sz="1100" b="0" i="0" u="none" strike="noStrike">
              <a:solidFill>
                <a:schemeClr val="dk1"/>
              </a:solidFill>
              <a:effectLst/>
              <a:latin typeface="+mn-lt"/>
              <a:ea typeface="+mn-ea"/>
              <a:cs typeface="+mn-cs"/>
            </a:rPr>
            <a:t>because our investment in R&amp;D will now have positive impact on the product</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r>
            <a:rPr lang="en-US" sz="1100"/>
            <a:t>Option: higher commision --&gt; higher conversion rate</a:t>
          </a:r>
        </a:p>
        <a:p>
          <a:r>
            <a:rPr lang="en-US" sz="1100"/>
            <a:t>pro: we do not need to increase our price to a much higher level</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6" name="TextBox 5">
          <a:extLst>
            <a:ext uri="{FF2B5EF4-FFF2-40B4-BE49-F238E27FC236}">
              <a16:creationId xmlns:a16="http://schemas.microsoft.com/office/drawing/2014/main" id="{C3E93982-75F7-DF86-B9DD-B47E503F7D0B}"/>
            </a:ext>
          </a:extLst>
        </xdr:cNvPr>
        <xdr:cNvSpPr txBox="1"/>
      </xdr:nvSpPr>
      <xdr:spPr>
        <a:xfrm>
          <a:off x="423333" y="20358484"/>
          <a:ext cx="3588712" cy="1164167"/>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Is neutreul satisfaction good? </a:t>
          </a:r>
          <a:r>
            <a:rPr lang="en-US">
              <a:effectLst/>
            </a:rPr>
            <a:t> </a:t>
          </a:r>
        </a:p>
        <a:p>
          <a:endParaRPr lang="en-US" sz="1100"/>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7</xdr:col>
      <xdr:colOff>116840</xdr:colOff>
      <xdr:row>3</xdr:row>
      <xdr:rowOff>187960</xdr:rowOff>
    </xdr:from>
    <xdr:to>
      <xdr:col>9</xdr:col>
      <xdr:colOff>508000</xdr:colOff>
      <xdr:row>6</xdr:row>
      <xdr:rowOff>149860</xdr:rowOff>
    </xdr:to>
    <xdr:sp macro="" textlink="">
      <xdr:nvSpPr>
        <xdr:cNvPr id="2" name="Oval 1">
          <a:extLst>
            <a:ext uri="{FF2B5EF4-FFF2-40B4-BE49-F238E27FC236}">
              <a16:creationId xmlns:a16="http://schemas.microsoft.com/office/drawing/2014/main" id="{ADAC5D63-60F4-AB4B-B6F0-BCEC3D18EEF3}"/>
            </a:ext>
          </a:extLst>
        </xdr:cNvPr>
        <xdr:cNvSpPr/>
      </xdr:nvSpPr>
      <xdr:spPr>
        <a:xfrm>
          <a:off x="6263640" y="797560"/>
          <a:ext cx="2037080" cy="571500"/>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Operations Cost </a:t>
          </a:r>
        </a:p>
      </xdr:txBody>
    </xdr:sp>
    <xdr:clientData/>
  </xdr:twoCellAnchor>
  <xdr:twoCellAnchor>
    <xdr:from>
      <xdr:col>6</xdr:col>
      <xdr:colOff>508000</xdr:colOff>
      <xdr:row>8</xdr:row>
      <xdr:rowOff>193040</xdr:rowOff>
    </xdr:from>
    <xdr:to>
      <xdr:col>9</xdr:col>
      <xdr:colOff>76200</xdr:colOff>
      <xdr:row>11</xdr:row>
      <xdr:rowOff>154940</xdr:rowOff>
    </xdr:to>
    <xdr:sp macro="" textlink="">
      <xdr:nvSpPr>
        <xdr:cNvPr id="3" name="Oval 2">
          <a:extLst>
            <a:ext uri="{FF2B5EF4-FFF2-40B4-BE49-F238E27FC236}">
              <a16:creationId xmlns:a16="http://schemas.microsoft.com/office/drawing/2014/main" id="{C6F313B2-439C-4847-A7FB-86D14C358394}"/>
            </a:ext>
          </a:extLst>
        </xdr:cNvPr>
        <xdr:cNvSpPr/>
      </xdr:nvSpPr>
      <xdr:spPr>
        <a:xfrm>
          <a:off x="5831840" y="1818640"/>
          <a:ext cx="2037080" cy="571500"/>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Unit Productions Cost </a:t>
          </a:r>
        </a:p>
      </xdr:txBody>
    </xdr:sp>
    <xdr:clientData/>
  </xdr:twoCellAnchor>
  <xdr:twoCellAnchor>
    <xdr:from>
      <xdr:col>4</xdr:col>
      <xdr:colOff>279533</xdr:colOff>
      <xdr:row>13</xdr:row>
      <xdr:rowOff>157188</xdr:rowOff>
    </xdr:from>
    <xdr:to>
      <xdr:col>6</xdr:col>
      <xdr:colOff>228733</xdr:colOff>
      <xdr:row>16</xdr:row>
      <xdr:rowOff>169888</xdr:rowOff>
    </xdr:to>
    <xdr:sp macro="" textlink="">
      <xdr:nvSpPr>
        <xdr:cNvPr id="4" name="Oval 3">
          <a:extLst>
            <a:ext uri="{FF2B5EF4-FFF2-40B4-BE49-F238E27FC236}">
              <a16:creationId xmlns:a16="http://schemas.microsoft.com/office/drawing/2014/main" id="{9090A967-AC40-564F-B819-BE4FEF8AA0DD}"/>
            </a:ext>
          </a:extLst>
        </xdr:cNvPr>
        <xdr:cNvSpPr/>
      </xdr:nvSpPr>
      <xdr:spPr>
        <a:xfrm>
          <a:off x="3956549" y="2836822"/>
          <a:ext cx="1598205" cy="631076"/>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Plastic</a:t>
          </a:r>
          <a:r>
            <a:rPr lang="en-US" sz="1100" baseline="0"/>
            <a:t> Material </a:t>
          </a:r>
        </a:p>
        <a:p>
          <a:pPr algn="l"/>
          <a:r>
            <a:rPr lang="en-US" sz="1100" baseline="0"/>
            <a:t>Cost Per Unit </a:t>
          </a:r>
          <a:endParaRPr lang="en-US" sz="1100"/>
        </a:p>
      </xdr:txBody>
    </xdr:sp>
    <xdr:clientData/>
  </xdr:twoCellAnchor>
  <xdr:twoCellAnchor>
    <xdr:from>
      <xdr:col>7</xdr:col>
      <xdr:colOff>703580</xdr:colOff>
      <xdr:row>6</xdr:row>
      <xdr:rowOff>149860</xdr:rowOff>
    </xdr:from>
    <xdr:to>
      <xdr:col>8</xdr:col>
      <xdr:colOff>312420</xdr:colOff>
      <xdr:row>8</xdr:row>
      <xdr:rowOff>193040</xdr:rowOff>
    </xdr:to>
    <xdr:cxnSp macro="">
      <xdr:nvCxnSpPr>
        <xdr:cNvPr id="5" name="Straight Arrow Connector 4">
          <a:extLst>
            <a:ext uri="{FF2B5EF4-FFF2-40B4-BE49-F238E27FC236}">
              <a16:creationId xmlns:a16="http://schemas.microsoft.com/office/drawing/2014/main" id="{414A40F8-3289-ED48-8E3C-AE78C87407A4}"/>
            </a:ext>
          </a:extLst>
        </xdr:cNvPr>
        <xdr:cNvCxnSpPr>
          <a:stCxn id="2" idx="4"/>
          <a:endCxn id="3" idx="0"/>
        </xdr:cNvCxnSpPr>
      </xdr:nvCxnSpPr>
      <xdr:spPr>
        <a:xfrm flipH="1">
          <a:off x="6850380" y="1369060"/>
          <a:ext cx="431800" cy="4495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818093</xdr:colOff>
      <xdr:row>11</xdr:row>
      <xdr:rowOff>71246</xdr:rowOff>
    </xdr:from>
    <xdr:to>
      <xdr:col>6</xdr:col>
      <xdr:colOff>806323</xdr:colOff>
      <xdr:row>14</xdr:row>
      <xdr:rowOff>45122</xdr:rowOff>
    </xdr:to>
    <xdr:cxnSp macro="">
      <xdr:nvCxnSpPr>
        <xdr:cNvPr id="6" name="Straight Arrow Connector 5">
          <a:extLst>
            <a:ext uri="{FF2B5EF4-FFF2-40B4-BE49-F238E27FC236}">
              <a16:creationId xmlns:a16="http://schemas.microsoft.com/office/drawing/2014/main" id="{9899EE5B-C3A2-324A-9105-B50CEEE2B07F}"/>
            </a:ext>
          </a:extLst>
        </xdr:cNvPr>
        <xdr:cNvCxnSpPr>
          <a:stCxn id="3" idx="3"/>
          <a:endCxn id="4" idx="7"/>
        </xdr:cNvCxnSpPr>
      </xdr:nvCxnSpPr>
      <xdr:spPr>
        <a:xfrm flipH="1">
          <a:off x="5318973" y="2306446"/>
          <a:ext cx="811190" cy="58347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703580</xdr:colOff>
      <xdr:row>11</xdr:row>
      <xdr:rowOff>154940</xdr:rowOff>
    </xdr:from>
    <xdr:to>
      <xdr:col>7</xdr:col>
      <xdr:colOff>774700</xdr:colOff>
      <xdr:row>13</xdr:row>
      <xdr:rowOff>177800</xdr:rowOff>
    </xdr:to>
    <xdr:cxnSp macro="">
      <xdr:nvCxnSpPr>
        <xdr:cNvPr id="7" name="Straight Arrow Connector 6">
          <a:extLst>
            <a:ext uri="{FF2B5EF4-FFF2-40B4-BE49-F238E27FC236}">
              <a16:creationId xmlns:a16="http://schemas.microsoft.com/office/drawing/2014/main" id="{8FEA39BA-91D5-8B47-8EFD-B0E0F141D4A1}"/>
            </a:ext>
          </a:extLst>
        </xdr:cNvPr>
        <xdr:cNvCxnSpPr>
          <a:stCxn id="3" idx="4"/>
          <a:endCxn id="8" idx="0"/>
        </xdr:cNvCxnSpPr>
      </xdr:nvCxnSpPr>
      <xdr:spPr>
        <a:xfrm>
          <a:off x="6850380" y="2390140"/>
          <a:ext cx="71120" cy="42926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800100</xdr:colOff>
      <xdr:row>13</xdr:row>
      <xdr:rowOff>177800</xdr:rowOff>
    </xdr:from>
    <xdr:to>
      <xdr:col>8</xdr:col>
      <xdr:colOff>749300</xdr:colOff>
      <xdr:row>16</xdr:row>
      <xdr:rowOff>190500</xdr:rowOff>
    </xdr:to>
    <xdr:sp macro="" textlink="">
      <xdr:nvSpPr>
        <xdr:cNvPr id="8" name="Oval 7">
          <a:extLst>
            <a:ext uri="{FF2B5EF4-FFF2-40B4-BE49-F238E27FC236}">
              <a16:creationId xmlns:a16="http://schemas.microsoft.com/office/drawing/2014/main" id="{0A1F9B10-5147-7D41-9125-A2D2ACF83DB2}"/>
            </a:ext>
          </a:extLst>
        </xdr:cNvPr>
        <xdr:cNvSpPr/>
      </xdr:nvSpPr>
      <xdr:spPr>
        <a:xfrm>
          <a:off x="6134100" y="2819400"/>
          <a:ext cx="1600200" cy="622300"/>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Motor</a:t>
          </a:r>
          <a:r>
            <a:rPr lang="en-US" sz="1100" baseline="0"/>
            <a:t> &amp; Cooling Cost Per Unit </a:t>
          </a:r>
        </a:p>
        <a:p>
          <a:pPr algn="l"/>
          <a:endParaRPr lang="en-US" sz="1100"/>
        </a:p>
      </xdr:txBody>
    </xdr:sp>
    <xdr:clientData/>
  </xdr:twoCellAnchor>
  <xdr:twoCellAnchor>
    <xdr:from>
      <xdr:col>8</xdr:col>
      <xdr:colOff>600837</xdr:colOff>
      <xdr:row>11</xdr:row>
      <xdr:rowOff>71246</xdr:rowOff>
    </xdr:from>
    <xdr:to>
      <xdr:col>10</xdr:col>
      <xdr:colOff>154360</xdr:colOff>
      <xdr:row>14</xdr:row>
      <xdr:rowOff>44053</xdr:rowOff>
    </xdr:to>
    <xdr:cxnSp macro="">
      <xdr:nvCxnSpPr>
        <xdr:cNvPr id="9" name="Straight Arrow Connector 8">
          <a:extLst>
            <a:ext uri="{FF2B5EF4-FFF2-40B4-BE49-F238E27FC236}">
              <a16:creationId xmlns:a16="http://schemas.microsoft.com/office/drawing/2014/main" id="{900858B2-2717-7448-AAE7-29F8A6F8C4BA}"/>
            </a:ext>
          </a:extLst>
        </xdr:cNvPr>
        <xdr:cNvCxnSpPr>
          <a:stCxn id="3" idx="5"/>
          <a:endCxn id="10" idx="1"/>
        </xdr:cNvCxnSpPr>
      </xdr:nvCxnSpPr>
      <xdr:spPr>
        <a:xfrm>
          <a:off x="7570597" y="2306446"/>
          <a:ext cx="1199443" cy="58240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749300</xdr:colOff>
      <xdr:row>13</xdr:row>
      <xdr:rowOff>152400</xdr:rowOff>
    </xdr:from>
    <xdr:to>
      <xdr:col>11</xdr:col>
      <xdr:colOff>660400</xdr:colOff>
      <xdr:row>16</xdr:row>
      <xdr:rowOff>190500</xdr:rowOff>
    </xdr:to>
    <xdr:sp macro="" textlink="">
      <xdr:nvSpPr>
        <xdr:cNvPr id="10" name="Oval 9">
          <a:extLst>
            <a:ext uri="{FF2B5EF4-FFF2-40B4-BE49-F238E27FC236}">
              <a16:creationId xmlns:a16="http://schemas.microsoft.com/office/drawing/2014/main" id="{E84F1B9A-18A7-944B-A593-EF09EAAF91C5}"/>
            </a:ext>
          </a:extLst>
        </xdr:cNvPr>
        <xdr:cNvSpPr/>
      </xdr:nvSpPr>
      <xdr:spPr>
        <a:xfrm>
          <a:off x="8559800" y="2794000"/>
          <a:ext cx="1562100" cy="647700"/>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Electrical</a:t>
          </a:r>
          <a:r>
            <a:rPr lang="en-US" sz="1100" baseline="0"/>
            <a:t> Cost </a:t>
          </a:r>
        </a:p>
        <a:p>
          <a:pPr algn="ctr"/>
          <a:r>
            <a:rPr lang="en-US" sz="1100" baseline="0"/>
            <a:t>Per Unit </a:t>
          </a:r>
          <a:endParaRPr lang="en-US" sz="1100"/>
        </a:p>
      </xdr:txBody>
    </xdr:sp>
    <xdr:clientData/>
  </xdr:twoCellAnchor>
  <xdr:twoCellAnchor>
    <xdr:from>
      <xdr:col>3</xdr:col>
      <xdr:colOff>673100</xdr:colOff>
      <xdr:row>18</xdr:row>
      <xdr:rowOff>38100</xdr:rowOff>
    </xdr:from>
    <xdr:to>
      <xdr:col>5</xdr:col>
      <xdr:colOff>419100</xdr:colOff>
      <xdr:row>21</xdr:row>
      <xdr:rowOff>114300</xdr:rowOff>
    </xdr:to>
    <xdr:sp macro="" textlink="">
      <xdr:nvSpPr>
        <xdr:cNvPr id="11" name="Oval 10">
          <a:extLst>
            <a:ext uri="{FF2B5EF4-FFF2-40B4-BE49-F238E27FC236}">
              <a16:creationId xmlns:a16="http://schemas.microsoft.com/office/drawing/2014/main" id="{AB29CC4A-A1FA-AD49-A8D6-4F931A904112}"/>
            </a:ext>
          </a:extLst>
        </xdr:cNvPr>
        <xdr:cNvSpPr/>
      </xdr:nvSpPr>
      <xdr:spPr>
        <a:xfrm>
          <a:off x="3530600" y="3695700"/>
          <a:ext cx="1397000" cy="685800"/>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a:t>
          </a:r>
          <a:r>
            <a:rPr lang="en-US" sz="1100" baseline="0"/>
            <a:t> Plastic Material Cost </a:t>
          </a:r>
          <a:endParaRPr lang="en-US" sz="1100"/>
        </a:p>
      </xdr:txBody>
    </xdr:sp>
    <xdr:clientData/>
  </xdr:twoCellAnchor>
  <xdr:twoCellAnchor>
    <xdr:from>
      <xdr:col>4</xdr:col>
      <xdr:colOff>546100</xdr:colOff>
      <xdr:row>16</xdr:row>
      <xdr:rowOff>169888</xdr:rowOff>
    </xdr:from>
    <xdr:to>
      <xdr:col>5</xdr:col>
      <xdr:colOff>254134</xdr:colOff>
      <xdr:row>18</xdr:row>
      <xdr:rowOff>38100</xdr:rowOff>
    </xdr:to>
    <xdr:cxnSp macro="">
      <xdr:nvCxnSpPr>
        <xdr:cNvPr id="12" name="Straight Arrow Connector 11">
          <a:extLst>
            <a:ext uri="{FF2B5EF4-FFF2-40B4-BE49-F238E27FC236}">
              <a16:creationId xmlns:a16="http://schemas.microsoft.com/office/drawing/2014/main" id="{96FBBF3E-0ED0-E94E-AC4E-06B800634663}"/>
            </a:ext>
          </a:extLst>
        </xdr:cNvPr>
        <xdr:cNvCxnSpPr>
          <a:stCxn id="4" idx="4"/>
          <a:endCxn id="11" idx="0"/>
        </xdr:cNvCxnSpPr>
      </xdr:nvCxnSpPr>
      <xdr:spPr>
        <a:xfrm flipH="1">
          <a:off x="4223116" y="3467898"/>
          <a:ext cx="532536" cy="28046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609600</xdr:colOff>
      <xdr:row>19</xdr:row>
      <xdr:rowOff>0</xdr:rowOff>
    </xdr:from>
    <xdr:to>
      <xdr:col>9</xdr:col>
      <xdr:colOff>114300</xdr:colOff>
      <xdr:row>22</xdr:row>
      <xdr:rowOff>12700</xdr:rowOff>
    </xdr:to>
    <xdr:sp macro="" textlink="">
      <xdr:nvSpPr>
        <xdr:cNvPr id="13" name="Oval 12">
          <a:extLst>
            <a:ext uri="{FF2B5EF4-FFF2-40B4-BE49-F238E27FC236}">
              <a16:creationId xmlns:a16="http://schemas.microsoft.com/office/drawing/2014/main" id="{62798B1D-42C6-BD4F-96E6-8643EFE33FC2}"/>
            </a:ext>
          </a:extLst>
        </xdr:cNvPr>
        <xdr:cNvSpPr/>
      </xdr:nvSpPr>
      <xdr:spPr>
        <a:xfrm>
          <a:off x="5943600" y="3860800"/>
          <a:ext cx="1981200" cy="622300"/>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a:t>
          </a:r>
          <a:r>
            <a:rPr lang="en-US" sz="1100" baseline="0"/>
            <a:t> Motor &amp; Cooling Material Cost </a:t>
          </a:r>
          <a:endParaRPr lang="en-US" sz="1100"/>
        </a:p>
      </xdr:txBody>
    </xdr:sp>
    <xdr:clientData/>
  </xdr:twoCellAnchor>
  <xdr:twoCellAnchor>
    <xdr:from>
      <xdr:col>7</xdr:col>
      <xdr:colOff>774700</xdr:colOff>
      <xdr:row>16</xdr:row>
      <xdr:rowOff>190500</xdr:rowOff>
    </xdr:from>
    <xdr:to>
      <xdr:col>7</xdr:col>
      <xdr:colOff>774700</xdr:colOff>
      <xdr:row>19</xdr:row>
      <xdr:rowOff>0</xdr:rowOff>
    </xdr:to>
    <xdr:cxnSp macro="">
      <xdr:nvCxnSpPr>
        <xdr:cNvPr id="14" name="Straight Arrow Connector 13">
          <a:extLst>
            <a:ext uri="{FF2B5EF4-FFF2-40B4-BE49-F238E27FC236}">
              <a16:creationId xmlns:a16="http://schemas.microsoft.com/office/drawing/2014/main" id="{C863E826-4D43-8F47-86C3-07FF46A55A73}"/>
            </a:ext>
          </a:extLst>
        </xdr:cNvPr>
        <xdr:cNvCxnSpPr>
          <a:stCxn id="8" idx="4"/>
          <a:endCxn id="13" idx="0"/>
        </xdr:cNvCxnSpPr>
      </xdr:nvCxnSpPr>
      <xdr:spPr>
        <a:xfrm>
          <a:off x="6934200" y="3441700"/>
          <a:ext cx="0" cy="4191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139700</xdr:colOff>
      <xdr:row>18</xdr:row>
      <xdr:rowOff>114300</xdr:rowOff>
    </xdr:from>
    <xdr:to>
      <xdr:col>12</xdr:col>
      <xdr:colOff>76200</xdr:colOff>
      <xdr:row>21</xdr:row>
      <xdr:rowOff>190500</xdr:rowOff>
    </xdr:to>
    <xdr:sp macro="" textlink="">
      <xdr:nvSpPr>
        <xdr:cNvPr id="15" name="Oval 14">
          <a:extLst>
            <a:ext uri="{FF2B5EF4-FFF2-40B4-BE49-F238E27FC236}">
              <a16:creationId xmlns:a16="http://schemas.microsoft.com/office/drawing/2014/main" id="{635FB7A2-67AD-E041-81CB-B1A355C53D58}"/>
            </a:ext>
          </a:extLst>
        </xdr:cNvPr>
        <xdr:cNvSpPr/>
      </xdr:nvSpPr>
      <xdr:spPr>
        <a:xfrm>
          <a:off x="8775700" y="3771900"/>
          <a:ext cx="1587500" cy="685800"/>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a:t>
          </a:r>
          <a:r>
            <a:rPr lang="en-US" sz="1100" baseline="0"/>
            <a:t> Electrical Material Cost </a:t>
          </a:r>
          <a:endParaRPr lang="en-US" sz="1100"/>
        </a:p>
      </xdr:txBody>
    </xdr:sp>
    <xdr:clientData/>
  </xdr:twoCellAnchor>
  <xdr:twoCellAnchor>
    <xdr:from>
      <xdr:col>10</xdr:col>
      <xdr:colOff>704850</xdr:colOff>
      <xdr:row>16</xdr:row>
      <xdr:rowOff>190500</xdr:rowOff>
    </xdr:from>
    <xdr:to>
      <xdr:col>11</xdr:col>
      <xdr:colOff>107950</xdr:colOff>
      <xdr:row>18</xdr:row>
      <xdr:rowOff>114300</xdr:rowOff>
    </xdr:to>
    <xdr:cxnSp macro="">
      <xdr:nvCxnSpPr>
        <xdr:cNvPr id="16" name="Straight Arrow Connector 15">
          <a:extLst>
            <a:ext uri="{FF2B5EF4-FFF2-40B4-BE49-F238E27FC236}">
              <a16:creationId xmlns:a16="http://schemas.microsoft.com/office/drawing/2014/main" id="{14A9919F-C43C-2145-8FAB-11FF70F5CDC5}"/>
            </a:ext>
          </a:extLst>
        </xdr:cNvPr>
        <xdr:cNvCxnSpPr>
          <a:stCxn id="10" idx="4"/>
          <a:endCxn id="15" idx="0"/>
        </xdr:cNvCxnSpPr>
      </xdr:nvCxnSpPr>
      <xdr:spPr>
        <a:xfrm>
          <a:off x="9340850" y="3441700"/>
          <a:ext cx="228600" cy="3302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327122</xdr:colOff>
      <xdr:row>36</xdr:row>
      <xdr:rowOff>115456</xdr:rowOff>
    </xdr:from>
    <xdr:to>
      <xdr:col>3</xdr:col>
      <xdr:colOff>125076</xdr:colOff>
      <xdr:row>42</xdr:row>
      <xdr:rowOff>96214</xdr:rowOff>
    </xdr:to>
    <xdr:sp macro="" textlink="">
      <xdr:nvSpPr>
        <xdr:cNvPr id="2" name="TextBox 1">
          <a:extLst>
            <a:ext uri="{FF2B5EF4-FFF2-40B4-BE49-F238E27FC236}">
              <a16:creationId xmlns:a16="http://schemas.microsoft.com/office/drawing/2014/main" id="{92747E96-4D6A-064D-9E47-A88FBA5C0894}"/>
            </a:ext>
          </a:extLst>
        </xdr:cNvPr>
        <xdr:cNvSpPr txBox="1"/>
      </xdr:nvSpPr>
      <xdr:spPr>
        <a:xfrm>
          <a:off x="327122" y="7532256"/>
          <a:ext cx="3836554" cy="1199958"/>
        </a:xfrm>
        <a:prstGeom prst="rect">
          <a:avLst/>
        </a:prstGeom>
        <a:solidFill>
          <a:srgbClr val="FFFF00">
            <a:alpha val="40000"/>
          </a:srgbClr>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1. Keep the previous combination of RM</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2. Keep the same or elevate the R&amp;D</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3. Keep high volumn on purchase/produce</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(reason: because of the moderate conversion rate)</a:t>
          </a:r>
          <a:r>
            <a:rPr lang="en-US">
              <a:effectLst/>
            </a:rPr>
            <a:t> </a:t>
          </a:r>
        </a:p>
        <a:p>
          <a:endParaRPr lang="en-US" sz="1100"/>
        </a:p>
      </xdr:txBody>
    </xdr:sp>
    <xdr:clientData/>
  </xdr:twoCellAnchor>
  <xdr:twoCellAnchor>
    <xdr:from>
      <xdr:col>0</xdr:col>
      <xdr:colOff>384849</xdr:colOff>
      <xdr:row>0</xdr:row>
      <xdr:rowOff>0</xdr:rowOff>
    </xdr:from>
    <xdr:to>
      <xdr:col>3</xdr:col>
      <xdr:colOff>721591</xdr:colOff>
      <xdr:row>8</xdr:row>
      <xdr:rowOff>48106</xdr:rowOff>
    </xdr:to>
    <xdr:sp macro="" textlink="">
      <xdr:nvSpPr>
        <xdr:cNvPr id="3" name="TextBox 2">
          <a:extLst>
            <a:ext uri="{FF2B5EF4-FFF2-40B4-BE49-F238E27FC236}">
              <a16:creationId xmlns:a16="http://schemas.microsoft.com/office/drawing/2014/main" id="{CB11C490-6893-E846-8217-E7015A39FBC6}"/>
            </a:ext>
          </a:extLst>
        </xdr:cNvPr>
        <xdr:cNvSpPr txBox="1"/>
      </xdr:nvSpPr>
      <xdr:spPr>
        <a:xfrm>
          <a:off x="384849" y="0"/>
          <a:ext cx="4375342" cy="17753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issue or impovement to make:</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solidFill>
                <a:srgbClr val="FF0000"/>
              </a:solidFill>
              <a:effectLst/>
            </a:rPr>
            <a:t>New</a:t>
          </a:r>
          <a:r>
            <a:rPr lang="en-US" baseline="0">
              <a:solidFill>
                <a:srgbClr val="FF0000"/>
              </a:solidFill>
              <a:effectLst/>
            </a:rPr>
            <a:t> finding: Sales unit will be effected on the ranking of a&amp;p investment</a:t>
          </a:r>
          <a:endParaRPr lang="en-US">
            <a:solidFill>
              <a:srgbClr val="FF0000"/>
            </a:solidFill>
            <a:effectLst/>
          </a:endParaRPr>
        </a:p>
        <a:p>
          <a:r>
            <a:rPr lang="en-US" sz="1100"/>
            <a:t>Region 2: Increase</a:t>
          </a:r>
          <a:r>
            <a:rPr lang="en-US" sz="1100" baseline="0"/>
            <a:t> a&amp;p, extra sales person, lower the price ( focus region)</a:t>
          </a:r>
          <a:endParaRPr lang="en-US" sz="1100"/>
        </a:p>
      </xdr:txBody>
    </xdr:sp>
    <xdr:clientData/>
  </xdr:twoCellAnchor>
  <xdr:twoCellAnchor>
    <xdr:from>
      <xdr:col>1</xdr:col>
      <xdr:colOff>38486</xdr:colOff>
      <xdr:row>78</xdr:row>
      <xdr:rowOff>86592</xdr:rowOff>
    </xdr:from>
    <xdr:to>
      <xdr:col>2</xdr:col>
      <xdr:colOff>1010229</xdr:colOff>
      <xdr:row>85</xdr:row>
      <xdr:rowOff>134698</xdr:rowOff>
    </xdr:to>
    <xdr:sp macro="" textlink="">
      <xdr:nvSpPr>
        <xdr:cNvPr id="4" name="TextBox 3">
          <a:extLst>
            <a:ext uri="{FF2B5EF4-FFF2-40B4-BE49-F238E27FC236}">
              <a16:creationId xmlns:a16="http://schemas.microsoft.com/office/drawing/2014/main" id="{3BF68B04-ABEE-FA4B-83FC-93ADC695E44E}"/>
            </a:ext>
          </a:extLst>
        </xdr:cNvPr>
        <xdr:cNvSpPr txBox="1"/>
      </xdr:nvSpPr>
      <xdr:spPr>
        <a:xfrm>
          <a:off x="470286" y="16037792"/>
          <a:ext cx="3511743" cy="1470506"/>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 We should increase the price, </a:t>
          </a:r>
          <a:r>
            <a:rPr lang="en-US">
              <a:effectLst/>
            </a:rPr>
            <a:t> </a:t>
          </a:r>
          <a:r>
            <a:rPr lang="en-US" sz="1100" b="0" i="0" u="none" strike="noStrike">
              <a:solidFill>
                <a:schemeClr val="dk1"/>
              </a:solidFill>
              <a:effectLst/>
              <a:latin typeface="+mn-lt"/>
              <a:ea typeface="+mn-ea"/>
              <a:cs typeface="+mn-cs"/>
            </a:rPr>
            <a:t>because our investment in R&amp;D will now have positive impact on the product</a:t>
          </a:r>
          <a:r>
            <a:rPr lang="en-US">
              <a:effectLst/>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r>
            <a:rPr lang="en-US" sz="1100"/>
            <a:t>Option: higher commision --&gt; higher conversion rate</a:t>
          </a:r>
        </a:p>
        <a:p>
          <a:r>
            <a:rPr lang="en-US" sz="1100"/>
            <a:t>pro: we do not need to increase our price to a much higher level</a:t>
          </a:r>
        </a:p>
      </xdr:txBody>
    </xdr:sp>
    <xdr:clientData/>
  </xdr:twoCellAnchor>
  <xdr:twoCellAnchor>
    <xdr:from>
      <xdr:col>0</xdr:col>
      <xdr:colOff>423333</xdr:colOff>
      <xdr:row>100</xdr:row>
      <xdr:rowOff>28863</xdr:rowOff>
    </xdr:from>
    <xdr:to>
      <xdr:col>2</xdr:col>
      <xdr:colOff>1039090</xdr:colOff>
      <xdr:row>105</xdr:row>
      <xdr:rowOff>173181</xdr:rowOff>
    </xdr:to>
    <xdr:sp macro="" textlink="">
      <xdr:nvSpPr>
        <xdr:cNvPr id="5" name="TextBox 4">
          <a:extLst>
            <a:ext uri="{FF2B5EF4-FFF2-40B4-BE49-F238E27FC236}">
              <a16:creationId xmlns:a16="http://schemas.microsoft.com/office/drawing/2014/main" id="{98046E38-5AD7-DF4C-9601-D4850EC053C1}"/>
            </a:ext>
          </a:extLst>
        </xdr:cNvPr>
        <xdr:cNvSpPr txBox="1"/>
      </xdr:nvSpPr>
      <xdr:spPr>
        <a:xfrm>
          <a:off x="423333" y="20475863"/>
          <a:ext cx="3587557" cy="1173018"/>
        </a:xfrm>
        <a:prstGeom prst="rect">
          <a:avLst/>
        </a:prstGeom>
        <a:solidFill>
          <a:srgbClr val="FFFF0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Is neutreul satisfaction good? </a:t>
          </a:r>
          <a:r>
            <a:rPr lang="en-US">
              <a:effectLst/>
            </a:rPr>
            <a:t> </a:t>
          </a:r>
        </a:p>
        <a:p>
          <a:endParaRPr lang="en-US"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F2019D-41EA-4E79-B13D-E430E16FB10D}">
  <we:reference id="wa104379190" version="2.0.0.0" store="en-US" storeType="OMEX"/>
  <we:alternateReferences>
    <we:reference id="wa104379190" version="2.0.0.0" store="WA104379190"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mailto:Q@"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FA5E-A186-5C47-9E1C-735F23DC6FBC}">
  <sheetPr>
    <tabColor theme="9" tint="0.59999389629810485"/>
  </sheetPr>
  <dimension ref="A1:V174"/>
  <sheetViews>
    <sheetView tabSelected="1" zoomScale="125" zoomScaleNormal="120" workbookViewId="0">
      <selection activeCell="B3" sqref="B3"/>
    </sheetView>
  </sheetViews>
  <sheetFormatPr baseColWidth="10" defaultColWidth="11" defaultRowHeight="16" x14ac:dyDescent="0.2"/>
  <cols>
    <col min="1" max="1" width="5.6640625" style="4" customWidth="1"/>
    <col min="2" max="2" width="33.33203125" bestFit="1" customWidth="1"/>
    <col min="3" max="3" width="14" bestFit="1" customWidth="1"/>
    <col min="4" max="4" width="17.83203125" bestFit="1" customWidth="1"/>
    <col min="5" max="5" width="19.5" customWidth="1"/>
    <col min="6" max="6" width="15.33203125" bestFit="1" customWidth="1"/>
    <col min="7" max="7" width="32.66406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178" t="s">
        <v>0</v>
      </c>
      <c r="C2" s="4"/>
      <c r="D2" s="4"/>
      <c r="E2" s="4"/>
      <c r="F2" s="4"/>
      <c r="G2" s="4"/>
      <c r="H2" s="4"/>
      <c r="I2" s="4"/>
      <c r="J2" s="4"/>
      <c r="K2" s="4"/>
      <c r="L2" s="4"/>
      <c r="M2" s="4"/>
      <c r="N2" s="4"/>
      <c r="O2" s="4"/>
      <c r="P2" s="4"/>
      <c r="Q2" s="4"/>
      <c r="R2" s="4"/>
      <c r="S2" s="4"/>
      <c r="T2" s="4"/>
      <c r="U2" s="4"/>
      <c r="V2" s="4"/>
    </row>
    <row r="3" spans="1:22" x14ac:dyDescent="0.2">
      <c r="B3" s="460">
        <v>12</v>
      </c>
      <c r="C3" s="4"/>
      <c r="D3" s="4"/>
      <c r="E3" s="4"/>
      <c r="F3" s="4"/>
      <c r="G3" s="4"/>
      <c r="H3" s="4"/>
      <c r="I3" s="4"/>
      <c r="J3" s="4"/>
      <c r="K3" s="4"/>
      <c r="L3" s="4"/>
      <c r="M3" s="4"/>
      <c r="N3" s="4"/>
      <c r="O3" s="4"/>
      <c r="P3" s="4"/>
      <c r="Q3" s="4"/>
      <c r="R3" s="4"/>
      <c r="S3" s="4"/>
      <c r="T3" s="4"/>
      <c r="U3" s="4"/>
      <c r="V3" s="4"/>
    </row>
    <row r="4" spans="1:22" s="4" customFormat="1" x14ac:dyDescent="0.2">
      <c r="B4" s="178" t="s">
        <v>1</v>
      </c>
    </row>
    <row r="5" spans="1:22" s="4" customFormat="1" x14ac:dyDescent="0.2">
      <c r="B5" s="460" t="s">
        <v>2</v>
      </c>
    </row>
    <row r="6" spans="1:22" s="4" customFormat="1" x14ac:dyDescent="0.2">
      <c r="B6" s="178" t="s">
        <v>3</v>
      </c>
    </row>
    <row r="7" spans="1:22" s="4" customFormat="1" x14ac:dyDescent="0.2">
      <c r="B7" s="461" t="str" cm="1">
        <f t="array" aca="1" ref="B7" ca="1">INDIRECT("'Input_Q"&amp;B3&amp;"-Predict'!C8")</f>
        <v>Overtime</v>
      </c>
    </row>
    <row r="8" spans="1:22" s="4" customFormat="1" x14ac:dyDescent="0.2"/>
    <row r="9" spans="1:22" s="4" customFormat="1" x14ac:dyDescent="0.2">
      <c r="B9" s="99" t="s">
        <v>4</v>
      </c>
    </row>
    <row r="10" spans="1:22" x14ac:dyDescent="0.2">
      <c r="B10" s="69" t="s">
        <v>5</v>
      </c>
      <c r="C10" s="4"/>
      <c r="D10" s="4"/>
      <c r="E10" s="4"/>
      <c r="F10" s="4"/>
      <c r="G10" s="4"/>
      <c r="H10" s="4"/>
      <c r="I10" s="4"/>
      <c r="J10" s="4"/>
      <c r="K10" s="4"/>
      <c r="L10" s="4"/>
      <c r="M10" s="4"/>
      <c r="N10" s="4"/>
      <c r="O10" s="4"/>
      <c r="P10" s="4"/>
      <c r="Q10" s="4"/>
      <c r="R10" s="4"/>
      <c r="S10" s="4"/>
      <c r="T10" s="4"/>
      <c r="U10" s="4"/>
      <c r="V10" s="4"/>
    </row>
    <row r="11" spans="1:22" x14ac:dyDescent="0.2">
      <c r="B11" s="268" t="s">
        <v>6</v>
      </c>
      <c r="C11" s="4"/>
      <c r="D11" s="4"/>
      <c r="E11" s="4"/>
      <c r="F11" s="4"/>
      <c r="G11" s="4"/>
      <c r="H11" s="4"/>
      <c r="I11" s="4"/>
      <c r="J11" s="4"/>
      <c r="K11" s="4"/>
      <c r="L11" s="4"/>
      <c r="M11" s="4"/>
      <c r="N11" s="4"/>
      <c r="O11" s="4"/>
      <c r="P11" s="4"/>
      <c r="Q11" s="4"/>
      <c r="R11" s="4"/>
      <c r="S11" s="4"/>
      <c r="T11" s="4"/>
      <c r="U11" s="4"/>
      <c r="V11" s="4"/>
    </row>
    <row r="12" spans="1:22" x14ac:dyDescent="0.2">
      <c r="B12" s="4"/>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 ca="1">F19*F20</f>
        <v>135000</v>
      </c>
      <c r="E18" s="576" t="s">
        <v>12</v>
      </c>
      <c r="F18" s="577"/>
      <c r="G18" s="578"/>
      <c r="I18" s="71" t="s">
        <v>13</v>
      </c>
      <c r="J18" s="72"/>
      <c r="K18" s="72" t="s">
        <v>14</v>
      </c>
      <c r="L18" s="72" t="s">
        <v>15</v>
      </c>
      <c r="M18" s="72" t="s">
        <v>16</v>
      </c>
      <c r="N18" s="73" t="s">
        <v>17</v>
      </c>
    </row>
    <row r="19" spans="2:22" s="4" customFormat="1" x14ac:dyDescent="0.2">
      <c r="B19" s="12" t="s">
        <v>18</v>
      </c>
      <c r="C19" s="217">
        <f ca="1">N23</f>
        <v>0</v>
      </c>
      <c r="E19" s="284" t="s">
        <v>19</v>
      </c>
      <c r="F19" s="285">
        <v>15000</v>
      </c>
      <c r="G19" s="11" t="s">
        <v>20</v>
      </c>
      <c r="I19" s="12"/>
      <c r="J19" s="4" t="s">
        <v>21</v>
      </c>
      <c r="K19" s="4" t="s">
        <v>22</v>
      </c>
      <c r="L19" s="4">
        <f>VLOOKUP($K$19,$E$24:F59,2,FALSE)</f>
        <v>36</v>
      </c>
      <c r="M19" s="4">
        <f>L19*$F$25</f>
        <v>36</v>
      </c>
      <c r="N19" s="13">
        <f ca="1">M19*$F$24</f>
        <v>0</v>
      </c>
    </row>
    <row r="20" spans="2:22" s="4" customFormat="1" x14ac:dyDescent="0.2">
      <c r="B20" s="12" t="s">
        <v>23</v>
      </c>
      <c r="C20" s="281">
        <f>C34*0.02*M24</f>
        <v>1136.0868000000003</v>
      </c>
      <c r="E20" s="68"/>
      <c r="F20" s="76" cm="1">
        <f t="array" aca="1" ref="F20" ca="1">INDIRECT("'Input_Q"&amp;B3&amp;"-Predict'!C38")</f>
        <v>9</v>
      </c>
      <c r="G20" s="16"/>
      <c r="I20" s="12" t="s">
        <v>24</v>
      </c>
      <c r="J20" s="19" t="s">
        <v>25</v>
      </c>
      <c r="K20" s="4" t="s">
        <v>26</v>
      </c>
      <c r="L20" s="4">
        <f>VLOOKUP($K$20,$E$25:F60,2,FALSE)</f>
        <v>44.52</v>
      </c>
      <c r="M20" s="4">
        <f>L20*$F$28</f>
        <v>89.04</v>
      </c>
      <c r="N20" s="13">
        <f ca="1">M20*$F$24</f>
        <v>0</v>
      </c>
    </row>
    <row r="21" spans="2:22" s="4" customFormat="1" x14ac:dyDescent="0.2">
      <c r="B21" s="14" t="s">
        <v>27</v>
      </c>
      <c r="C21" s="453">
        <v>280000</v>
      </c>
      <c r="E21" s="12" t="s">
        <v>28</v>
      </c>
      <c r="G21" s="103"/>
      <c r="I21" s="12"/>
      <c r="J21" s="20" t="s">
        <v>29</v>
      </c>
      <c r="K21" s="4" t="s">
        <v>30</v>
      </c>
      <c r="L21" s="4">
        <f>VLOOKUP($K$21,$E$26:F63,2,FALSE)</f>
        <v>187.20000000000002</v>
      </c>
      <c r="M21" s="4">
        <f>L21*$F$38</f>
        <v>374.40000000000003</v>
      </c>
      <c r="N21" s="13">
        <f ca="1">M21*$F$24</f>
        <v>0</v>
      </c>
      <c r="V21" s="19"/>
    </row>
    <row r="22" spans="2:22" s="4" customFormat="1" x14ac:dyDescent="0.2">
      <c r="B22" s="14"/>
      <c r="C22" s="278">
        <f ca="1">SUM(C17:C21)</f>
        <v>416136.08679999999</v>
      </c>
      <c r="E22" s="12" t="s">
        <v>31</v>
      </c>
      <c r="F22" s="214">
        <v>1300000</v>
      </c>
      <c r="G22" s="103"/>
      <c r="I22" s="12"/>
      <c r="J22" s="70" t="s">
        <v>32</v>
      </c>
      <c r="K22" s="4" t="s">
        <v>33</v>
      </c>
      <c r="L22" s="4">
        <f>VLOOKUP($K$22,$E$21:F60,2,FALSE)</f>
        <v>24.150000000000002</v>
      </c>
      <c r="M22" s="4">
        <f>L22*$F$51</f>
        <v>72.45</v>
      </c>
      <c r="N22" s="13">
        <f ca="1">M22*$F$24</f>
        <v>0</v>
      </c>
      <c r="V22" s="20"/>
    </row>
    <row r="23" spans="2:22" s="4" customFormat="1" x14ac:dyDescent="0.2">
      <c r="E23" s="12" t="s">
        <v>34</v>
      </c>
      <c r="F23" s="214">
        <v>1500000</v>
      </c>
      <c r="G23" s="103"/>
      <c r="I23" s="71" t="s">
        <v>35</v>
      </c>
      <c r="J23" s="72"/>
      <c r="K23" s="72"/>
      <c r="L23" s="72"/>
      <c r="M23" s="72">
        <f>SUM(M19:M22)</f>
        <v>571.8900000000001</v>
      </c>
      <c r="N23" s="73">
        <f ca="1">SUM(N19:N22)</f>
        <v>0</v>
      </c>
      <c r="V23" s="70"/>
    </row>
    <row r="24" spans="2:22" s="4" customFormat="1" x14ac:dyDescent="0.2">
      <c r="E24" s="14" t="s">
        <v>18</v>
      </c>
      <c r="F24" s="95" cm="1">
        <f t="array" aca="1" ref="F24" ca="1">INDIRECT("'Input_Q"&amp;B3&amp;"-Predict'!C36")</f>
        <v>0</v>
      </c>
      <c r="G24" s="103" t="s">
        <v>36</v>
      </c>
      <c r="I24" s="14" t="s">
        <v>37</v>
      </c>
      <c r="J24" s="15"/>
      <c r="K24" s="15"/>
      <c r="L24" s="15"/>
      <c r="M24" s="15">
        <f>M23-M19</f>
        <v>535.8900000000001</v>
      </c>
      <c r="N24" s="16">
        <f ca="1">M24*F24</f>
        <v>0</v>
      </c>
    </row>
    <row r="25" spans="2:22" s="4" customFormat="1" x14ac:dyDescent="0.2">
      <c r="B25" s="71" t="s">
        <v>38</v>
      </c>
      <c r="C25" s="454" cm="1">
        <f t="array" aca="1" ref="C25" ca="1">IF(B5="Validation",'Qm-ValidationPredict'!C30/'Qm-ValidationPredict'!C29,INDIRECT("'Input_Q"&amp;B3&amp;"-Predict'!C34"))</f>
        <v>0.97019956850053934</v>
      </c>
      <c r="E25" s="9" t="s">
        <v>21</v>
      </c>
      <c r="F25" s="10">
        <v>1</v>
      </c>
      <c r="G25" s="103" t="s">
        <v>39</v>
      </c>
    </row>
    <row r="26" spans="2:22" s="4" customFormat="1" x14ac:dyDescent="0.2">
      <c r="E26" s="12" t="s">
        <v>40</v>
      </c>
      <c r="F26" s="214">
        <v>20</v>
      </c>
      <c r="G26" s="103"/>
    </row>
    <row r="27" spans="2:22" s="4" customFormat="1" x14ac:dyDescent="0.2">
      <c r="B27" s="9" t="s">
        <v>41</v>
      </c>
      <c r="C27" s="289">
        <f>INDEX(Data_Stock!B2:N11,MATCH("Left Inventory",Data_Stock!B2:B11,0),MATCH(VALUE(B3-1),Data_Stock!B2:N2,0))</f>
        <v>90</v>
      </c>
      <c r="E27" s="14" t="s">
        <v>22</v>
      </c>
      <c r="F27" s="283">
        <v>36</v>
      </c>
      <c r="G27" s="98"/>
    </row>
    <row r="28" spans="2:22" s="4" customFormat="1" x14ac:dyDescent="0.2">
      <c r="B28" s="12" t="s">
        <v>42</v>
      </c>
      <c r="C28" s="290">
        <f>INDEX(Data_Stock!B2:N11,MATCH("Left",Data_Stock!B2:B11,0),MATCH(VALUE(B3-1),Data_Stock!B2:N2,0))</f>
        <v>1545</v>
      </c>
      <c r="E28" s="9" t="s">
        <v>25</v>
      </c>
      <c r="F28" s="11">
        <v>2</v>
      </c>
      <c r="G28" s="103" t="s">
        <v>39</v>
      </c>
      <c r="P28" s="214"/>
      <c r="V28" s="19"/>
    </row>
    <row r="29" spans="2:22" s="4" customFormat="1" x14ac:dyDescent="0.2">
      <c r="B29" s="12" t="s">
        <v>43</v>
      </c>
      <c r="C29" s="291" cm="1">
        <f t="array" aca="1" ref="C29" ca="1">INDIRECT("'Input_Q"&amp;B3&amp;"-Predict'!C33")</f>
        <v>1483.2</v>
      </c>
      <c r="E29" s="12" t="s">
        <v>44</v>
      </c>
      <c r="F29" s="13">
        <f>(1+F31)*F30</f>
        <v>43.2</v>
      </c>
      <c r="G29" s="103"/>
      <c r="V29" s="20"/>
    </row>
    <row r="30" spans="2:22" s="4" customFormat="1" x14ac:dyDescent="0.2">
      <c r="B30" s="12" t="str">
        <f>IF(B5="Validation","Actual Production","Predict Production")</f>
        <v>Actual Production</v>
      </c>
      <c r="C30" s="292">
        <f>INDEX(Data_Stock!B2:N11,MATCH("Produced",Data_Stock!B2:B11,0),MATCH(VALUE(B3),Data_Stock!B2:N2,0))</f>
        <v>1439</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 ca="1">F24</f>
        <v>0</v>
      </c>
      <c r="E33" s="67" t="s">
        <v>45</v>
      </c>
      <c r="F33" s="13">
        <v>42</v>
      </c>
      <c r="G33" s="103"/>
    </row>
    <row r="34" spans="2:14" s="4" customFormat="1" x14ac:dyDescent="0.2">
      <c r="B34" s="12" t="s">
        <v>49</v>
      </c>
      <c r="C34" s="222">
        <f>IF(B5="Validation",INDEX(Data_Stock!B2:N11,MATCH("Left",Data_Stock!B2:B11,0),MATCH('Qm-ValidationPredict'!B3,Data_Stock!B2:N2,0)),C28+F24-C30)</f>
        <v>106</v>
      </c>
      <c r="E34" s="67" t="s">
        <v>46</v>
      </c>
      <c r="F34" s="13">
        <v>0.06</v>
      </c>
      <c r="G34" s="103"/>
    </row>
    <row r="35" spans="2:14" s="4" customFormat="1" x14ac:dyDescent="0.2">
      <c r="B35" s="14" t="s">
        <v>50</v>
      </c>
      <c r="C35" s="288">
        <f>C34*M24</f>
        <v>56804.340000000011</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 ca="1">SUMPRODUCT(F73:I73,F71:I71)</f>
        <v>3728892</v>
      </c>
    </row>
    <row r="69" spans="2:11" s="4" customFormat="1" x14ac:dyDescent="0.2">
      <c r="B69" s="12" t="s">
        <v>61</v>
      </c>
      <c r="C69" s="221">
        <f ca="1">J75</f>
        <v>349088.82</v>
      </c>
      <c r="E69" s="9" t="str">
        <f>IF(B5="Validation","Actual S.C.R","Predict S.C.R")</f>
        <v>Actual S.C.R</v>
      </c>
      <c r="F69" s="311" cm="1">
        <f t="array" aca="1" ref="F69" ca="1">IF($B$5="Validation",F73/F72,INDIRECT("'Input_Q"&amp;$B$3&amp;"-Predict'!D29"))</f>
        <v>0.85562632696390661</v>
      </c>
      <c r="G69" s="311" cm="1">
        <f t="array" aca="1" ref="G69" ca="1">IF($B$5="Validation",G73/G72,INDIRECT("'Input_Q"&amp;$B$3&amp;"-Predict'!D30"))</f>
        <v>0.7865168539325843</v>
      </c>
      <c r="H69" s="311" cm="1">
        <f t="array" aca="1" ref="H69" ca="1">IF($B$5="Validation",H73/H72,INDIRECT("'Input_Q"&amp;$B$3&amp;"-Predict'!D31"))</f>
        <v>0.85106382978723405</v>
      </c>
      <c r="I69" s="311" cm="1">
        <f t="array" aca="1" ref="I69" ca="1">IF($B$5="Validation",I73/I72,INDIRECT("'Input_Q"&amp;$B$3&amp;"-Predict'!D32"))</f>
        <v>0.83121827411167515</v>
      </c>
      <c r="J69" s="11"/>
    </row>
    <row r="70" spans="2:11" s="4" customFormat="1" x14ac:dyDescent="0.2">
      <c r="B70" s="12" t="s">
        <v>62</v>
      </c>
      <c r="C70" s="318">
        <f ca="1">C68*C74</f>
        <v>223733.52</v>
      </c>
      <c r="E70" s="297" t="s">
        <v>63</v>
      </c>
      <c r="F70" s="298">
        <v>1</v>
      </c>
      <c r="G70" s="298">
        <v>2</v>
      </c>
      <c r="H70" s="298">
        <v>3</v>
      </c>
      <c r="I70" s="299">
        <v>4</v>
      </c>
      <c r="J70" s="299" t="s">
        <v>64</v>
      </c>
    </row>
    <row r="71" spans="2:11" s="4" customFormat="1" x14ac:dyDescent="0.2">
      <c r="B71" s="14"/>
      <c r="C71" s="319">
        <f ca="1">SUM(C68:C70)</f>
        <v>4301714.34</v>
      </c>
      <c r="E71" s="300" t="s">
        <v>65</v>
      </c>
      <c r="F71" s="358" cm="1">
        <f t="array" aca="1" ref="F71" ca="1">INDIRECT("'Input_Q"&amp;$B$3&amp;"-Predict'!C10")</f>
        <v>2899</v>
      </c>
      <c r="G71" s="358" cm="1">
        <f t="array" aca="1" ref="G71" ca="1">INDIRECT("'Input_Q"&amp;$B$3&amp;"-Predict'!C11")</f>
        <v>2599</v>
      </c>
      <c r="H71" s="358" cm="1">
        <f t="array" aca="1" ref="H71" ca="1">INDIRECT("'Input_Q"&amp;$B$3&amp;"-Predict'!C12")</f>
        <v>2899</v>
      </c>
      <c r="I71" s="358" cm="1">
        <f t="array" aca="1" ref="I71" ca="1">INDIRECT("'Input_Q"&amp;$B$3&amp;"-Predict'!C13")</f>
        <v>2899</v>
      </c>
      <c r="J71" s="301" t="s">
        <v>66</v>
      </c>
      <c r="K71" s="363"/>
    </row>
    <row r="72" spans="2:11" s="4" customFormat="1" x14ac:dyDescent="0.2">
      <c r="E72" s="300" t="s">
        <v>67</v>
      </c>
      <c r="F72" s="272" cm="1">
        <f t="array" aca="1" ref="F72" ca="1">INDIRECT("'Input_Q"&amp;$B$3&amp;"-Predict'!C24")</f>
        <v>471</v>
      </c>
      <c r="G72" s="272" cm="1">
        <f t="array" aca="1" ref="G72" ca="1">INDIRECT("'Input_Q"&amp;$B$3&amp;"-Predict'!C25")</f>
        <v>267</v>
      </c>
      <c r="H72" s="272" cm="1">
        <f t="array" aca="1" ref="H72" ca="1">INDIRECT("'Input_Q"&amp;$B$3&amp;"-Predict'!C26")</f>
        <v>47</v>
      </c>
      <c r="I72" s="272" cm="1">
        <f t="array" aca="1" ref="I72" ca="1">INDIRECT("'Input_Q"&amp;$B$3&amp;"-Predict'!C27")</f>
        <v>788</v>
      </c>
      <c r="J72" s="303">
        <f>Archived_Testing_Q5!B19</f>
        <v>1600</v>
      </c>
    </row>
    <row r="73" spans="2:11" s="4" customFormat="1" x14ac:dyDescent="0.2">
      <c r="D73" s="199"/>
      <c r="E73" s="300" t="str">
        <f>IF(B5="Validation","Actual Sale","Predict Sale")</f>
        <v>Actual Sale</v>
      </c>
      <c r="F73" s="353">
        <f>IF($E$73="Actual Sale",INDEX(Data_Sales!$B$3:$N$8,MATCH(F70,Data_Sales!$B$3:$B$8,0),MATCH($B$3,Data_Sales!$B$3:$N$3,0)),ROUNDDOWN(F69*F72,0))</f>
        <v>403</v>
      </c>
      <c r="G73" s="353">
        <f>IF($E$73="Actual Sale",INDEX(Data_Sales!$B$3:$N$8,MATCH(G70,Data_Sales!$B$3:$B$8,0),MATCH($B$3,Data_Sales!$B$3:$N$3,0)),ROUNDDOWN(G69*G72,0))</f>
        <v>210</v>
      </c>
      <c r="H73" s="353">
        <f>IF($E$73="Actual Sale",INDEX(Data_Sales!$B$3:$N$8,MATCH(H70,Data_Sales!$B$3:$B$8,0),MATCH($B$3,Data_Sales!$B$3:$N$3,0)),ROUNDDOWN(H69*H72,0))</f>
        <v>40</v>
      </c>
      <c r="I73" s="353">
        <f>IF($E$73="Actual Sale",INDEX(Data_Sales!$B$3:$N$8,MATCH(I70,Data_Sales!$B$3:$B$8,0),MATCH($B$3,Data_Sales!$B$3:$N$3,0)),ROUNDDOWN(I69*I72,0))</f>
        <v>655</v>
      </c>
      <c r="J73" s="383">
        <f>SUM(F73:I73)</f>
        <v>1308</v>
      </c>
    </row>
    <row r="74" spans="2:11" s="4" customFormat="1" x14ac:dyDescent="0.2">
      <c r="B74" s="9" t="s">
        <v>68</v>
      </c>
      <c r="C74" s="406" cm="1">
        <f t="array" aca="1" ref="C74" ca="1">INDIRECT("'Input_Q"&amp;B3&amp;"-Predict'!C39")</f>
        <v>0.06</v>
      </c>
      <c r="D74" s="199"/>
      <c r="E74" s="300" t="s">
        <v>69</v>
      </c>
      <c r="F74" s="256" cm="1">
        <f t="array" aca="1" ref="F74" ca="1">INDIRECT("'Input_Q"&amp;$B$3&amp;"-Predict'!C41")</f>
        <v>7</v>
      </c>
      <c r="G74" s="256" cm="1">
        <f t="array" aca="1" ref="G74" ca="1">INDIRECT("'Input_Q"&amp;$B$3&amp;"-Predict'!C42")</f>
        <v>10</v>
      </c>
      <c r="H74" s="256" cm="1">
        <f t="array" aca="1" ref="H74" ca="1">INDIRECT("'Input_Q"&amp;$B$3&amp;"-Predict'!C43")</f>
        <v>1</v>
      </c>
      <c r="I74" s="256" cm="1">
        <f t="array" aca="1" ref="I74" ca="1">INDIRECT("'Input_Q"&amp;$B$3&amp;"-Predict'!C44")</f>
        <v>8</v>
      </c>
      <c r="J74" s="301"/>
    </row>
    <row r="75" spans="2:11" s="4" customFormat="1" x14ac:dyDescent="0.2">
      <c r="B75" s="12" t="s">
        <v>70</v>
      </c>
      <c r="C75" s="221">
        <f>J72</f>
        <v>1600</v>
      </c>
      <c r="D75" s="357"/>
      <c r="E75" s="300" t="s">
        <v>71</v>
      </c>
      <c r="F75" s="312">
        <f ca="1">F72*F71*F74/100</f>
        <v>95580.03</v>
      </c>
      <c r="G75" s="312">
        <f ca="1">G72*G71*G74/100</f>
        <v>69393.3</v>
      </c>
      <c r="H75" s="312">
        <f ca="1">H72*H71*H74/100</f>
        <v>1362.53</v>
      </c>
      <c r="I75" s="304">
        <f ca="1">I72*I71*I74/100</f>
        <v>182752.96</v>
      </c>
      <c r="J75" s="304">
        <f ca="1">SUM(F75:I75)</f>
        <v>349088.82</v>
      </c>
    </row>
    <row r="76" spans="2:11" s="4" customFormat="1" x14ac:dyDescent="0.2">
      <c r="B76" s="12" t="s">
        <v>72</v>
      </c>
      <c r="C76" s="221">
        <f>J73</f>
        <v>1308</v>
      </c>
      <c r="D76" s="199"/>
      <c r="E76" s="300" t="s">
        <v>73</v>
      </c>
      <c r="F76" s="256" cm="1">
        <f t="array" aca="1" ref="F76" ca="1">INDIRECT("'Input_Q"&amp;$B$3&amp;"-Predict'!C46")</f>
        <v>0</v>
      </c>
      <c r="G76" s="256" cm="1">
        <f t="array" aca="1" ref="G76" ca="1">INDIRECT("'Input_Q"&amp;$B$3&amp;"-Predict'!C47")</f>
        <v>0</v>
      </c>
      <c r="H76" s="256" cm="1">
        <f t="array" aca="1" ref="H76" ca="1">INDIRECT("'Input_Q"&amp;$B$3&amp;"-Predict'!C48")</f>
        <v>0</v>
      </c>
      <c r="I76" s="256" cm="1">
        <f t="array" aca="1" ref="I76" ca="1">INDIRECT("'Input_Q"&amp;$B$3&amp;"-Predict'!C49")</f>
        <v>0</v>
      </c>
      <c r="J76" s="301" t="s">
        <v>66</v>
      </c>
    </row>
    <row r="77" spans="2:11" s="4" customFormat="1" x14ac:dyDescent="0.2">
      <c r="B77" s="14" t="s">
        <v>74</v>
      </c>
      <c r="C77" s="319">
        <f>C75-C76</f>
        <v>292</v>
      </c>
      <c r="D77" s="199"/>
      <c r="E77" s="305" t="s">
        <v>75</v>
      </c>
      <c r="F77" s="306">
        <f ca="1">INDEX(Data_EmployeeNumber!$A$4:$E$16,MATCH('Qm-ValidationPredict'!$B$3-1,Data_EmployeeNumber!$A$4:$A$16,0),MATCH('Qm-ValidationPredict'!F70,Data_EmployeeNumber!$A$4:$E$4,0))+'Qm-ValidationPredict'!F76</f>
        <v>3</v>
      </c>
      <c r="G77" s="306">
        <f ca="1">INDEX(Data_EmployeeNumber!$A$4:$E$16,MATCH('Qm-ValidationPredict'!$B$3-1,Data_EmployeeNumber!$A$4:$A$16,0),MATCH('Qm-ValidationPredict'!G70,Data_EmployeeNumber!$A$4:$E$4,0))+'Qm-ValidationPredict'!G76</f>
        <v>3</v>
      </c>
      <c r="H77" s="306">
        <f ca="1">INDEX(Data_EmployeeNumber!$A$4:$E$16,MATCH('Qm-ValidationPredict'!$B$3-1,Data_EmployeeNumber!$A$4:$A$16,0),MATCH('Qm-ValidationPredict'!H70,Data_EmployeeNumber!$A$4:$E$4,0))+'Qm-ValidationPredict'!H76</f>
        <v>1</v>
      </c>
      <c r="I77" s="306">
        <f ca="1">INDEX(Data_EmployeeNumber!$A$4:$E$16,MATCH('Qm-ValidationPredict'!$B$3-1,Data_EmployeeNumber!$A$4:$A$16,0),MATCH('Qm-ValidationPredict'!I70,Data_EmployeeNumber!$A$4:$E$4,0))+'Qm-ValidationPredict'!I76</f>
        <v>4</v>
      </c>
      <c r="J77" s="307">
        <f ca="1">SUM(F77:I77)</f>
        <v>11</v>
      </c>
    </row>
    <row r="78" spans="2:11" s="4" customFormat="1" x14ac:dyDescent="0.2">
      <c r="E78" s="300" t="s">
        <v>76</v>
      </c>
      <c r="F78" s="296"/>
      <c r="G78" s="296"/>
      <c r="H78" s="296"/>
      <c r="I78" s="301"/>
      <c r="J78" s="455" t="s">
        <v>77</v>
      </c>
    </row>
    <row r="79" spans="2:11" s="4" customFormat="1" x14ac:dyDescent="0.2">
      <c r="E79" s="305" t="s">
        <v>78</v>
      </c>
      <c r="F79" s="308"/>
      <c r="G79" s="308"/>
      <c r="H79" s="308"/>
      <c r="I79" s="317"/>
      <c r="J79" s="456" t="s">
        <v>77</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 ca="1">I98</f>
        <v>304200</v>
      </c>
      <c r="D92" s="214"/>
      <c r="E92" s="71" t="s">
        <v>82</v>
      </c>
      <c r="F92" s="329" cm="1">
        <f t="array" aca="1" ref="F92" ca="1">INDIRECT("'Input_Q"&amp;$B$3&amp;"-Predict'!C50")</f>
        <v>5200</v>
      </c>
      <c r="H92" s="71" t="s">
        <v>82</v>
      </c>
      <c r="I92" s="72" t="s">
        <v>83</v>
      </c>
      <c r="J92" s="72" t="s">
        <v>84</v>
      </c>
      <c r="K92" s="72" t="s">
        <v>85</v>
      </c>
      <c r="L92" s="73" t="s">
        <v>86</v>
      </c>
    </row>
    <row r="93" spans="1:12" s="4" customFormat="1" x14ac:dyDescent="0.2">
      <c r="B93" s="12" t="s">
        <v>87</v>
      </c>
      <c r="C93" s="217">
        <f ca="1">K103</f>
        <v>50000</v>
      </c>
      <c r="D93" s="214"/>
      <c r="H93" s="12" t="s">
        <v>88</v>
      </c>
      <c r="I93" s="214">
        <f ca="1">$F$92*K93</f>
        <v>26000</v>
      </c>
      <c r="J93" s="4">
        <v>1</v>
      </c>
      <c r="K93" s="4">
        <v>5</v>
      </c>
      <c r="L93" s="13">
        <f>J93*K93</f>
        <v>5</v>
      </c>
    </row>
    <row r="94" spans="1:12" s="4" customFormat="1" x14ac:dyDescent="0.2">
      <c r="B94" s="12" t="s">
        <v>89</v>
      </c>
      <c r="C94" s="217">
        <f ca="1">K104</f>
        <v>18000</v>
      </c>
      <c r="D94" s="321"/>
      <c r="E94" s="71" t="s">
        <v>90</v>
      </c>
      <c r="F94" s="73"/>
      <c r="H94" s="12" t="s">
        <v>91</v>
      </c>
      <c r="I94" s="214">
        <f ca="1">$F$92*K94</f>
        <v>5200</v>
      </c>
      <c r="J94" s="4">
        <v>35</v>
      </c>
      <c r="K94" s="4">
        <v>1</v>
      </c>
      <c r="L94" s="13">
        <f>J94*K94</f>
        <v>35</v>
      </c>
    </row>
    <row r="95" spans="1:12" s="4" customFormat="1" x14ac:dyDescent="0.2">
      <c r="B95" s="12" t="s">
        <v>92</v>
      </c>
      <c r="C95" s="217">
        <f ca="1">K105</f>
        <v>47000</v>
      </c>
      <c r="E95" s="12" t="s">
        <v>93</v>
      </c>
      <c r="F95" s="327">
        <v>10000</v>
      </c>
      <c r="H95" s="12" t="s">
        <v>94</v>
      </c>
      <c r="I95" s="214">
        <f ca="1">$F$92*K95</f>
        <v>13000</v>
      </c>
      <c r="J95" s="4">
        <v>3</v>
      </c>
      <c r="K95" s="4">
        <v>2.5</v>
      </c>
      <c r="L95" s="13">
        <f>J95*K95</f>
        <v>7.5</v>
      </c>
    </row>
    <row r="96" spans="1:12" s="4" customFormat="1" x14ac:dyDescent="0.2">
      <c r="B96" s="71"/>
      <c r="C96" s="324">
        <f ca="1">SUM(C92:C95)</f>
        <v>419200</v>
      </c>
      <c r="E96" s="12" t="s">
        <v>95</v>
      </c>
      <c r="F96" s="194" cm="1">
        <f t="array" aca="1" ref="F96" ca="1">INDIRECT("'Input_Q"&amp;$B$3&amp;"-Predict'!C51")</f>
        <v>5</v>
      </c>
      <c r="H96" s="12" t="s">
        <v>96</v>
      </c>
      <c r="I96" s="214">
        <f ca="1">$F$92*K96</f>
        <v>5200</v>
      </c>
      <c r="J96" s="4">
        <f ca="1">J77</f>
        <v>11</v>
      </c>
      <c r="K96" s="4">
        <v>1</v>
      </c>
      <c r="L96" s="13">
        <f ca="1">J96*K96</f>
        <v>11</v>
      </c>
    </row>
    <row r="97" spans="1:12" s="4" customFormat="1" x14ac:dyDescent="0.2">
      <c r="E97" s="12" t="s">
        <v>97</v>
      </c>
      <c r="F97" s="217">
        <v>2000</v>
      </c>
      <c r="H97" s="12" t="s">
        <v>64</v>
      </c>
      <c r="I97" s="4" t="s">
        <v>66</v>
      </c>
      <c r="J97" s="4">
        <f ca="1">SUM(J93:J96)</f>
        <v>50</v>
      </c>
      <c r="K97" s="4" t="s">
        <v>66</v>
      </c>
      <c r="L97" s="13">
        <f ca="1">SUM(L93:L96)</f>
        <v>58.5</v>
      </c>
    </row>
    <row r="98" spans="1:12" s="4" customFormat="1" x14ac:dyDescent="0.2">
      <c r="B98" s="71" t="s">
        <v>98</v>
      </c>
      <c r="C98" s="73"/>
      <c r="E98" s="14" t="s">
        <v>95</v>
      </c>
      <c r="F98" s="76" cm="1">
        <f t="array" aca="1" ref="F98" ca="1">INDIRECT("'Input_Q"&amp;$B$3&amp;"-Predict'!C52")</f>
        <v>9</v>
      </c>
      <c r="H98" s="14" t="s">
        <v>99</v>
      </c>
      <c r="I98" s="322">
        <f ca="1">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 ca="1">F92</f>
        <v>5200</v>
      </c>
      <c r="J102" s="4">
        <f ca="1">L97</f>
        <v>58.5</v>
      </c>
      <c r="K102" s="217">
        <f ca="1">I102*J102</f>
        <v>304200</v>
      </c>
    </row>
    <row r="103" spans="1:12" s="4" customFormat="1" x14ac:dyDescent="0.2">
      <c r="E103" s="12" t="s">
        <v>106</v>
      </c>
      <c r="F103" s="217">
        <v>175</v>
      </c>
      <c r="H103" s="12" t="s">
        <v>93</v>
      </c>
      <c r="I103" s="214">
        <f>F95</f>
        <v>10000</v>
      </c>
      <c r="J103" s="4">
        <f ca="1">F96</f>
        <v>5</v>
      </c>
      <c r="K103" s="217">
        <f ca="1">F95*J103</f>
        <v>50000</v>
      </c>
    </row>
    <row r="104" spans="1:12" s="4" customFormat="1" ht="17" customHeight="1" x14ac:dyDescent="0.2">
      <c r="E104" s="12" t="s">
        <v>107</v>
      </c>
      <c r="F104" s="217">
        <v>400</v>
      </c>
      <c r="H104" s="12" t="s">
        <v>97</v>
      </c>
      <c r="I104" s="214">
        <f>F97</f>
        <v>2000</v>
      </c>
      <c r="J104" s="4">
        <f ca="1">F98</f>
        <v>9</v>
      </c>
      <c r="K104" s="217">
        <f ca="1">F97*J104</f>
        <v>18000</v>
      </c>
    </row>
    <row r="105" spans="1:12" s="4" customFormat="1" x14ac:dyDescent="0.2">
      <c r="E105" s="12" t="s">
        <v>108</v>
      </c>
      <c r="F105" s="217">
        <v>280</v>
      </c>
      <c r="H105" s="12" t="s">
        <v>109</v>
      </c>
      <c r="I105" s="214">
        <f>F102+F106+F107+F108</f>
        <v>940</v>
      </c>
      <c r="J105" s="4">
        <f ca="1">J97</f>
        <v>50</v>
      </c>
      <c r="K105" s="217">
        <f ca="1">I105*J105</f>
        <v>47000</v>
      </c>
    </row>
    <row r="106" spans="1:12" s="4" customFormat="1" x14ac:dyDescent="0.2">
      <c r="E106" s="325" t="s">
        <v>110</v>
      </c>
      <c r="F106" s="217">
        <v>350</v>
      </c>
      <c r="H106" s="14"/>
      <c r="I106" s="15"/>
      <c r="J106" s="15"/>
      <c r="K106" s="278">
        <f ca="1">SUM(K102:K105)</f>
        <v>419200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457" t="s">
        <v>114</v>
      </c>
      <c r="C113" s="458">
        <v>0</v>
      </c>
    </row>
    <row r="114" spans="1:22" s="4" customFormat="1" x14ac:dyDescent="0.2">
      <c r="B114" s="275" t="s">
        <v>115</v>
      </c>
      <c r="C114" s="459">
        <v>0</v>
      </c>
    </row>
    <row r="115" spans="1:22" s="4" customFormat="1" x14ac:dyDescent="0.2">
      <c r="B115" s="275" t="s">
        <v>116</v>
      </c>
      <c r="C115" s="459">
        <f>C113*C114</f>
        <v>0</v>
      </c>
    </row>
    <row r="116" spans="1:22" s="4" customFormat="1" x14ac:dyDescent="0.2">
      <c r="B116" s="14" t="s">
        <v>117</v>
      </c>
      <c r="C116" s="76" cm="1">
        <f t="array" aca="1" ref="C116" ca="1">INDIRECT("'Input_Q"&amp;$B$3&amp;"-Predict'!C53")</f>
        <v>150000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118</v>
      </c>
    </row>
    <row r="121" spans="1:22" s="4" customFormat="1" x14ac:dyDescent="0.2"/>
    <row r="122" spans="1:22" s="4" customFormat="1" x14ac:dyDescent="0.2">
      <c r="B122" s="4" t="s">
        <v>119</v>
      </c>
    </row>
    <row r="123" spans="1:22" s="4" customFormat="1" x14ac:dyDescent="0.2">
      <c r="B123" s="9" t="s">
        <v>60</v>
      </c>
      <c r="C123" s="334">
        <f ca="1">IFERROR(VLOOKUP(B123,$B$14:$C$121,2,FALSE),0)</f>
        <v>3728892</v>
      </c>
      <c r="D123" s="286"/>
      <c r="E123" s="286"/>
    </row>
    <row r="124" spans="1:22" s="4" customFormat="1" x14ac:dyDescent="0.2">
      <c r="B124" s="275" t="s">
        <v>120</v>
      </c>
      <c r="C124" s="366">
        <f ca="1">IF(D124="Match",(C74+0.125)*C123+J73*M23,E124)</f>
        <v>1437877.1400000001</v>
      </c>
      <c r="D124" s="302" t="s">
        <v>121</v>
      </c>
      <c r="E124" s="268">
        <v>996058.8</v>
      </c>
      <c r="F124" s="9"/>
      <c r="G124" s="9" t="s">
        <v>122</v>
      </c>
      <c r="H124" s="331"/>
      <c r="I124" s="10">
        <f>H124/$H$128</f>
        <v>0</v>
      </c>
      <c r="J124" s="11"/>
    </row>
    <row r="125" spans="1:22" s="4" customFormat="1" x14ac:dyDescent="0.2">
      <c r="B125" s="12" t="s">
        <v>123</v>
      </c>
      <c r="C125" s="336">
        <f ca="1">C123-C124</f>
        <v>2291014.86</v>
      </c>
      <c r="E125" s="302"/>
      <c r="F125" s="12"/>
      <c r="G125" s="12" t="s">
        <v>124</v>
      </c>
      <c r="H125" s="279">
        <f ca="1">SUMIF(D127:D139,"FC",C127:C139)</f>
        <v>1871624.9068</v>
      </c>
      <c r="I125" s="4">
        <f ca="1">H125/$H$128</f>
        <v>1430.9058920489297</v>
      </c>
      <c r="J125" s="13"/>
    </row>
    <row r="126" spans="1:22" s="4" customFormat="1" x14ac:dyDescent="0.2">
      <c r="B126" s="12" t="s">
        <v>125</v>
      </c>
      <c r="C126" s="336"/>
      <c r="F126" s="12"/>
      <c r="G126" s="12" t="s">
        <v>120</v>
      </c>
      <c r="H126" s="279">
        <f ca="1">C124</f>
        <v>1437877.1400000001</v>
      </c>
      <c r="I126" s="4">
        <f ca="1">H126/$H$128</f>
        <v>1099.2944495412844</v>
      </c>
      <c r="J126" s="13"/>
    </row>
    <row r="127" spans="1:22" s="4" customFormat="1" x14ac:dyDescent="0.2">
      <c r="B127" s="12" t="s">
        <v>126</v>
      </c>
      <c r="C127" s="336">
        <f ca="1">IF(B7="Overtime",560000,280000)</f>
        <v>560000</v>
      </c>
      <c r="D127" s="4" t="s">
        <v>124</v>
      </c>
      <c r="F127" s="12"/>
      <c r="G127" s="12" t="s">
        <v>127</v>
      </c>
      <c r="H127" s="279">
        <f ca="1">SUM(H124:H126)</f>
        <v>3309502.0468000001</v>
      </c>
      <c r="J127" s="13"/>
    </row>
    <row r="128" spans="1:22" s="4" customFormat="1" x14ac:dyDescent="0.2">
      <c r="B128" s="12" t="s">
        <v>81</v>
      </c>
      <c r="C128" s="336">
        <f ca="1">IF(B7="Overtime",VALUE(IFERROR(VLOOKUP(B128,$B$14:$C$121,2,FALSE),0))*2,VALUE(IFERROR(VLOOKUP(B128,$B$14:$C$121,2,FALSE),0)))</f>
        <v>608400</v>
      </c>
      <c r="D128" s="4" t="s">
        <v>124</v>
      </c>
      <c r="F128" s="12"/>
      <c r="G128" s="12" t="s">
        <v>128</v>
      </c>
      <c r="H128" s="302">
        <f>C76</f>
        <v>1308</v>
      </c>
      <c r="J128" s="13"/>
    </row>
    <row r="129" spans="2:10" s="4" customFormat="1" x14ac:dyDescent="0.2">
      <c r="B129" s="12" t="s">
        <v>87</v>
      </c>
      <c r="C129" s="336">
        <f t="shared" ref="C129:C136" ca="1" si="0">IFERROR(VLOOKUP(B129,$B$14:$C$121,2,FALSE),0)</f>
        <v>50000</v>
      </c>
      <c r="D129" s="4" t="s">
        <v>124</v>
      </c>
      <c r="F129" s="12"/>
      <c r="G129" s="12" t="s">
        <v>129</v>
      </c>
      <c r="H129" s="339">
        <f ca="1">H127/H128</f>
        <v>2530.2003415902141</v>
      </c>
      <c r="J129" s="13"/>
    </row>
    <row r="130" spans="2:10" s="4" customFormat="1" x14ac:dyDescent="0.2">
      <c r="B130" s="12" t="s">
        <v>92</v>
      </c>
      <c r="C130" s="336">
        <f t="shared" ca="1" si="0"/>
        <v>47000</v>
      </c>
      <c r="D130" s="4" t="s">
        <v>122</v>
      </c>
      <c r="F130" s="12"/>
      <c r="G130" s="12"/>
      <c r="J130" s="13"/>
    </row>
    <row r="131" spans="2:10" s="4" customFormat="1" x14ac:dyDescent="0.2">
      <c r="B131" s="12" t="s">
        <v>89</v>
      </c>
      <c r="C131" s="336">
        <f t="shared" ca="1" si="0"/>
        <v>18000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 ca="1">$H$129*(1+H131)</f>
        <v>2783.2203757492357</v>
      </c>
      <c r="I132" s="333">
        <f ca="1">$H$129*(1+I131)</f>
        <v>3036.2404099082569</v>
      </c>
      <c r="J132" s="341">
        <f ca="1">$H$129*(1+J131)</f>
        <v>3289.2604440672785</v>
      </c>
    </row>
    <row r="133" spans="2:10" s="4" customFormat="1" x14ac:dyDescent="0.2">
      <c r="B133" s="12" t="s">
        <v>11</v>
      </c>
      <c r="C133" s="336">
        <f t="shared" ca="1" si="0"/>
        <v>135000</v>
      </c>
      <c r="D133" s="4" t="s">
        <v>124</v>
      </c>
      <c r="F133" s="12"/>
      <c r="G133" s="4" t="s">
        <v>133</v>
      </c>
      <c r="H133" s="302">
        <f ca="1">H132-$H$129</f>
        <v>253.02003415902163</v>
      </c>
      <c r="I133" s="302">
        <f ca="1">I132-$H$129</f>
        <v>506.04006831804281</v>
      </c>
      <c r="J133" s="318">
        <f ca="1">J132-$H$129</f>
        <v>759.06010247706445</v>
      </c>
    </row>
    <row r="134" spans="2:10" s="4" customFormat="1" x14ac:dyDescent="0.2">
      <c r="B134" s="12" t="s">
        <v>61</v>
      </c>
      <c r="C134" s="336">
        <f t="shared" ca="1" si="0"/>
        <v>349088.82</v>
      </c>
      <c r="D134" s="4" t="s">
        <v>124</v>
      </c>
      <c r="F134" s="12"/>
      <c r="G134" s="4" t="s">
        <v>134</v>
      </c>
      <c r="H134" s="355">
        <f ca="1">H133/H132</f>
        <v>9.0909090909090981E-2</v>
      </c>
      <c r="I134" s="355">
        <f ca="1">I133/I132</f>
        <v>0.16666666666666666</v>
      </c>
      <c r="J134" s="326">
        <f ca="1">J133/J132</f>
        <v>0.23076923076923081</v>
      </c>
    </row>
    <row r="135" spans="2:10" s="4" customFormat="1" x14ac:dyDescent="0.2">
      <c r="B135" s="12" t="s">
        <v>23</v>
      </c>
      <c r="C135" s="336">
        <f>IFERROR(VLOOKUP(B135,$B$14:$C$121,2,FALSE),0)</f>
        <v>1136.0868000000003</v>
      </c>
      <c r="D135" s="4" t="s">
        <v>124</v>
      </c>
      <c r="F135" s="12"/>
      <c r="G135" s="4" t="s">
        <v>135</v>
      </c>
      <c r="H135" s="279">
        <f ca="1">$H$125/H134</f>
        <v>20587873.974799983</v>
      </c>
      <c r="I135" s="279">
        <f ca="1">$H$125/I134</f>
        <v>11229749.4408</v>
      </c>
      <c r="J135" s="281">
        <f ca="1">$H$125/J134</f>
        <v>8110374.5961333318</v>
      </c>
    </row>
    <row r="136" spans="2:10" s="4" customFormat="1" x14ac:dyDescent="0.2">
      <c r="B136" s="12" t="s">
        <v>117</v>
      </c>
      <c r="C136" s="336">
        <f t="shared" ca="1" si="0"/>
        <v>150000</v>
      </c>
      <c r="D136" s="4" t="s">
        <v>124</v>
      </c>
      <c r="F136" s="14"/>
      <c r="G136" s="15" t="s">
        <v>136</v>
      </c>
      <c r="H136" s="15">
        <f ca="1">H135/H132</f>
        <v>7397.1411513749717</v>
      </c>
      <c r="I136" s="15">
        <f ca="1">I135/I132</f>
        <v>3698.5705756874891</v>
      </c>
      <c r="J136" s="16">
        <f ca="1">J135/J132</f>
        <v>2465.7137171249924</v>
      </c>
    </row>
    <row r="137" spans="2:10" s="4" customFormat="1" x14ac:dyDescent="0.2">
      <c r="B137" s="275" t="s">
        <v>137</v>
      </c>
      <c r="C137" s="335" cm="1">
        <f t="array" ref="C137">IF(B5="Validation",E137,SUMPRODUCT(F80:I80*F73:I73))</f>
        <v>55710</v>
      </c>
      <c r="D137" s="380" t="s">
        <v>138</v>
      </c>
      <c r="E137" s="4">
        <f>INDEX(Data_Sales!B3:N8,MATCH("Freight Cost",Data_Sales!B3:B8,0),MATCH('Qm-ValidationPredict'!B3,Data_Sales!B3:N3,0))</f>
        <v>55710</v>
      </c>
    </row>
    <row r="138" spans="2:10" s="4" customFormat="1" x14ac:dyDescent="0.2">
      <c r="B138" s="12" t="s">
        <v>139</v>
      </c>
      <c r="C138" s="336">
        <f>IFERROR(VLOOKUP(B138,$B$14:$C$121,2,FALSE),0)</f>
        <v>0</v>
      </c>
    </row>
    <row r="139" spans="2:10" s="4" customFormat="1" x14ac:dyDescent="0.2">
      <c r="B139" s="365" t="s">
        <v>140</v>
      </c>
      <c r="C139" s="366" cm="1">
        <f t="array" aca="1" ref="C139" ca="1">INDIRECT("'Input_Q"&amp;$B$3&amp;"-Predict'!C18")</f>
        <v>0</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 ca="1">SUM(C127:C141)</f>
        <v>1974334.9068</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 ca="1">C125-C142</f>
        <v>316679.95319999987</v>
      </c>
    </row>
    <row r="148" spans="2:5" s="4" customFormat="1" x14ac:dyDescent="0.2">
      <c r="B148" s="12" t="s">
        <v>147</v>
      </c>
      <c r="C148" s="13">
        <f ca="1">IF(C147&gt;0,C147*0.15,0)</f>
        <v>47501.992979999981</v>
      </c>
    </row>
    <row r="149" spans="2:5" s="4" customFormat="1" x14ac:dyDescent="0.2">
      <c r="B149" s="12" t="s">
        <v>148</v>
      </c>
      <c r="C149" s="336">
        <f ca="1">C147-C148</f>
        <v>269177.96021999989</v>
      </c>
    </row>
    <row r="150" spans="2:5" s="4" customFormat="1" x14ac:dyDescent="0.2">
      <c r="B150" s="12" t="s">
        <v>119</v>
      </c>
      <c r="C150" s="13"/>
    </row>
    <row r="151" spans="2:5" s="4" customFormat="1" x14ac:dyDescent="0.2">
      <c r="B151" s="12" t="s">
        <v>149</v>
      </c>
      <c r="C151" s="368">
        <f ca="1">INDEX(Data_IncomeStatement!A1:M33,MATCH("PROFIT AND LOSS STATEMENT RESULTS",Data_IncomeStatement!A1:A33,0),MATCH(VALUE(B3-1),Data_IncomeStatement!A1:M1,0))</f>
        <v>1927159.1054799999</v>
      </c>
    </row>
    <row r="152" spans="2:5" s="4" customFormat="1" x14ac:dyDescent="0.2">
      <c r="B152" s="12" t="s">
        <v>148</v>
      </c>
      <c r="C152" s="336">
        <f ca="1">C149</f>
        <v>269177.96021999989</v>
      </c>
    </row>
    <row r="153" spans="2:5" s="4" customFormat="1" x14ac:dyDescent="0.2">
      <c r="B153" s="12" t="s">
        <v>150</v>
      </c>
      <c r="C153" s="13">
        <v>0</v>
      </c>
    </row>
    <row r="154" spans="2:5" s="4" customFormat="1" x14ac:dyDescent="0.2">
      <c r="B154" s="14" t="s">
        <v>151</v>
      </c>
      <c r="C154" s="337">
        <f ca="1">C152+C151</f>
        <v>2196337.0656999997</v>
      </c>
    </row>
    <row r="155" spans="2:5" s="4" customFormat="1" x14ac:dyDescent="0.2"/>
    <row r="156" spans="2:5" s="4" customFormat="1" x14ac:dyDescent="0.2">
      <c r="C156" s="330"/>
      <c r="D156" s="214"/>
      <c r="E156" s="279"/>
    </row>
    <row r="157" spans="2:5" s="4" customFormat="1" x14ac:dyDescent="0.2">
      <c r="B157" s="9" t="str">
        <f>B5</f>
        <v>Validation</v>
      </c>
      <c r="C157" s="11"/>
    </row>
    <row r="158" spans="2:5" s="4" customFormat="1" x14ac:dyDescent="0.2">
      <c r="B158" s="63" t="s">
        <v>152</v>
      </c>
      <c r="C158" s="64"/>
    </row>
    <row r="159" spans="2:5" s="4" customFormat="1" x14ac:dyDescent="0.2">
      <c r="B159" s="12" t="s">
        <v>153</v>
      </c>
      <c r="C159" s="336">
        <f ca="1">C142</f>
        <v>1974334.9068</v>
      </c>
    </row>
    <row r="160" spans="2:5" s="4" customFormat="1" x14ac:dyDescent="0.2">
      <c r="B160" s="12" t="s">
        <v>154</v>
      </c>
      <c r="C160" s="336">
        <f ca="1">C124</f>
        <v>1437877.1400000001</v>
      </c>
    </row>
    <row r="161" spans="2:3" s="4" customFormat="1" x14ac:dyDescent="0.2">
      <c r="B161" s="12" t="s">
        <v>155</v>
      </c>
      <c r="C161" s="336">
        <f ca="1">C123</f>
        <v>3728892</v>
      </c>
    </row>
    <row r="162" spans="2:3" s="4" customFormat="1" x14ac:dyDescent="0.2">
      <c r="B162" s="12" t="s">
        <v>156</v>
      </c>
      <c r="C162" s="529">
        <f ca="1">C159/(1-C160/C161)</f>
        <v>3213458.702440396</v>
      </c>
    </row>
    <row r="163" spans="2:3" s="4" customFormat="1" x14ac:dyDescent="0.2">
      <c r="B163" s="12"/>
      <c r="C163" s="13"/>
    </row>
    <row r="164" spans="2:3" s="4" customFormat="1" x14ac:dyDescent="0.2">
      <c r="B164" s="12" t="s">
        <v>157</v>
      </c>
      <c r="C164" s="480">
        <f>J73</f>
        <v>1308</v>
      </c>
    </row>
    <row r="165" spans="2:3" s="4" customFormat="1" x14ac:dyDescent="0.2">
      <c r="B165" s="14" t="s">
        <v>158</v>
      </c>
      <c r="C165" s="530">
        <f ca="1">ROUNDUP(C162/(C161/C164),0)</f>
        <v>1128</v>
      </c>
    </row>
    <row r="166" spans="2:3" s="4" customFormat="1" x14ac:dyDescent="0.2"/>
    <row r="167" spans="2:3" s="4" customFormat="1" x14ac:dyDescent="0.2"/>
    <row r="168" spans="2:3" s="4" customFormat="1" x14ac:dyDescent="0.2"/>
    <row r="169" spans="2:3" s="4" customFormat="1" x14ac:dyDescent="0.2"/>
    <row r="170" spans="2:3" s="4" customFormat="1" x14ac:dyDescent="0.2"/>
    <row r="171" spans="2:3" s="4" customFormat="1" x14ac:dyDescent="0.2"/>
    <row r="172" spans="2:3" s="4" customFormat="1" x14ac:dyDescent="0.2"/>
    <row r="173" spans="2:3" s="4" customFormat="1" x14ac:dyDescent="0.2"/>
    <row r="174" spans="2:3"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56CD691D-D1C6-0D4B-81DC-5F593DC18058}">
          <x14:formula1>
            <xm:f>Reference!$A$14:$A$26</xm:f>
          </x14:formula1>
          <xm:sqref>B3</xm:sqref>
        </x14:dataValidation>
        <x14:dataValidation type="list" allowBlank="1" showInputMessage="1" showErrorMessage="1" xr:uid="{DD47954A-685A-F644-AFE1-48A63ACDD2C0}">
          <x14:formula1>
            <xm:f>Reference!$A$10:$A$12</xm:f>
          </x14:formula1>
          <xm:sqref>D124</xm:sqref>
        </x14:dataValidation>
        <x14:dataValidation type="list" allowBlank="1" showInputMessage="1" showErrorMessage="1" xr:uid="{B1C2FDB6-0B16-DE46-A428-01F90D884CEA}">
          <x14:formula1>
            <xm:f>Reference!$A$6:$A$8</xm:f>
          </x14:formula1>
          <xm:sqref>B5</xm:sqref>
        </x14:dataValidation>
        <x14:dataValidation type="list" allowBlank="1" showInputMessage="1" showErrorMessage="1" xr:uid="{3E08261D-7B45-1A4C-A1BC-C7A971E0646E}">
          <x14:formula1>
            <xm:f>Reference!$C$1:$C$5</xm:f>
          </x14:formula1>
          <xm:sqref>W22 W29 K21</xm:sqref>
        </x14:dataValidation>
        <x14:dataValidation type="list" allowBlank="1" showInputMessage="1" showErrorMessage="1" xr:uid="{CE28A138-16E8-2946-A924-BABB83259BC3}">
          <x14:formula1>
            <xm:f>Reference!$A$1:$A$3</xm:f>
          </x14:formula1>
          <xm:sqref>W20 W27 K19</xm:sqref>
        </x14:dataValidation>
        <x14:dataValidation type="list" allowBlank="1" showInputMessage="1" showErrorMessage="1" xr:uid="{FD01E6C4-5688-6F42-9A5D-6D7C0374501F}">
          <x14:formula1>
            <xm:f>Reference!$D$1:$D$4</xm:f>
          </x14:formula1>
          <xm:sqref>W23 W30 K22</xm:sqref>
        </x14:dataValidation>
        <x14:dataValidation type="list" allowBlank="1" showInputMessage="1" showErrorMessage="1" xr:uid="{93D0C092-22A3-1348-86F6-B7AA5A01056A}">
          <x14:formula1>
            <xm:f>Reference!$B$1:$B$4</xm:f>
          </x14:formula1>
          <xm:sqref>W21 W28 K20</xm:sqref>
        </x14:dataValidation>
        <x14:dataValidation type="list" allowBlank="1" showInputMessage="1" showErrorMessage="1" xr:uid="{3947CBA4-798B-2D4A-B6C5-9F76B10FCF69}">
          <x14:formula1>
            <xm:f>Reference!$A$31:$A$32</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A0DDE-4603-7842-B852-A7F63562D297}">
  <sheetPr>
    <tabColor theme="9" tint="0.59999389629810485"/>
  </sheetPr>
  <dimension ref="B1:J53"/>
  <sheetViews>
    <sheetView topLeftCell="A22" zoomScale="126" workbookViewId="0">
      <selection activeCell="G21" sqref="G21"/>
    </sheetView>
  </sheetViews>
  <sheetFormatPr baseColWidth="10" defaultColWidth="11" defaultRowHeight="16" x14ac:dyDescent="0.2"/>
  <cols>
    <col min="2" max="2" width="33.83203125" bestFit="1" customWidth="1"/>
    <col min="3" max="3" width="12.83203125" style="371" customWidth="1"/>
    <col min="4" max="4" width="15.6640625" customWidth="1"/>
    <col min="10" max="10" width="34.6640625" bestFit="1" customWidth="1"/>
  </cols>
  <sheetData>
    <row r="1" spans="2:7" x14ac:dyDescent="0.2">
      <c r="C1" t="s">
        <v>159</v>
      </c>
      <c r="D1" s="371"/>
      <c r="G1" s="414"/>
    </row>
    <row r="2" spans="2:7" x14ac:dyDescent="0.2">
      <c r="B2" s="385" t="b">
        <v>1</v>
      </c>
      <c r="C2" t="s">
        <v>160</v>
      </c>
      <c r="D2" s="371"/>
    </row>
    <row r="3" spans="2:7" x14ac:dyDescent="0.2">
      <c r="B3" s="385" t="b">
        <v>0</v>
      </c>
      <c r="C3" t="s">
        <v>161</v>
      </c>
      <c r="D3" s="371"/>
    </row>
    <row r="4" spans="2:7" x14ac:dyDescent="0.2">
      <c r="B4" s="385" t="b">
        <v>0</v>
      </c>
      <c r="C4" t="s">
        <v>162</v>
      </c>
      <c r="D4" s="371"/>
    </row>
    <row r="5" spans="2:7" x14ac:dyDescent="0.2">
      <c r="B5" s="385" t="b">
        <v>0</v>
      </c>
      <c r="C5" t="s">
        <v>163</v>
      </c>
      <c r="D5" s="371"/>
    </row>
    <row r="6" spans="2:7" s="124" customFormat="1" x14ac:dyDescent="0.2">
      <c r="B6" s="141" t="s">
        <v>164</v>
      </c>
      <c r="C6" s="404">
        <v>7</v>
      </c>
    </row>
    <row r="7" spans="2:7" s="124" customFormat="1" x14ac:dyDescent="0.2">
      <c r="B7" s="81" t="s">
        <v>165</v>
      </c>
      <c r="C7" s="405" t="s">
        <v>166</v>
      </c>
      <c r="E7" s="387" t="s">
        <v>167</v>
      </c>
    </row>
    <row r="8" spans="2:7" s="124" customFormat="1" x14ac:dyDescent="0.2">
      <c r="B8" s="63" t="s">
        <v>168</v>
      </c>
      <c r="C8" s="413" t="s">
        <v>169</v>
      </c>
      <c r="E8" s="387"/>
    </row>
    <row r="9" spans="2:7" x14ac:dyDescent="0.2">
      <c r="B9" s="93" t="s">
        <v>170</v>
      </c>
      <c r="C9" s="403"/>
    </row>
    <row r="10" spans="2:7" x14ac:dyDescent="0.2">
      <c r="B10" s="93">
        <v>1</v>
      </c>
      <c r="C10" s="395">
        <v>2899</v>
      </c>
    </row>
    <row r="11" spans="2:7" x14ac:dyDescent="0.2">
      <c r="B11" s="93">
        <v>2</v>
      </c>
      <c r="C11" s="395">
        <v>2399</v>
      </c>
    </row>
    <row r="12" spans="2:7" x14ac:dyDescent="0.2">
      <c r="B12" s="93">
        <v>3</v>
      </c>
      <c r="C12" s="395">
        <v>2899</v>
      </c>
    </row>
    <row r="13" spans="2:7" x14ac:dyDescent="0.2">
      <c r="B13" s="90">
        <v>4</v>
      </c>
      <c r="C13" s="396">
        <v>2899</v>
      </c>
    </row>
    <row r="14" spans="2:7" x14ac:dyDescent="0.2">
      <c r="B14" s="87" t="s">
        <v>148</v>
      </c>
      <c r="C14" s="394" cm="1">
        <f t="array" aca="1" ref="C14" ca="1">INDIRECT("'Q"&amp;C6&amp;"-Predict'!C149")</f>
        <v>121140.48479000016</v>
      </c>
    </row>
    <row r="15" spans="2:7" x14ac:dyDescent="0.2">
      <c r="B15" s="14" t="s">
        <v>151</v>
      </c>
      <c r="C15" s="397" cm="1">
        <f t="array" aca="1" ref="C15" ca="1">INDIRECT("'Q"&amp;C6&amp;"-Predict'!C154")</f>
        <v>-470423.88586999988</v>
      </c>
    </row>
    <row r="17" spans="2:10" x14ac:dyDescent="0.2">
      <c r="B17" s="87" t="s">
        <v>171</v>
      </c>
      <c r="C17" s="388">
        <f>INDEX(Data_IncomeStatement!A1:M33,MATCH("PROFIT AND LOSS STATEMENT RESULTS", Data_IncomeStatement!A1:A33, 0),MATCH(VALUE(C6-1), Data_IncomeStatement!A1:M1, 0))</f>
        <v>-591564.37066000002</v>
      </c>
      <c r="D17" s="122" t="s">
        <v>172</v>
      </c>
      <c r="I17" t="s">
        <v>173</v>
      </c>
      <c r="J17" t="s">
        <v>174</v>
      </c>
    </row>
    <row r="18" spans="2:10" x14ac:dyDescent="0.2">
      <c r="B18" s="93" t="s">
        <v>175</v>
      </c>
      <c r="C18" s="344">
        <v>0</v>
      </c>
      <c r="D18" t="s">
        <v>176</v>
      </c>
      <c r="E18" t="s">
        <v>177</v>
      </c>
      <c r="I18" t="s">
        <v>132</v>
      </c>
      <c r="J18" t="s">
        <v>120</v>
      </c>
    </row>
    <row r="19" spans="2:10" x14ac:dyDescent="0.2">
      <c r="B19" s="93" t="s">
        <v>41</v>
      </c>
      <c r="C19" s="344">
        <f>INDEX(Data_Stock!B2:N11,MATCH("Left Inventory",Data_Stock!B2:B11,0),MATCH(VALUE(C6-1),Data_Stock!B2:N2,0))</f>
        <v>25</v>
      </c>
      <c r="D19" s="122" t="s">
        <v>172</v>
      </c>
      <c r="E19" t="s">
        <v>177</v>
      </c>
      <c r="G19">
        <f>819+741-960</f>
        <v>600</v>
      </c>
      <c r="J19" t="s">
        <v>178</v>
      </c>
    </row>
    <row r="20" spans="2:10" x14ac:dyDescent="0.2">
      <c r="B20" s="93" t="s">
        <v>42</v>
      </c>
      <c r="C20" s="344">
        <f>INDEX(Data_Stock!B2:N11,MATCH("Left",Data_Stock!B2:B11,0),MATCH(VALUE(C6-1),Data_Stock!B2:N2,0))</f>
        <v>1632</v>
      </c>
      <c r="D20" s="122" t="s">
        <v>172</v>
      </c>
      <c r="E20" t="s">
        <v>177</v>
      </c>
      <c r="J20" t="s">
        <v>179</v>
      </c>
    </row>
    <row r="21" spans="2:10" x14ac:dyDescent="0.2">
      <c r="B21" s="90" t="s">
        <v>180</v>
      </c>
      <c r="C21" s="389">
        <f>IF(C8="Overtime",MIN((1500*C34+C19),(C19+(C20*C34))),MIN((1200*C34+C19),(C19+(C20*C34))))</f>
        <v>1465</v>
      </c>
      <c r="D21" s="122"/>
    </row>
    <row r="22" spans="2:10" x14ac:dyDescent="0.2">
      <c r="B22" s="87" t="s">
        <v>181</v>
      </c>
      <c r="C22" s="390">
        <f>C21</f>
        <v>1465</v>
      </c>
      <c r="D22" s="122"/>
      <c r="E22" t="s">
        <v>182</v>
      </c>
    </row>
    <row r="23" spans="2:10" x14ac:dyDescent="0.2">
      <c r="B23" s="391" t="str">
        <f>"-----------------------------------------------&gt;&gt;"</f>
        <v>-----------------------------------------------&gt;&gt;</v>
      </c>
      <c r="C23" s="392">
        <f>MIN(C22,C21)</f>
        <v>1465</v>
      </c>
      <c r="D23" s="122" t="s">
        <v>172</v>
      </c>
      <c r="E23" t="s">
        <v>183</v>
      </c>
      <c r="J23" t="s">
        <v>184</v>
      </c>
    </row>
    <row r="24" spans="2:10" x14ac:dyDescent="0.2">
      <c r="B24" s="93">
        <v>1</v>
      </c>
      <c r="C24" s="291">
        <f>ROUNDDOWN($C$23*D24,0)</f>
        <v>439</v>
      </c>
      <c r="D24" s="17">
        <v>0.3</v>
      </c>
      <c r="E24" t="s">
        <v>185</v>
      </c>
      <c r="J24" t="s">
        <v>186</v>
      </c>
    </row>
    <row r="25" spans="2:10" x14ac:dyDescent="0.2">
      <c r="B25" s="93">
        <v>2</v>
      </c>
      <c r="C25" s="291">
        <f t="shared" ref="C25:C27" si="0">ROUNDDOWN($C$23*D25,0)</f>
        <v>249</v>
      </c>
      <c r="D25" s="17">
        <v>0.17</v>
      </c>
      <c r="E25" t="s">
        <v>187</v>
      </c>
      <c r="J25" t="s">
        <v>188</v>
      </c>
    </row>
    <row r="26" spans="2:10" x14ac:dyDescent="0.2">
      <c r="B26" s="93">
        <v>3</v>
      </c>
      <c r="C26" s="291">
        <f t="shared" si="0"/>
        <v>43</v>
      </c>
      <c r="D26" s="17">
        <f>1-D27-D25-D24</f>
        <v>2.9999999999999971E-2</v>
      </c>
      <c r="J26" t="s">
        <v>189</v>
      </c>
    </row>
    <row r="27" spans="2:10" x14ac:dyDescent="0.2">
      <c r="B27" s="90">
        <v>4</v>
      </c>
      <c r="C27" s="291">
        <f t="shared" si="0"/>
        <v>732</v>
      </c>
      <c r="D27" s="17">
        <v>0.5</v>
      </c>
      <c r="E27" t="s">
        <v>190</v>
      </c>
      <c r="J27" t="s">
        <v>191</v>
      </c>
    </row>
    <row r="28" spans="2:10" x14ac:dyDescent="0.2">
      <c r="B28" s="87" t="s">
        <v>192</v>
      </c>
      <c r="C28" s="394">
        <f>SUM(C29:C32)</f>
        <v>1014</v>
      </c>
      <c r="D28" t="s">
        <v>193</v>
      </c>
      <c r="J28" t="s">
        <v>194</v>
      </c>
    </row>
    <row r="29" spans="2:10" x14ac:dyDescent="0.2">
      <c r="B29" s="93">
        <v>1</v>
      </c>
      <c r="C29" s="291">
        <f>ROUNDDOWN(C24*D29,0)</f>
        <v>307</v>
      </c>
      <c r="D29" s="69">
        <v>0.7</v>
      </c>
      <c r="E29">
        <v>1613</v>
      </c>
      <c r="F29" s="267">
        <f t="shared" ref="F29:F31" si="1">C29/E29</f>
        <v>0.1903285802851829</v>
      </c>
      <c r="J29" t="s">
        <v>195</v>
      </c>
    </row>
    <row r="30" spans="2:10" x14ac:dyDescent="0.2">
      <c r="B30" s="93">
        <v>2</v>
      </c>
      <c r="C30" s="291">
        <f t="shared" ref="C30:C31" si="2">ROUNDDOWN(C25*D30,0)</f>
        <v>174</v>
      </c>
      <c r="D30" s="69">
        <v>0.7</v>
      </c>
      <c r="E30">
        <v>1094</v>
      </c>
      <c r="F30" s="267">
        <f t="shared" si="1"/>
        <v>0.15904936014625229</v>
      </c>
      <c r="J30" t="s">
        <v>196</v>
      </c>
    </row>
    <row r="31" spans="2:10" x14ac:dyDescent="0.2">
      <c r="B31" s="93">
        <v>3</v>
      </c>
      <c r="C31" s="291">
        <f t="shared" si="2"/>
        <v>21</v>
      </c>
      <c r="D31" s="69">
        <v>0.5</v>
      </c>
      <c r="E31">
        <v>1210</v>
      </c>
      <c r="F31" s="267">
        <f t="shared" si="1"/>
        <v>1.7355371900826446E-2</v>
      </c>
    </row>
    <row r="32" spans="2:10" x14ac:dyDescent="0.2">
      <c r="B32" s="90">
        <v>4</v>
      </c>
      <c r="C32" s="393">
        <f>ROUNDDOWN(C27*D32,0)</f>
        <v>512</v>
      </c>
      <c r="D32" s="69">
        <v>0.7</v>
      </c>
      <c r="E32">
        <v>1843</v>
      </c>
      <c r="F32" s="267">
        <f>C32/E32</f>
        <v>0.27780792186652198</v>
      </c>
    </row>
    <row r="33" spans="2:5" ht="17" customHeight="1" x14ac:dyDescent="0.2">
      <c r="B33" s="87" t="s">
        <v>197</v>
      </c>
      <c r="C33" s="398">
        <f>C23-C19</f>
        <v>1440</v>
      </c>
      <c r="E33" t="s">
        <v>198</v>
      </c>
    </row>
    <row r="34" spans="2:5" ht="17" customHeight="1" x14ac:dyDescent="0.2">
      <c r="B34" s="93" t="s">
        <v>38</v>
      </c>
      <c r="C34" s="399">
        <v>0.96</v>
      </c>
    </row>
    <row r="35" spans="2:5" ht="17" customHeight="1" x14ac:dyDescent="0.2">
      <c r="B35" s="90" t="s">
        <v>199</v>
      </c>
      <c r="C35" s="400">
        <f>ROUNDDOWN(C33*C34,0)</f>
        <v>1382</v>
      </c>
    </row>
    <row r="36" spans="2:5" ht="17" customHeight="1" x14ac:dyDescent="0.2">
      <c r="B36" s="87" t="s">
        <v>200</v>
      </c>
      <c r="C36" s="390">
        <v>1500</v>
      </c>
      <c r="D36" s="269"/>
    </row>
    <row r="37" spans="2:5" ht="17" customHeight="1" x14ac:dyDescent="0.2">
      <c r="B37" s="90" t="str">
        <f>"-------------------------------&gt;"</f>
        <v>-------------------------------&gt;</v>
      </c>
      <c r="C37" s="400">
        <f>IF(C7="Conservasive",1200-(C20-C35),C36)</f>
        <v>1500</v>
      </c>
      <c r="E37" t="s">
        <v>201</v>
      </c>
    </row>
    <row r="38" spans="2:5" x14ac:dyDescent="0.2">
      <c r="B38" s="195" t="s">
        <v>19</v>
      </c>
      <c r="C38" s="401">
        <v>9</v>
      </c>
    </row>
    <row r="39" spans="2:5" x14ac:dyDescent="0.2">
      <c r="B39" s="195" t="s">
        <v>202</v>
      </c>
      <c r="C39" s="402">
        <v>0.06</v>
      </c>
    </row>
    <row r="40" spans="2:5" x14ac:dyDescent="0.2">
      <c r="B40" s="87" t="s">
        <v>203</v>
      </c>
      <c r="C40" s="394"/>
    </row>
    <row r="41" spans="2:5" x14ac:dyDescent="0.2">
      <c r="B41" s="93">
        <v>1</v>
      </c>
      <c r="C41" s="291">
        <v>7</v>
      </c>
      <c r="D41">
        <f>'Q7-Predict'!F75</f>
        <v>89086.27</v>
      </c>
    </row>
    <row r="42" spans="2:5" x14ac:dyDescent="0.2">
      <c r="B42" s="93">
        <v>2</v>
      </c>
      <c r="C42" s="291">
        <v>9</v>
      </c>
      <c r="D42">
        <f>'Q7-Predict'!G75</f>
        <v>53761.59</v>
      </c>
    </row>
    <row r="43" spans="2:5" x14ac:dyDescent="0.2">
      <c r="B43" s="93">
        <v>3</v>
      </c>
      <c r="C43" s="291">
        <v>1</v>
      </c>
      <c r="D43">
        <f>'Q7-Predict'!H75</f>
        <v>1246.57</v>
      </c>
    </row>
    <row r="44" spans="2:5" x14ac:dyDescent="0.2">
      <c r="B44" s="90">
        <v>4</v>
      </c>
      <c r="C44" s="393">
        <v>7</v>
      </c>
      <c r="D44">
        <f>'Q7-Predict'!I75</f>
        <v>148544.76</v>
      </c>
    </row>
    <row r="45" spans="2:5" x14ac:dyDescent="0.2">
      <c r="B45" s="87" t="s">
        <v>204</v>
      </c>
      <c r="C45" s="394"/>
    </row>
    <row r="46" spans="2:5" x14ac:dyDescent="0.2">
      <c r="B46" s="93">
        <v>1</v>
      </c>
      <c r="C46" s="291">
        <v>1</v>
      </c>
    </row>
    <row r="47" spans="2:5" x14ac:dyDescent="0.2">
      <c r="B47" s="93">
        <v>2</v>
      </c>
      <c r="C47" s="291">
        <v>0</v>
      </c>
    </row>
    <row r="48" spans="2:5" x14ac:dyDescent="0.2">
      <c r="B48" s="93">
        <v>3</v>
      </c>
      <c r="C48" s="291">
        <v>-1</v>
      </c>
    </row>
    <row r="49" spans="2:4" x14ac:dyDescent="0.2">
      <c r="B49" s="90">
        <v>4</v>
      </c>
      <c r="C49" s="393">
        <v>0</v>
      </c>
    </row>
    <row r="50" spans="2:4" x14ac:dyDescent="0.2">
      <c r="B50" s="87" t="s">
        <v>82</v>
      </c>
      <c r="C50" s="390">
        <v>5200</v>
      </c>
    </row>
    <row r="51" spans="2:4" x14ac:dyDescent="0.2">
      <c r="B51" s="93" t="s">
        <v>93</v>
      </c>
      <c r="C51" s="291">
        <v>7</v>
      </c>
    </row>
    <row r="52" spans="2:4" x14ac:dyDescent="0.2">
      <c r="B52" s="93" t="s">
        <v>205</v>
      </c>
      <c r="C52" s="291">
        <v>5</v>
      </c>
    </row>
    <row r="53" spans="2:4" x14ac:dyDescent="0.2">
      <c r="B53" s="90" t="s">
        <v>206</v>
      </c>
      <c r="C53" s="393">
        <v>80000</v>
      </c>
      <c r="D53" t="s">
        <v>207</v>
      </c>
    </row>
  </sheetData>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0DA68200-6B84-FA46-8622-F98E6AC16714}">
          <x14:formula1>
            <xm:f>Reference!$A$28:$A$29</xm:f>
          </x14:formula1>
          <xm:sqref>C7</xm:sqref>
        </x14:dataValidation>
        <x14:dataValidation type="list" allowBlank="1" showInputMessage="1" showErrorMessage="1" xr:uid="{69C2BDC3-A419-634D-96BC-58633AA4A73A}">
          <x14:formula1>
            <xm:f>Reference!$A$14:$A$26</xm:f>
          </x14:formula1>
          <xm:sqref>C6</xm:sqref>
        </x14:dataValidation>
        <x14:dataValidation type="list" allowBlank="1" showInputMessage="1" showErrorMessage="1" xr:uid="{45EA1609-693C-9944-9B66-89117B8E1FBD}">
          <x14:formula1>
            <xm:f>Reference!$A$31:$A$32</xm:f>
          </x14:formula1>
          <xm:sqref>C8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6267-03AA-5545-910D-A228DFA8C1BB}">
  <sheetPr>
    <tabColor theme="9" tint="0.59999389629810485"/>
  </sheetPr>
  <dimension ref="B1:G53"/>
  <sheetViews>
    <sheetView zoomScale="150" workbookViewId="0">
      <selection activeCell="G11" sqref="G11"/>
    </sheetView>
  </sheetViews>
  <sheetFormatPr baseColWidth="10" defaultColWidth="11" defaultRowHeight="16" x14ac:dyDescent="0.2"/>
  <cols>
    <col min="1" max="1" width="11" style="4"/>
    <col min="2" max="2" width="33.83203125" style="4" bestFit="1" customWidth="1"/>
    <col min="3" max="3" width="11.33203125" style="462" customWidth="1"/>
    <col min="4" max="4" width="11" style="4" customWidth="1"/>
    <col min="5" max="5" width="14.5" style="4" customWidth="1"/>
    <col min="6" max="6" width="13.1640625" style="4" customWidth="1"/>
    <col min="7" max="7" width="15" style="4" customWidth="1"/>
    <col min="8" max="9" width="11" style="4"/>
    <col min="10" max="10" width="34.6640625" style="4" bestFit="1" customWidth="1"/>
    <col min="11" max="16384" width="11" style="4"/>
  </cols>
  <sheetData>
    <row r="1" spans="2:7" x14ac:dyDescent="0.2">
      <c r="B1" s="9" t="s">
        <v>159</v>
      </c>
      <c r="C1" s="10"/>
      <c r="D1" s="464"/>
      <c r="E1" s="10"/>
      <c r="F1" s="10"/>
      <c r="G1" s="465"/>
    </row>
    <row r="2" spans="2:7" x14ac:dyDescent="0.2">
      <c r="B2" s="466" t="b">
        <v>1</v>
      </c>
      <c r="C2" s="4" t="s">
        <v>160</v>
      </c>
      <c r="D2" s="449"/>
      <c r="G2" s="13"/>
    </row>
    <row r="3" spans="2:7" x14ac:dyDescent="0.2">
      <c r="B3" s="466" t="b">
        <v>0</v>
      </c>
      <c r="C3" s="4" t="s">
        <v>161</v>
      </c>
      <c r="D3" s="449"/>
      <c r="G3" s="13"/>
    </row>
    <row r="4" spans="2:7" x14ac:dyDescent="0.2">
      <c r="B4" s="466" t="b">
        <v>0</v>
      </c>
      <c r="C4" s="4" t="s">
        <v>162</v>
      </c>
      <c r="D4" s="449"/>
      <c r="G4" s="13"/>
    </row>
    <row r="5" spans="2:7" x14ac:dyDescent="0.2">
      <c r="B5" s="467" t="b">
        <v>0</v>
      </c>
      <c r="C5" s="15" t="s">
        <v>163</v>
      </c>
      <c r="D5" s="468"/>
      <c r="E5" s="15"/>
      <c r="F5" s="15"/>
      <c r="G5" s="16"/>
    </row>
    <row r="6" spans="2:7" x14ac:dyDescent="0.2">
      <c r="B6" s="12" t="s">
        <v>164</v>
      </c>
      <c r="C6" s="395">
        <v>12</v>
      </c>
    </row>
    <row r="7" spans="2:7" x14ac:dyDescent="0.2">
      <c r="B7" s="71" t="s">
        <v>165</v>
      </c>
      <c r="C7" s="469" t="s">
        <v>166</v>
      </c>
      <c r="E7" s="199" t="s">
        <v>208</v>
      </c>
    </row>
    <row r="8" spans="2:7" x14ac:dyDescent="0.2">
      <c r="B8" s="71" t="s">
        <v>168</v>
      </c>
      <c r="C8" s="469" t="s">
        <v>169</v>
      </c>
      <c r="E8" s="199"/>
    </row>
    <row r="9" spans="2:7" x14ac:dyDescent="0.2">
      <c r="B9" s="12" t="s">
        <v>170</v>
      </c>
      <c r="C9" s="222"/>
      <c r="E9" s="178" t="s">
        <v>192</v>
      </c>
    </row>
    <row r="10" spans="2:7" x14ac:dyDescent="0.2">
      <c r="B10" s="12">
        <v>1</v>
      </c>
      <c r="C10" s="470">
        <v>2899</v>
      </c>
      <c r="E10" s="481">
        <f>C28</f>
        <v>626</v>
      </c>
    </row>
    <row r="11" spans="2:7" x14ac:dyDescent="0.2">
      <c r="B11" s="12">
        <v>2</v>
      </c>
      <c r="C11" s="470">
        <v>2399</v>
      </c>
      <c r="E11" s="178" t="s">
        <v>209</v>
      </c>
    </row>
    <row r="12" spans="2:7" x14ac:dyDescent="0.2">
      <c r="B12" s="12">
        <v>3</v>
      </c>
      <c r="C12" s="470">
        <v>2899</v>
      </c>
      <c r="E12" s="98" cm="1">
        <f t="array" aca="1" ref="E12" ca="1">INDIRECT("'Q"&amp;C6&amp;"-Predict'!C165")</f>
        <v>1357</v>
      </c>
    </row>
    <row r="13" spans="2:7" x14ac:dyDescent="0.2">
      <c r="B13" s="14">
        <v>4</v>
      </c>
      <c r="C13" s="471">
        <v>2899</v>
      </c>
      <c r="E13" s="476" t="str">
        <f ca="1">IF(E12&gt;E10,"Need Adjustment","All Good")</f>
        <v>Need Adjustment</v>
      </c>
    </row>
    <row r="14" spans="2:7" x14ac:dyDescent="0.2">
      <c r="B14" s="9" t="s">
        <v>148</v>
      </c>
      <c r="C14" s="479" cm="1">
        <f t="array" aca="1" ref="C14" ca="1">INDIRECT("'Q"&amp;C6&amp;"-Predict'!C149")</f>
        <v>71587.376720000088</v>
      </c>
    </row>
    <row r="15" spans="2:7" x14ac:dyDescent="0.2">
      <c r="B15" s="14" t="s">
        <v>151</v>
      </c>
      <c r="C15" s="463" cm="1">
        <f t="array" aca="1" ref="C15" ca="1">INDIRECT("'Q"&amp;C6&amp;"-Predict'!C154")</f>
        <v>1998746.4822</v>
      </c>
    </row>
    <row r="17" spans="2:6" x14ac:dyDescent="0.2">
      <c r="B17" s="9" t="s">
        <v>171</v>
      </c>
      <c r="C17" s="345">
        <f ca="1">INDEX(Data_IncomeStatement!A1:M33,MATCH("PROFIT AND LOSS STATEMENT RESULTS", Data_IncomeStatement!A1:A33, 0),MATCH(VALUE(C6-1), Data_IncomeStatement!A1:M1, 0))</f>
        <v>1927159.1054799999</v>
      </c>
      <c r="D17" s="178"/>
      <c r="E17" s="199" t="s">
        <v>172</v>
      </c>
    </row>
    <row r="18" spans="2:6" x14ac:dyDescent="0.2">
      <c r="B18" s="12" t="s">
        <v>175</v>
      </c>
      <c r="C18" s="222">
        <v>0</v>
      </c>
      <c r="D18" s="103"/>
      <c r="E18" s="4" t="s">
        <v>177</v>
      </c>
    </row>
    <row r="19" spans="2:6" x14ac:dyDescent="0.2">
      <c r="B19" s="12" t="s">
        <v>41</v>
      </c>
      <c r="C19" s="222">
        <f>INDEX(Data_Stock!B2:N11,MATCH("Left Inventory",Data_Stock!B2:B11,0),MATCH(VALUE(C6-1),Data_Stock!B2:N2,0))</f>
        <v>90</v>
      </c>
      <c r="D19" s="103"/>
      <c r="E19" s="199" t="s">
        <v>172</v>
      </c>
    </row>
    <row r="20" spans="2:6" x14ac:dyDescent="0.2">
      <c r="B20" s="12" t="s">
        <v>42</v>
      </c>
      <c r="C20" s="222">
        <f>INDEX(Data_Stock!B2:N11,MATCH("Left",Data_Stock!B2:B11,0),MATCH(VALUE(C6-1),Data_Stock!B2:N2,0))</f>
        <v>1545</v>
      </c>
      <c r="D20" s="103"/>
      <c r="E20" s="199" t="s">
        <v>172</v>
      </c>
    </row>
    <row r="21" spans="2:6" x14ac:dyDescent="0.2">
      <c r="B21" s="14" t="s">
        <v>180</v>
      </c>
      <c r="C21" s="463">
        <f>IF(C8="Overtime",MIN((1560*C34+C19),(C19+(C20*C34))),MIN((1200*C34+C19),(C19+(C20*C34))))</f>
        <v>1573.2</v>
      </c>
      <c r="D21" s="476"/>
    </row>
    <row r="22" spans="2:6" x14ac:dyDescent="0.2">
      <c r="B22" s="9" t="s">
        <v>181</v>
      </c>
      <c r="C22" s="390">
        <f>C21</f>
        <v>1573.2</v>
      </c>
      <c r="D22" s="472"/>
      <c r="E22" s="4" t="s">
        <v>182</v>
      </c>
    </row>
    <row r="23" spans="2:6" x14ac:dyDescent="0.2">
      <c r="B23" s="67" t="str">
        <f>"-----------------------------------------------&gt;&gt;"</f>
        <v>-----------------------------------------------&gt;&gt;</v>
      </c>
      <c r="C23" s="222">
        <f>MIN(C22,C21)</f>
        <v>1573.2</v>
      </c>
      <c r="D23" s="178" t="s">
        <v>210</v>
      </c>
      <c r="E23" s="4" t="s">
        <v>183</v>
      </c>
    </row>
    <row r="24" spans="2:6" x14ac:dyDescent="0.2">
      <c r="B24" s="12">
        <v>1</v>
      </c>
      <c r="C24" s="222">
        <f>ROUNDDOWN($C$23*D24,0)</f>
        <v>471</v>
      </c>
      <c r="D24" s="474">
        <v>0.3</v>
      </c>
      <c r="E24" s="4" t="s">
        <v>185</v>
      </c>
    </row>
    <row r="25" spans="2:6" x14ac:dyDescent="0.2">
      <c r="B25" s="12">
        <v>2</v>
      </c>
      <c r="C25" s="222">
        <f t="shared" ref="C25:C27" si="0">ROUNDDOWN($C$23*D25,0)</f>
        <v>267</v>
      </c>
      <c r="D25" s="474">
        <v>0.17</v>
      </c>
      <c r="E25" s="4" t="s">
        <v>187</v>
      </c>
    </row>
    <row r="26" spans="2:6" x14ac:dyDescent="0.2">
      <c r="B26" s="12">
        <v>3</v>
      </c>
      <c r="C26" s="222">
        <f t="shared" si="0"/>
        <v>47</v>
      </c>
      <c r="D26" s="474">
        <f>1-D27-D25-D24</f>
        <v>2.9999999999999971E-2</v>
      </c>
    </row>
    <row r="27" spans="2:6" x14ac:dyDescent="0.2">
      <c r="B27" s="14">
        <v>4</v>
      </c>
      <c r="C27" s="222">
        <f t="shared" si="0"/>
        <v>786</v>
      </c>
      <c r="D27" s="475">
        <v>0.5</v>
      </c>
      <c r="E27" s="4" t="s">
        <v>190</v>
      </c>
    </row>
    <row r="28" spans="2:6" x14ac:dyDescent="0.2">
      <c r="B28" s="9" t="s">
        <v>192</v>
      </c>
      <c r="C28" s="345">
        <f>SUM(C29:C32)</f>
        <v>626</v>
      </c>
      <c r="D28" s="178" t="s">
        <v>210</v>
      </c>
      <c r="E28" s="4" t="s">
        <v>211</v>
      </c>
    </row>
    <row r="29" spans="2:6" x14ac:dyDescent="0.2">
      <c r="B29" s="12">
        <v>1</v>
      </c>
      <c r="C29" s="222">
        <f>ROUNDDOWN(C24*D29,0)</f>
        <v>188</v>
      </c>
      <c r="D29" s="478">
        <v>0.4</v>
      </c>
      <c r="F29" s="302"/>
    </row>
    <row r="30" spans="2:6" x14ac:dyDescent="0.2">
      <c r="B30" s="12">
        <v>2</v>
      </c>
      <c r="C30" s="222">
        <f t="shared" ref="C30:C31" si="1">ROUNDDOWN(C25*D30,0)</f>
        <v>106</v>
      </c>
      <c r="D30" s="478">
        <v>0.4</v>
      </c>
      <c r="F30" s="302"/>
    </row>
    <row r="31" spans="2:6" x14ac:dyDescent="0.2">
      <c r="B31" s="12">
        <v>3</v>
      </c>
      <c r="C31" s="222">
        <f t="shared" si="1"/>
        <v>18</v>
      </c>
      <c r="D31" s="478">
        <v>0.4</v>
      </c>
      <c r="F31" s="302"/>
    </row>
    <row r="32" spans="2:6" x14ac:dyDescent="0.2">
      <c r="B32" s="14">
        <v>4</v>
      </c>
      <c r="C32" s="463">
        <f>ROUNDDOWN(C27*D32,0)</f>
        <v>314</v>
      </c>
      <c r="D32" s="478">
        <v>0.4</v>
      </c>
      <c r="F32" s="302"/>
    </row>
    <row r="33" spans="2:5" ht="17" customHeight="1" x14ac:dyDescent="0.2">
      <c r="B33" s="9" t="s">
        <v>197</v>
      </c>
      <c r="C33" s="345">
        <f>C23-C19</f>
        <v>1483.2</v>
      </c>
      <c r="D33" s="178"/>
      <c r="E33" s="4" t="s">
        <v>198</v>
      </c>
    </row>
    <row r="34" spans="2:5" ht="17" customHeight="1" x14ac:dyDescent="0.2">
      <c r="B34" s="12" t="s">
        <v>38</v>
      </c>
      <c r="C34" s="221">
        <v>0.96</v>
      </c>
      <c r="D34" s="103"/>
    </row>
    <row r="35" spans="2:5" ht="17" customHeight="1" x14ac:dyDescent="0.2">
      <c r="B35" s="14" t="s">
        <v>199</v>
      </c>
      <c r="C35" s="463">
        <f>ROUNDDOWN(C33*C34,0)</f>
        <v>1423</v>
      </c>
      <c r="D35" s="103"/>
    </row>
    <row r="36" spans="2:5" ht="17" customHeight="1" x14ac:dyDescent="0.2">
      <c r="B36" s="9" t="s">
        <v>200</v>
      </c>
      <c r="C36" s="390">
        <v>1500</v>
      </c>
      <c r="D36" s="477"/>
    </row>
    <row r="37" spans="2:5" ht="17" customHeight="1" x14ac:dyDescent="0.2">
      <c r="B37" s="14" t="str">
        <f>"-------------------------------&gt;"</f>
        <v>-------------------------------&gt;</v>
      </c>
      <c r="C37" s="463">
        <f>IF(C7="Conservasive",1200-(C20-C35),C36)</f>
        <v>1500</v>
      </c>
      <c r="D37" s="103"/>
      <c r="E37" s="4" t="s">
        <v>201</v>
      </c>
    </row>
    <row r="38" spans="2:5" x14ac:dyDescent="0.2">
      <c r="B38" s="71" t="s">
        <v>19</v>
      </c>
      <c r="C38" s="401">
        <v>9</v>
      </c>
      <c r="D38" s="103"/>
    </row>
    <row r="39" spans="2:5" x14ac:dyDescent="0.2">
      <c r="B39" s="71" t="s">
        <v>202</v>
      </c>
      <c r="C39" s="402">
        <v>0.06</v>
      </c>
      <c r="D39" s="103"/>
    </row>
    <row r="40" spans="2:5" x14ac:dyDescent="0.2">
      <c r="B40" s="9" t="s">
        <v>203</v>
      </c>
      <c r="C40" s="345" t="s">
        <v>212</v>
      </c>
      <c r="D40" s="103"/>
    </row>
    <row r="41" spans="2:5" x14ac:dyDescent="0.2">
      <c r="B41" s="12">
        <v>1</v>
      </c>
      <c r="C41" s="291">
        <v>7</v>
      </c>
      <c r="D41" s="103"/>
    </row>
    <row r="42" spans="2:5" x14ac:dyDescent="0.2">
      <c r="B42" s="12">
        <v>2</v>
      </c>
      <c r="C42" s="291">
        <v>9</v>
      </c>
      <c r="D42" s="103"/>
    </row>
    <row r="43" spans="2:5" x14ac:dyDescent="0.2">
      <c r="B43" s="12">
        <v>3</v>
      </c>
      <c r="C43" s="291">
        <v>1</v>
      </c>
      <c r="D43" s="103"/>
    </row>
    <row r="44" spans="2:5" x14ac:dyDescent="0.2">
      <c r="B44" s="14">
        <v>4</v>
      </c>
      <c r="C44" s="393">
        <v>7</v>
      </c>
      <c r="D44" s="103"/>
    </row>
    <row r="45" spans="2:5" x14ac:dyDescent="0.2">
      <c r="B45" s="9" t="s">
        <v>204</v>
      </c>
      <c r="C45" s="345"/>
      <c r="D45" s="103"/>
    </row>
    <row r="46" spans="2:5" x14ac:dyDescent="0.2">
      <c r="B46" s="12">
        <v>1</v>
      </c>
      <c r="C46" s="291">
        <v>1</v>
      </c>
      <c r="D46" s="103"/>
    </row>
    <row r="47" spans="2:5" x14ac:dyDescent="0.2">
      <c r="B47" s="12">
        <v>2</v>
      </c>
      <c r="C47" s="291">
        <v>0</v>
      </c>
      <c r="D47" s="103"/>
    </row>
    <row r="48" spans="2:5" x14ac:dyDescent="0.2">
      <c r="B48" s="12">
        <v>3</v>
      </c>
      <c r="C48" s="291">
        <v>-1</v>
      </c>
      <c r="D48" s="103"/>
    </row>
    <row r="49" spans="2:5" x14ac:dyDescent="0.2">
      <c r="B49" s="14">
        <v>4</v>
      </c>
      <c r="C49" s="393">
        <v>0</v>
      </c>
      <c r="D49" s="103"/>
    </row>
    <row r="50" spans="2:5" x14ac:dyDescent="0.2">
      <c r="B50" s="9" t="s">
        <v>82</v>
      </c>
      <c r="C50" s="390">
        <v>5200</v>
      </c>
      <c r="D50" s="103"/>
    </row>
    <row r="51" spans="2:5" x14ac:dyDescent="0.2">
      <c r="B51" s="12" t="s">
        <v>93</v>
      </c>
      <c r="C51" s="291">
        <v>7</v>
      </c>
      <c r="D51" s="103"/>
    </row>
    <row r="52" spans="2:5" x14ac:dyDescent="0.2">
      <c r="B52" s="12" t="s">
        <v>205</v>
      </c>
      <c r="C52" s="291">
        <v>5</v>
      </c>
      <c r="D52" s="103"/>
    </row>
    <row r="53" spans="2:5" x14ac:dyDescent="0.2">
      <c r="B53" s="14" t="s">
        <v>206</v>
      </c>
      <c r="C53" s="393">
        <v>80000</v>
      </c>
      <c r="D53" s="98"/>
      <c r="E53" s="4" t="s">
        <v>207</v>
      </c>
    </row>
  </sheetData>
  <conditionalFormatting sqref="C14">
    <cfRule type="cellIs" dxfId="17" priority="1" operator="greaterThan">
      <formula>0</formula>
    </cfRule>
  </conditionalFormatting>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940446F3-7D8B-6446-B370-7D6A682580DE}">
          <x14:formula1>
            <xm:f>Reference!$A$31:$A$32</xm:f>
          </x14:formula1>
          <xm:sqref>C8</xm:sqref>
        </x14:dataValidation>
        <x14:dataValidation type="list" allowBlank="1" showInputMessage="1" showErrorMessage="1" xr:uid="{878ACCF0-9EC5-AC4C-A118-F53B67B9753E}">
          <x14:formula1>
            <xm:f>Reference!$A$14:$A$26</xm:f>
          </x14:formula1>
          <xm:sqref>C6</xm:sqref>
        </x14:dataValidation>
        <x14:dataValidation type="list" allowBlank="1" showInputMessage="1" showErrorMessage="1" xr:uid="{12D12B3C-C059-4746-8D76-7D127E450E2E}">
          <x14:formula1>
            <xm:f>Reference!$A$28:$A$29</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42F2-D99D-7740-A054-E6B27D0A66CE}">
  <sheetPr codeName="Sheet3">
    <tabColor theme="5" tint="0.39997558519241921"/>
  </sheetPr>
  <dimension ref="A1:B40"/>
  <sheetViews>
    <sheetView zoomScale="150" workbookViewId="0">
      <selection activeCell="D8" sqref="D8"/>
    </sheetView>
  </sheetViews>
  <sheetFormatPr baseColWidth="10" defaultColWidth="11" defaultRowHeight="16" x14ac:dyDescent="0.2"/>
  <cols>
    <col min="1" max="1" width="18.5" customWidth="1"/>
    <col min="2" max="2" width="60.83203125" customWidth="1"/>
  </cols>
  <sheetData>
    <row r="1" spans="1:2" x14ac:dyDescent="0.2">
      <c r="A1" s="579" t="s">
        <v>213</v>
      </c>
      <c r="B1" s="579"/>
    </row>
    <row r="3" spans="1:2" x14ac:dyDescent="0.2">
      <c r="A3" s="571" t="s">
        <v>214</v>
      </c>
      <c r="B3" s="572" t="s">
        <v>215</v>
      </c>
    </row>
    <row r="4" spans="1:2" x14ac:dyDescent="0.2">
      <c r="A4" s="110" t="s">
        <v>216</v>
      </c>
      <c r="B4" s="182" t="s">
        <v>217</v>
      </c>
    </row>
    <row r="5" spans="1:2" x14ac:dyDescent="0.2">
      <c r="A5" s="110" t="s">
        <v>218</v>
      </c>
      <c r="B5" s="182" t="s">
        <v>219</v>
      </c>
    </row>
    <row r="6" spans="1:2" x14ac:dyDescent="0.2">
      <c r="A6" s="110" t="s">
        <v>220</v>
      </c>
      <c r="B6" s="182" t="s">
        <v>221</v>
      </c>
    </row>
    <row r="7" spans="1:2" x14ac:dyDescent="0.2">
      <c r="A7" s="110" t="s">
        <v>222</v>
      </c>
      <c r="B7" s="182" t="s">
        <v>223</v>
      </c>
    </row>
    <row r="8" spans="1:2" x14ac:dyDescent="0.2">
      <c r="A8" s="110" t="s">
        <v>224</v>
      </c>
      <c r="B8" s="182"/>
    </row>
    <row r="9" spans="1:2" x14ac:dyDescent="0.2">
      <c r="A9" s="110" t="s">
        <v>225</v>
      </c>
      <c r="B9" s="182"/>
    </row>
    <row r="10" spans="1:2" x14ac:dyDescent="0.2">
      <c r="A10" s="110" t="s">
        <v>226</v>
      </c>
      <c r="B10" s="182" t="s">
        <v>227</v>
      </c>
    </row>
    <row r="11" spans="1:2" x14ac:dyDescent="0.2">
      <c r="A11" s="110" t="s">
        <v>228</v>
      </c>
      <c r="B11" s="573" t="s">
        <v>229</v>
      </c>
    </row>
    <row r="12" spans="1:2" x14ac:dyDescent="0.2">
      <c r="A12" s="110" t="s">
        <v>230</v>
      </c>
      <c r="B12" s="573" t="s">
        <v>231</v>
      </c>
    </row>
    <row r="13" spans="1:2" x14ac:dyDescent="0.2">
      <c r="A13" s="110" t="s">
        <v>232</v>
      </c>
      <c r="B13" s="182"/>
    </row>
    <row r="14" spans="1:2" x14ac:dyDescent="0.2">
      <c r="A14" s="110" t="s">
        <v>233</v>
      </c>
      <c r="B14" s="182"/>
    </row>
    <row r="15" spans="1:2" x14ac:dyDescent="0.2">
      <c r="A15" s="110" t="s">
        <v>234</v>
      </c>
      <c r="B15" s="182"/>
    </row>
    <row r="16" spans="1:2" x14ac:dyDescent="0.2">
      <c r="A16" s="110" t="s">
        <v>235</v>
      </c>
      <c r="B16" s="182"/>
    </row>
    <row r="17" spans="1:2" x14ac:dyDescent="0.2">
      <c r="A17" s="110" t="s">
        <v>236</v>
      </c>
      <c r="B17" s="182"/>
    </row>
    <row r="18" spans="1:2" x14ac:dyDescent="0.2">
      <c r="A18" s="110" t="s">
        <v>237</v>
      </c>
      <c r="B18" s="182"/>
    </row>
    <row r="19" spans="1:2" x14ac:dyDescent="0.2">
      <c r="A19" s="110" t="s">
        <v>238</v>
      </c>
      <c r="B19" s="182"/>
    </row>
    <row r="20" spans="1:2" x14ac:dyDescent="0.2">
      <c r="A20" s="110" t="s">
        <v>239</v>
      </c>
      <c r="B20" s="182"/>
    </row>
    <row r="21" spans="1:2" x14ac:dyDescent="0.2">
      <c r="A21" s="110" t="s">
        <v>240</v>
      </c>
      <c r="B21" s="182"/>
    </row>
    <row r="22" spans="1:2" x14ac:dyDescent="0.2">
      <c r="A22" s="110" t="s">
        <v>241</v>
      </c>
      <c r="B22" s="182"/>
    </row>
    <row r="23" spans="1:2" x14ac:dyDescent="0.2">
      <c r="A23" s="110" t="s">
        <v>242</v>
      </c>
      <c r="B23" s="182"/>
    </row>
    <row r="24" spans="1:2" x14ac:dyDescent="0.2">
      <c r="A24" s="110" t="s">
        <v>243</v>
      </c>
      <c r="B24" s="182"/>
    </row>
    <row r="25" spans="1:2" x14ac:dyDescent="0.2">
      <c r="A25" s="110" t="s">
        <v>244</v>
      </c>
      <c r="B25" s="182"/>
    </row>
    <row r="26" spans="1:2" x14ac:dyDescent="0.2">
      <c r="A26" s="110" t="s">
        <v>245</v>
      </c>
      <c r="B26" s="182"/>
    </row>
    <row r="27" spans="1:2" x14ac:dyDescent="0.2">
      <c r="A27" s="110" t="s">
        <v>246</v>
      </c>
      <c r="B27" s="182"/>
    </row>
    <row r="28" spans="1:2" x14ac:dyDescent="0.2">
      <c r="A28" s="110" t="s">
        <v>247</v>
      </c>
      <c r="B28" s="182"/>
    </row>
    <row r="29" spans="1:2" x14ac:dyDescent="0.2">
      <c r="A29" s="110" t="s">
        <v>248</v>
      </c>
      <c r="B29" s="182"/>
    </row>
    <row r="30" spans="1:2" x14ac:dyDescent="0.2">
      <c r="A30" s="110" t="s">
        <v>249</v>
      </c>
      <c r="B30" s="182"/>
    </row>
    <row r="31" spans="1:2" x14ac:dyDescent="0.2">
      <c r="A31" s="110" t="s">
        <v>250</v>
      </c>
      <c r="B31" s="182"/>
    </row>
    <row r="32" spans="1:2" x14ac:dyDescent="0.2">
      <c r="A32" s="110" t="s">
        <v>251</v>
      </c>
      <c r="B32" s="182"/>
    </row>
    <row r="33" spans="1:2" x14ac:dyDescent="0.2">
      <c r="A33" s="110" t="s">
        <v>252</v>
      </c>
      <c r="B33" s="182"/>
    </row>
    <row r="34" spans="1:2" x14ac:dyDescent="0.2">
      <c r="A34" s="110" t="s">
        <v>253</v>
      </c>
      <c r="B34" s="182"/>
    </row>
    <row r="35" spans="1:2" x14ac:dyDescent="0.2">
      <c r="A35" s="110" t="s">
        <v>254</v>
      </c>
      <c r="B35" s="182"/>
    </row>
    <row r="36" spans="1:2" x14ac:dyDescent="0.2">
      <c r="A36" s="110" t="s">
        <v>255</v>
      </c>
      <c r="B36" s="182"/>
    </row>
    <row r="37" spans="1:2" x14ac:dyDescent="0.2">
      <c r="A37" s="110" t="s">
        <v>256</v>
      </c>
      <c r="B37" s="182"/>
    </row>
    <row r="38" spans="1:2" x14ac:dyDescent="0.2">
      <c r="A38" s="110" t="s">
        <v>257</v>
      </c>
      <c r="B38" s="182"/>
    </row>
    <row r="39" spans="1:2" x14ac:dyDescent="0.2">
      <c r="A39" s="110" t="s">
        <v>258</v>
      </c>
      <c r="B39" s="182"/>
    </row>
    <row r="40" spans="1:2" ht="17" thickBot="1" x14ac:dyDescent="0.25">
      <c r="A40" s="188" t="s">
        <v>259</v>
      </c>
      <c r="B40" s="190"/>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A1BB5-EB5B-498A-87C6-FE280B12507B}">
  <sheetPr codeName="Sheet4">
    <tabColor theme="5" tint="0.39997558519241921"/>
  </sheetPr>
  <dimension ref="B3:BN99"/>
  <sheetViews>
    <sheetView showGridLines="0" zoomScale="32" workbookViewId="0">
      <selection activeCell="AM73" sqref="AM73"/>
    </sheetView>
  </sheetViews>
  <sheetFormatPr baseColWidth="10" defaultColWidth="10.83203125" defaultRowHeight="16" x14ac:dyDescent="0.2"/>
  <cols>
    <col min="1" max="1" width="5.83203125" style="4" customWidth="1"/>
    <col min="2" max="15" width="12.83203125" style="4" customWidth="1"/>
    <col min="16" max="16" width="3.83203125" style="120" customWidth="1"/>
    <col min="17" max="17" width="10.83203125" style="4"/>
    <col min="18" max="30" width="12.83203125" style="4" customWidth="1"/>
    <col min="31" max="31" width="10.83203125" style="4"/>
    <col min="32" max="32" width="3.83203125" style="120" customWidth="1"/>
    <col min="33" max="33" width="12.83203125" style="4" customWidth="1"/>
    <col min="34" max="34" width="19.83203125" style="4" customWidth="1"/>
    <col min="35" max="35" width="34" style="4" customWidth="1"/>
    <col min="36" max="48" width="19.83203125" style="4" customWidth="1"/>
    <col min="49" max="49" width="10.83203125" style="4"/>
    <col min="50" max="50" width="3.83203125" style="120" customWidth="1"/>
    <col min="51" max="51" width="10.83203125" style="4"/>
    <col min="52" max="52" width="17.83203125" style="4" customWidth="1"/>
    <col min="53" max="58" width="10.83203125" style="4"/>
    <col min="59" max="61" width="10.83203125" style="4" customWidth="1"/>
    <col min="62" max="65" width="10.83203125" style="4"/>
    <col min="66" max="66" width="3.83203125" style="120" customWidth="1"/>
    <col min="67" max="16384" width="10.83203125" style="4"/>
  </cols>
  <sheetData>
    <row r="3" spans="2:64" x14ac:dyDescent="0.2">
      <c r="B3" s="580" t="s">
        <v>260</v>
      </c>
      <c r="C3" s="580"/>
      <c r="D3" s="580"/>
      <c r="E3" s="580"/>
      <c r="F3" s="580"/>
      <c r="G3" s="580"/>
      <c r="H3" s="580"/>
      <c r="I3" s="580"/>
      <c r="J3" s="580"/>
      <c r="K3" s="580"/>
      <c r="L3" s="580"/>
      <c r="M3" s="580"/>
      <c r="N3" s="580"/>
      <c r="O3" s="424"/>
      <c r="R3" s="425" t="s">
        <v>261</v>
      </c>
      <c r="S3" s="424"/>
      <c r="T3" s="424"/>
      <c r="U3" s="424"/>
      <c r="V3" s="424"/>
      <c r="W3" s="424"/>
      <c r="X3" s="424"/>
      <c r="Y3" s="424"/>
      <c r="Z3" s="424"/>
      <c r="AA3" s="424"/>
      <c r="AB3" s="424"/>
      <c r="AC3" s="424"/>
      <c r="AD3" s="424"/>
      <c r="AI3" s="580" t="s">
        <v>262</v>
      </c>
      <c r="AJ3" s="580"/>
      <c r="AK3" s="580"/>
      <c r="AL3" s="580"/>
      <c r="AM3" s="580"/>
      <c r="AN3" s="580"/>
      <c r="AO3" s="580"/>
      <c r="AP3" s="580"/>
      <c r="AQ3" s="580"/>
      <c r="AR3" s="580"/>
      <c r="AS3" s="580"/>
      <c r="AT3" s="580"/>
      <c r="AU3" s="580"/>
    </row>
    <row r="4" spans="2:64" ht="17" thickBot="1" x14ac:dyDescent="0.25"/>
    <row r="5" spans="2:64" ht="17" thickBot="1" x14ac:dyDescent="0.25">
      <c r="B5" s="431" t="s">
        <v>263</v>
      </c>
      <c r="C5" s="180"/>
      <c r="D5" s="180"/>
      <c r="E5" s="180"/>
      <c r="F5" s="180"/>
      <c r="G5" s="180"/>
      <c r="H5" s="180"/>
      <c r="I5" s="180"/>
      <c r="J5" s="180"/>
      <c r="K5" s="180"/>
      <c r="L5" s="180"/>
      <c r="M5" s="180"/>
      <c r="N5" s="181"/>
      <c r="AI5" s="179"/>
      <c r="AJ5" s="180"/>
      <c r="AK5" s="180"/>
      <c r="AL5" s="180"/>
      <c r="AM5" s="180"/>
      <c r="AN5" s="180"/>
      <c r="AO5" s="180"/>
      <c r="AP5" s="180"/>
      <c r="AQ5" s="180"/>
      <c r="AR5" s="180"/>
      <c r="AS5" s="180"/>
      <c r="AT5" s="180"/>
      <c r="AU5" s="181"/>
      <c r="AZ5" s="581" t="s">
        <v>264</v>
      </c>
      <c r="BA5" s="582"/>
      <c r="BB5" s="582"/>
      <c r="BC5" s="582"/>
      <c r="BD5" s="582"/>
      <c r="BE5" s="582"/>
      <c r="BF5" s="582"/>
      <c r="BG5" s="582"/>
      <c r="BH5" s="582"/>
      <c r="BI5" s="582"/>
      <c r="BJ5" s="582"/>
      <c r="BK5" s="582"/>
      <c r="BL5" s="583"/>
    </row>
    <row r="6" spans="2:64" x14ac:dyDescent="0.2">
      <c r="B6" s="110"/>
      <c r="C6" s="187" t="s">
        <v>258</v>
      </c>
      <c r="D6" s="187" t="s">
        <v>257</v>
      </c>
      <c r="E6" s="187" t="s">
        <v>265</v>
      </c>
      <c r="F6" s="187" t="s">
        <v>266</v>
      </c>
      <c r="G6" s="187" t="s">
        <v>267</v>
      </c>
      <c r="H6" s="187" t="s">
        <v>268</v>
      </c>
      <c r="I6" s="187" t="s">
        <v>269</v>
      </c>
      <c r="J6" s="187" t="s">
        <v>270</v>
      </c>
      <c r="K6" s="187" t="s">
        <v>271</v>
      </c>
      <c r="L6" s="187" t="s">
        <v>272</v>
      </c>
      <c r="M6" s="187" t="s">
        <v>273</v>
      </c>
      <c r="N6" s="426" t="s">
        <v>274</v>
      </c>
      <c r="O6" s="187"/>
      <c r="V6" s="431" t="s">
        <v>275</v>
      </c>
      <c r="W6" s="432" t="s">
        <v>276</v>
      </c>
      <c r="X6" s="432" t="s">
        <v>277</v>
      </c>
      <c r="Y6" s="432" t="s">
        <v>278</v>
      </c>
      <c r="Z6" s="433" t="s">
        <v>279</v>
      </c>
      <c r="AA6" s="187"/>
      <c r="AB6" s="187"/>
      <c r="AC6" s="187"/>
      <c r="AD6" s="187"/>
      <c r="AI6" s="110"/>
      <c r="AJ6" s="187" t="s">
        <v>258</v>
      </c>
      <c r="AK6" s="187" t="s">
        <v>257</v>
      </c>
      <c r="AL6" s="187" t="s">
        <v>265</v>
      </c>
      <c r="AM6" s="187" t="s">
        <v>266</v>
      </c>
      <c r="AN6" s="187" t="s">
        <v>267</v>
      </c>
      <c r="AO6" s="187" t="s">
        <v>268</v>
      </c>
      <c r="AP6" s="187" t="s">
        <v>269</v>
      </c>
      <c r="AQ6" s="187" t="s">
        <v>270</v>
      </c>
      <c r="AR6" s="187" t="s">
        <v>271</v>
      </c>
      <c r="AS6" s="187" t="s">
        <v>272</v>
      </c>
      <c r="AT6" s="187" t="s">
        <v>273</v>
      </c>
      <c r="AU6" s="426" t="s">
        <v>274</v>
      </c>
      <c r="AZ6" s="110" t="s">
        <v>280</v>
      </c>
      <c r="BA6" s="187" t="s">
        <v>258</v>
      </c>
      <c r="BB6" s="187" t="s">
        <v>257</v>
      </c>
      <c r="BC6" s="187" t="s">
        <v>265</v>
      </c>
      <c r="BD6" s="187" t="s">
        <v>266</v>
      </c>
      <c r="BE6" s="187" t="s">
        <v>267</v>
      </c>
      <c r="BF6" s="187" t="s">
        <v>268</v>
      </c>
      <c r="BG6" s="187" t="s">
        <v>269</v>
      </c>
      <c r="BH6" s="187" t="s">
        <v>270</v>
      </c>
      <c r="BI6" s="187" t="s">
        <v>271</v>
      </c>
      <c r="BJ6" s="187" t="s">
        <v>272</v>
      </c>
      <c r="BK6" s="187" t="s">
        <v>273</v>
      </c>
      <c r="BL6" s="426" t="s">
        <v>274</v>
      </c>
    </row>
    <row r="7" spans="2:64" x14ac:dyDescent="0.2">
      <c r="B7" s="110" t="s">
        <v>276</v>
      </c>
      <c r="C7" s="427">
        <v>0</v>
      </c>
      <c r="D7" s="427">
        <v>50</v>
      </c>
      <c r="E7" s="427">
        <v>99</v>
      </c>
      <c r="F7" s="427">
        <v>210</v>
      </c>
      <c r="G7" s="427">
        <v>292</v>
      </c>
      <c r="H7" s="427">
        <v>150</v>
      </c>
      <c r="I7" s="427">
        <v>359</v>
      </c>
      <c r="J7" s="427">
        <v>264</v>
      </c>
      <c r="K7" s="427">
        <v>427</v>
      </c>
      <c r="L7" s="427">
        <v>484</v>
      </c>
      <c r="M7" s="427">
        <v>577</v>
      </c>
      <c r="N7" s="428">
        <v>403</v>
      </c>
      <c r="O7" s="427"/>
      <c r="V7" s="110" t="s">
        <v>281</v>
      </c>
      <c r="W7" s="220">
        <v>0.55330000000000001</v>
      </c>
      <c r="X7" s="434">
        <v>0</v>
      </c>
      <c r="Y7" s="220">
        <v>0.16639999999999999</v>
      </c>
      <c r="Z7" s="435">
        <v>0.13919999999999999</v>
      </c>
      <c r="AA7" s="220"/>
      <c r="AB7" s="220"/>
      <c r="AC7" s="220"/>
      <c r="AD7" s="220"/>
      <c r="AI7" s="110" t="s">
        <v>60</v>
      </c>
      <c r="AJ7" s="441">
        <f>'Q1'!B90</f>
        <v>0</v>
      </c>
      <c r="AK7" s="441">
        <f>'Q2'!B111</f>
        <v>798556</v>
      </c>
      <c r="AL7" s="441">
        <f>'Q3-Validation'!C123</f>
        <v>1923112</v>
      </c>
      <c r="AM7" s="441">
        <f>'Q4-Validation'!C123</f>
        <v>1686105</v>
      </c>
      <c r="AN7" s="441">
        <f>'Q5-Validation'!C123</f>
        <v>3489303</v>
      </c>
      <c r="AO7" s="441">
        <f>'Q6-Validation'!$C$123</f>
        <v>2554023</v>
      </c>
      <c r="AP7" s="527">
        <f ca="1">'Q7-Validation'!C123</f>
        <v>3616316</v>
      </c>
      <c r="AQ7" s="527">
        <f ca="1">'Q8-Validation'!C123</f>
        <v>2792036</v>
      </c>
      <c r="AR7" s="527">
        <f ca="1">'Q9-Validation'!C123</f>
        <v>4158295</v>
      </c>
      <c r="AS7" s="527">
        <f ca="1">'Q10-Validation'!C123</f>
        <v>4562295</v>
      </c>
      <c r="AT7" s="527">
        <f ca="1">'Q11-Validation'!C123</f>
        <v>5265050</v>
      </c>
      <c r="AU7" s="551">
        <f ca="1">'Q12-Validation'!C123</f>
        <v>3728892</v>
      </c>
      <c r="AZ7" s="110" t="s">
        <v>282</v>
      </c>
      <c r="BA7" s="447">
        <v>0</v>
      </c>
      <c r="BB7" s="447">
        <v>1128</v>
      </c>
      <c r="BC7" s="447">
        <v>1134</v>
      </c>
      <c r="BD7" s="447">
        <v>1134</v>
      </c>
      <c r="BE7" s="449">
        <v>750</v>
      </c>
      <c r="BF7" s="449">
        <v>924</v>
      </c>
      <c r="BG7" s="449">
        <v>1382</v>
      </c>
      <c r="BH7" s="449">
        <v>1382</v>
      </c>
      <c r="BI7" s="449">
        <v>1498</v>
      </c>
      <c r="BJ7" s="449">
        <v>1498</v>
      </c>
      <c r="BK7" s="449">
        <v>1513</v>
      </c>
      <c r="BL7" s="568">
        <v>1439</v>
      </c>
    </row>
    <row r="8" spans="2:64" x14ac:dyDescent="0.2">
      <c r="B8" s="110" t="s">
        <v>277</v>
      </c>
      <c r="C8" s="427">
        <v>0</v>
      </c>
      <c r="D8" s="427">
        <v>103</v>
      </c>
      <c r="E8" s="427">
        <v>216</v>
      </c>
      <c r="F8" s="427">
        <v>79</v>
      </c>
      <c r="G8" s="427">
        <v>297</v>
      </c>
      <c r="H8" s="427">
        <v>301</v>
      </c>
      <c r="I8" s="427">
        <v>212</v>
      </c>
      <c r="J8" s="427">
        <v>198</v>
      </c>
      <c r="K8" s="427">
        <v>271</v>
      </c>
      <c r="L8" s="427">
        <v>302</v>
      </c>
      <c r="M8" s="427">
        <v>327</v>
      </c>
      <c r="N8" s="428">
        <v>210</v>
      </c>
      <c r="O8" s="427"/>
      <c r="V8" s="110" t="s">
        <v>283</v>
      </c>
      <c r="W8" s="220">
        <v>0.1134</v>
      </c>
      <c r="X8" s="220">
        <v>0.35010000000000002</v>
      </c>
      <c r="Y8" s="220">
        <v>0.31030000000000002</v>
      </c>
      <c r="Z8" s="435">
        <v>0.58330000000000004</v>
      </c>
      <c r="AA8" s="220"/>
      <c r="AB8" s="220"/>
      <c r="AC8" s="220"/>
      <c r="AD8" s="220"/>
      <c r="AI8" s="110" t="s">
        <v>120</v>
      </c>
      <c r="AJ8" s="439">
        <f>'Q1'!B91</f>
        <v>0</v>
      </c>
      <c r="AK8" s="439">
        <f>'Q2'!B112</f>
        <v>423285.9</v>
      </c>
      <c r="AL8" s="439">
        <f>'Q3-Validation'!C124</f>
        <v>1045048.78</v>
      </c>
      <c r="AM8" s="439">
        <f>'Q4-Validation'!C124</f>
        <v>791550.97</v>
      </c>
      <c r="AN8" s="442">
        <f>'Q5-Validation'!C124</f>
        <v>1444533.05</v>
      </c>
      <c r="AO8" s="442">
        <f>'Q6-Validation'!$C$124</f>
        <v>996058.8</v>
      </c>
      <c r="AP8" s="442">
        <f>'Q7-Validation'!C124</f>
        <v>1357101.21</v>
      </c>
      <c r="AQ8" s="442">
        <f>'Q8-Validation'!C124</f>
        <v>1033124.62</v>
      </c>
      <c r="AR8" s="442">
        <f>'Q9-Validation'!C124</f>
        <v>1575799.01</v>
      </c>
      <c r="AS8" s="442">
        <f ca="1">'Q10-Validation'!C124</f>
        <v>1761908.0250000001</v>
      </c>
      <c r="AT8" s="442">
        <f>'Q11-Validation'!C124</f>
        <v>1965430.76</v>
      </c>
      <c r="AU8" s="556">
        <f>'Q12-Validation'!C124</f>
        <v>1390789.13</v>
      </c>
      <c r="AZ8" s="110" t="s">
        <v>284</v>
      </c>
      <c r="BA8" s="447">
        <v>1200</v>
      </c>
      <c r="BB8" s="447">
        <v>1200</v>
      </c>
      <c r="BC8" s="447">
        <v>1200</v>
      </c>
      <c r="BD8" s="447">
        <v>1062</v>
      </c>
      <c r="BE8" s="449">
        <v>675</v>
      </c>
      <c r="BF8" s="449">
        <v>1500</v>
      </c>
      <c r="BG8" s="449">
        <v>1500</v>
      </c>
      <c r="BH8" s="449">
        <v>1500</v>
      </c>
      <c r="BI8" s="449">
        <v>1560</v>
      </c>
      <c r="BJ8" s="449">
        <v>1560</v>
      </c>
      <c r="BK8" s="449">
        <v>1066</v>
      </c>
      <c r="BL8" s="568">
        <v>0</v>
      </c>
    </row>
    <row r="9" spans="2:64" x14ac:dyDescent="0.2">
      <c r="B9" s="110" t="s">
        <v>278</v>
      </c>
      <c r="C9" s="427">
        <v>0</v>
      </c>
      <c r="D9" s="427">
        <v>66</v>
      </c>
      <c r="E9" s="427">
        <v>207</v>
      </c>
      <c r="F9" s="427">
        <v>121</v>
      </c>
      <c r="G9" s="427">
        <v>117</v>
      </c>
      <c r="H9" s="427">
        <v>25</v>
      </c>
      <c r="I9" s="427">
        <v>39</v>
      </c>
      <c r="J9" s="427">
        <v>50</v>
      </c>
      <c r="K9" s="427">
        <v>48</v>
      </c>
      <c r="L9" s="427">
        <v>151</v>
      </c>
      <c r="M9" s="427">
        <v>57</v>
      </c>
      <c r="N9" s="428">
        <v>40</v>
      </c>
      <c r="O9" s="427"/>
      <c r="V9" s="110" t="s">
        <v>285</v>
      </c>
      <c r="W9" s="220">
        <v>0.15229999999999999</v>
      </c>
      <c r="X9" s="220">
        <v>0.2334</v>
      </c>
      <c r="Y9" s="220">
        <v>0.1169</v>
      </c>
      <c r="Z9" s="435">
        <v>0.16189999999999999</v>
      </c>
      <c r="AA9" s="220"/>
      <c r="AB9" s="220"/>
      <c r="AC9" s="220"/>
      <c r="AD9" s="220"/>
      <c r="AI9" s="110" t="s">
        <v>123</v>
      </c>
      <c r="AJ9" s="439">
        <f>'Q1'!B92</f>
        <v>0</v>
      </c>
      <c r="AK9" s="439">
        <f>'Q2'!B113</f>
        <v>375270.1</v>
      </c>
      <c r="AL9" s="439">
        <f>'Q3-Validation'!C125</f>
        <v>878063.22</v>
      </c>
      <c r="AM9" s="439">
        <f>'Q4-Validation'!C125</f>
        <v>894554.03</v>
      </c>
      <c r="AN9" s="439">
        <f>'Q5-Validation'!C125</f>
        <v>2044769.95</v>
      </c>
      <c r="AO9" s="439">
        <f>'Q6-Validation'!$C$125</f>
        <v>1557964.2</v>
      </c>
      <c r="AP9" s="439">
        <f ca="1">'Q7-Validation'!C125</f>
        <v>2259214.79</v>
      </c>
      <c r="AQ9" s="439">
        <f ca="1">'Q8-Validation'!C125</f>
        <v>1758911.38</v>
      </c>
      <c r="AR9" s="439">
        <f ca="1">'Q9-Validation'!C125</f>
        <v>2582495.9900000002</v>
      </c>
      <c r="AS9" s="439">
        <f ca="1">'Q10-Validation'!C125</f>
        <v>2800386.9749999996</v>
      </c>
      <c r="AT9" s="439">
        <f ca="1">'Q11-Validation'!C125</f>
        <v>3299619.24</v>
      </c>
      <c r="AU9" s="552">
        <f ca="1">'Q12-Validation'!C125</f>
        <v>2338102.87</v>
      </c>
      <c r="AZ9" s="445" t="s">
        <v>286</v>
      </c>
      <c r="BA9" s="448">
        <v>1200</v>
      </c>
      <c r="BB9" s="448">
        <f>BB8+BA9-BB7</f>
        <v>1272</v>
      </c>
      <c r="BC9" s="448">
        <f t="shared" ref="BC9" si="0">BC8+BB9-BC7</f>
        <v>1338</v>
      </c>
      <c r="BD9" s="448">
        <f>BD8+BC9-BD7</f>
        <v>1266</v>
      </c>
      <c r="BE9" s="448">
        <f>BE8+BD9-BE7</f>
        <v>1191</v>
      </c>
      <c r="BF9" s="448">
        <f t="shared" ref="BF9:BL9" si="1">BF8+BE9-BF7</f>
        <v>1767</v>
      </c>
      <c r="BG9" s="448">
        <f t="shared" si="1"/>
        <v>1885</v>
      </c>
      <c r="BH9" s="448">
        <f t="shared" si="1"/>
        <v>2003</v>
      </c>
      <c r="BI9" s="448">
        <f t="shared" si="1"/>
        <v>2065</v>
      </c>
      <c r="BJ9" s="448">
        <f t="shared" si="1"/>
        <v>2127</v>
      </c>
      <c r="BK9" s="448">
        <f t="shared" si="1"/>
        <v>1680</v>
      </c>
      <c r="BL9" s="569">
        <f t="shared" si="1"/>
        <v>241</v>
      </c>
    </row>
    <row r="10" spans="2:64" ht="17" thickBot="1" x14ac:dyDescent="0.25">
      <c r="B10" s="110" t="s">
        <v>279</v>
      </c>
      <c r="C10" s="427">
        <v>0</v>
      </c>
      <c r="D10" s="427">
        <v>325</v>
      </c>
      <c r="E10" s="427">
        <v>616</v>
      </c>
      <c r="F10" s="427">
        <v>485</v>
      </c>
      <c r="G10" s="427">
        <v>785</v>
      </c>
      <c r="H10" s="427">
        <v>501</v>
      </c>
      <c r="I10" s="427">
        <v>674</v>
      </c>
      <c r="J10" s="427">
        <v>452</v>
      </c>
      <c r="K10" s="427">
        <v>759</v>
      </c>
      <c r="L10" s="427">
        <v>668</v>
      </c>
      <c r="M10" s="427">
        <v>889</v>
      </c>
      <c r="N10" s="428">
        <v>655</v>
      </c>
      <c r="O10" s="427"/>
      <c r="V10" s="188" t="s">
        <v>287</v>
      </c>
      <c r="W10" s="436">
        <f>1-SUM(W7:W9)</f>
        <v>0.18099999999999994</v>
      </c>
      <c r="X10" s="436">
        <f>1-SUM(X7:X9)</f>
        <v>0.41649999999999998</v>
      </c>
      <c r="Y10" s="436">
        <f>1-SUM(Y7:Y9)</f>
        <v>0.40639999999999998</v>
      </c>
      <c r="Z10" s="437">
        <f>1-SUM(Z7:Z9)</f>
        <v>0.11559999999999993</v>
      </c>
      <c r="AA10" s="220"/>
      <c r="AB10" s="220"/>
      <c r="AC10" s="220"/>
      <c r="AD10" s="220"/>
      <c r="AI10" s="110" t="s">
        <v>125</v>
      </c>
      <c r="AJ10" s="438"/>
      <c r="AK10" s="438"/>
      <c r="AL10" s="438"/>
      <c r="AM10" s="438"/>
      <c r="AN10" s="438"/>
      <c r="AO10" s="438"/>
      <c r="AP10" s="438"/>
      <c r="AQ10" s="438"/>
      <c r="AR10" s="438"/>
      <c r="AS10" s="438"/>
      <c r="AT10" s="438"/>
      <c r="AU10" s="553"/>
      <c r="AZ10" s="110" t="s">
        <v>288</v>
      </c>
      <c r="BA10" s="449"/>
      <c r="BB10" s="449"/>
      <c r="BC10" s="449"/>
      <c r="BD10" s="449"/>
      <c r="BE10" s="449"/>
      <c r="BF10" s="449"/>
      <c r="BG10" s="449"/>
      <c r="BH10" s="449"/>
      <c r="BI10" s="449"/>
      <c r="BJ10" s="449"/>
      <c r="BK10" s="449"/>
      <c r="BL10" s="568"/>
    </row>
    <row r="11" spans="2:64" ht="17" thickBot="1" x14ac:dyDescent="0.25">
      <c r="B11" s="188" t="s">
        <v>289</v>
      </c>
      <c r="C11" s="429"/>
      <c r="D11" s="429">
        <v>23490</v>
      </c>
      <c r="E11" s="429">
        <v>47968</v>
      </c>
      <c r="F11" s="429">
        <v>41370</v>
      </c>
      <c r="G11" s="429">
        <v>61890</v>
      </c>
      <c r="H11" s="429">
        <v>36058</v>
      </c>
      <c r="I11" s="429">
        <v>55012</v>
      </c>
      <c r="J11" s="429">
        <v>38776</v>
      </c>
      <c r="K11" s="429">
        <v>63022</v>
      </c>
      <c r="L11" s="429">
        <v>64144</v>
      </c>
      <c r="M11" s="429">
        <v>76922</v>
      </c>
      <c r="N11" s="430">
        <v>55710</v>
      </c>
      <c r="O11" s="427"/>
      <c r="AI11" s="445" t="s">
        <v>126</v>
      </c>
      <c r="AJ11" s="439">
        <f>'Q1'!B94</f>
        <v>280000</v>
      </c>
      <c r="AK11" s="439">
        <f>'Q2'!B115</f>
        <v>280000</v>
      </c>
      <c r="AL11" s="439">
        <f>'Q3-Validation'!C127</f>
        <v>280000</v>
      </c>
      <c r="AM11" s="439">
        <f>'Q4-Validation'!C127</f>
        <v>280000</v>
      </c>
      <c r="AN11" s="439">
        <f>'Q5-Validation'!C127</f>
        <v>280000</v>
      </c>
      <c r="AO11" s="439">
        <f>'Q6-Validation'!$C$127</f>
        <v>280000</v>
      </c>
      <c r="AP11" s="439">
        <f>'Q7-Validation'!C127</f>
        <v>560000</v>
      </c>
      <c r="AQ11" s="439">
        <f>'Q8-Validation'!C127</f>
        <v>560000</v>
      </c>
      <c r="AR11" s="439">
        <f ca="1">'Q9-Validation'!C127</f>
        <v>560000</v>
      </c>
      <c r="AS11" s="439">
        <f ca="1">'Q10-Validation'!C127</f>
        <v>560000</v>
      </c>
      <c r="AT11" s="439">
        <f ca="1">'Q11-Validation'!C127</f>
        <v>560000</v>
      </c>
      <c r="AU11" s="552">
        <f ca="1">'Q12-Validation'!C127</f>
        <v>560000</v>
      </c>
      <c r="AZ11" s="110" t="s">
        <v>290</v>
      </c>
      <c r="BA11" s="449">
        <f>BA7</f>
        <v>0</v>
      </c>
      <c r="BB11" s="449">
        <f t="shared" ref="BB11:BL11" si="2">BB7</f>
        <v>1128</v>
      </c>
      <c r="BC11" s="449">
        <f t="shared" si="2"/>
        <v>1134</v>
      </c>
      <c r="BD11" s="449">
        <f t="shared" si="2"/>
        <v>1134</v>
      </c>
      <c r="BE11" s="449">
        <f t="shared" si="2"/>
        <v>750</v>
      </c>
      <c r="BF11" s="449">
        <f t="shared" si="2"/>
        <v>924</v>
      </c>
      <c r="BG11" s="449">
        <f t="shared" si="2"/>
        <v>1382</v>
      </c>
      <c r="BH11" s="449">
        <f t="shared" si="2"/>
        <v>1382</v>
      </c>
      <c r="BI11" s="449">
        <f t="shared" si="2"/>
        <v>1498</v>
      </c>
      <c r="BJ11" s="449">
        <f t="shared" si="2"/>
        <v>1498</v>
      </c>
      <c r="BK11" s="449">
        <f t="shared" si="2"/>
        <v>1513</v>
      </c>
      <c r="BL11" s="568">
        <f t="shared" si="2"/>
        <v>1439</v>
      </c>
    </row>
    <row r="12" spans="2:64" x14ac:dyDescent="0.2">
      <c r="C12" s="220"/>
      <c r="E12" s="220"/>
      <c r="F12" s="220"/>
      <c r="AI12" s="110" t="s">
        <v>81</v>
      </c>
      <c r="AJ12" s="439">
        <f>'Q1'!B95</f>
        <v>267500</v>
      </c>
      <c r="AK12" s="439">
        <f>'Q2'!B116</f>
        <v>272500</v>
      </c>
      <c r="AL12" s="439">
        <f>'Q3-Validation'!C128</f>
        <v>282500</v>
      </c>
      <c r="AM12" s="439">
        <f>'Q4-Validation'!C128</f>
        <v>287500</v>
      </c>
      <c r="AN12" s="439">
        <f>'Q5-Validation'!C128</f>
        <v>304200</v>
      </c>
      <c r="AO12" s="439">
        <f>'Q6-Validation'!$C$128</f>
        <v>304200</v>
      </c>
      <c r="AP12" s="439">
        <f ca="1">'Q7-Validation'!C128</f>
        <v>608400</v>
      </c>
      <c r="AQ12" s="439">
        <f ca="1">'Q8-Validation'!C128</f>
        <v>608400</v>
      </c>
      <c r="AR12" s="439">
        <f ca="1">'Q9-Validation'!C128</f>
        <v>608400</v>
      </c>
      <c r="AS12" s="439">
        <f ca="1">'Q10-Validation'!C128</f>
        <v>608400</v>
      </c>
      <c r="AT12" s="439">
        <f ca="1">'Q11-Validation'!C128</f>
        <v>608400</v>
      </c>
      <c r="AU12" s="552">
        <f ca="1">'Q12-Validation'!C128</f>
        <v>608400</v>
      </c>
      <c r="AZ12" s="110" t="s">
        <v>291</v>
      </c>
      <c r="BA12" s="449">
        <v>0</v>
      </c>
      <c r="BB12" s="449">
        <f>BA14+BB11</f>
        <v>1128</v>
      </c>
      <c r="BC12" s="449">
        <f t="shared" ref="BC12:BD12" si="3">BB14+BC11</f>
        <v>1718</v>
      </c>
      <c r="BD12" s="449">
        <f t="shared" si="3"/>
        <v>1714</v>
      </c>
      <c r="BE12" s="449">
        <v>1600</v>
      </c>
      <c r="BF12" s="449">
        <v>1600</v>
      </c>
      <c r="BG12" s="449">
        <v>1600</v>
      </c>
      <c r="BH12" s="449">
        <v>1600</v>
      </c>
      <c r="BI12" s="449">
        <v>1600</v>
      </c>
      <c r="BJ12" s="449">
        <v>1600</v>
      </c>
      <c r="BK12" s="449">
        <v>1925</v>
      </c>
      <c r="BL12" s="568">
        <v>1573</v>
      </c>
    </row>
    <row r="13" spans="2:64" x14ac:dyDescent="0.2">
      <c r="AI13" s="110" t="s">
        <v>87</v>
      </c>
      <c r="AJ13" s="439">
        <f>'Q1'!B96</f>
        <v>20000</v>
      </c>
      <c r="AK13" s="439">
        <f>'Q2'!B117</f>
        <v>30000</v>
      </c>
      <c r="AL13" s="439">
        <f>'Q3-Validation'!C129</f>
        <v>40000</v>
      </c>
      <c r="AM13" s="439">
        <f>'Q4-Validation'!C129</f>
        <v>40000</v>
      </c>
      <c r="AN13" s="439">
        <f>'Q5-Validation'!C129</f>
        <v>70000</v>
      </c>
      <c r="AO13" s="439">
        <f>'Q6-Validation'!$C$129</f>
        <v>70000</v>
      </c>
      <c r="AP13" s="439">
        <f ca="1">'Q7-Validation'!C129</f>
        <v>70000</v>
      </c>
      <c r="AQ13" s="439">
        <f ca="1">'Q8-Validation'!C129</f>
        <v>70000</v>
      </c>
      <c r="AR13" s="439">
        <f ca="1">'Q9-Validation'!C129</f>
        <v>70000</v>
      </c>
      <c r="AS13" s="439">
        <f ca="1">'Q10-Validation'!C129</f>
        <v>70000</v>
      </c>
      <c r="AT13" s="439">
        <f ca="1">'Q11-Validation'!C129</f>
        <v>50000</v>
      </c>
      <c r="AU13" s="552">
        <f ca="1">'Q12-Validation'!C129</f>
        <v>50000</v>
      </c>
      <c r="AZ13" s="110" t="s">
        <v>292</v>
      </c>
      <c r="BA13" s="449">
        <v>0</v>
      </c>
      <c r="BB13" s="449">
        <v>544</v>
      </c>
      <c r="BC13" s="449">
        <v>1138</v>
      </c>
      <c r="BD13" s="449">
        <v>895</v>
      </c>
      <c r="BE13" s="449">
        <v>1491</v>
      </c>
      <c r="BF13" s="449">
        <v>977</v>
      </c>
      <c r="BG13" s="449">
        <v>1284</v>
      </c>
      <c r="BH13" s="449">
        <v>964</v>
      </c>
      <c r="BI13" s="449">
        <v>1505</v>
      </c>
      <c r="BJ13" s="449">
        <v>1605</v>
      </c>
      <c r="BK13" s="449">
        <v>1850</v>
      </c>
      <c r="BL13" s="568">
        <v>1308</v>
      </c>
    </row>
    <row r="14" spans="2:64" ht="17" thickBot="1" x14ac:dyDescent="0.25">
      <c r="AI14" s="110" t="s">
        <v>92</v>
      </c>
      <c r="AJ14" s="439">
        <f>'Q1'!B97</f>
        <v>52425</v>
      </c>
      <c r="AK14" s="439">
        <f>'Q2'!B118</f>
        <v>53590</v>
      </c>
      <c r="AL14" s="439">
        <f>'Q3-Validation'!C130</f>
        <v>55920</v>
      </c>
      <c r="AM14" s="439">
        <f>'Q4-Validation'!C130</f>
        <v>57085</v>
      </c>
      <c r="AN14" s="439">
        <f>'Q5-Validation'!C130</f>
        <v>47000</v>
      </c>
      <c r="AO14" s="439">
        <f>'Q6-Validation'!$C$130</f>
        <v>47000</v>
      </c>
      <c r="AP14" s="439">
        <f ca="1">'Q7-Validation'!C130</f>
        <v>47000</v>
      </c>
      <c r="AQ14" s="439">
        <f ca="1">'Q8-Validation'!C130</f>
        <v>47000</v>
      </c>
      <c r="AR14" s="439">
        <f ca="1">'Q9-Validation'!C130</f>
        <v>47000</v>
      </c>
      <c r="AS14" s="439">
        <f ca="1">'Q10-Validation'!C130</f>
        <v>47000</v>
      </c>
      <c r="AT14" s="439">
        <f ca="1">'Q11-Validation'!C130</f>
        <v>47000</v>
      </c>
      <c r="AU14" s="552">
        <f ca="1">'Q12-Validation'!C130</f>
        <v>47000</v>
      </c>
      <c r="AZ14" s="446" t="s">
        <v>293</v>
      </c>
      <c r="BA14" s="450">
        <f>BA12-BA13</f>
        <v>0</v>
      </c>
      <c r="BB14" s="450">
        <f>BB12-BB13</f>
        <v>584</v>
      </c>
      <c r="BC14" s="450">
        <f t="shared" ref="BC14:BL14" si="4">BC12-BC13</f>
        <v>580</v>
      </c>
      <c r="BD14" s="450">
        <f t="shared" si="4"/>
        <v>819</v>
      </c>
      <c r="BE14" s="450">
        <f t="shared" si="4"/>
        <v>109</v>
      </c>
      <c r="BF14" s="450">
        <f t="shared" si="4"/>
        <v>623</v>
      </c>
      <c r="BG14" s="450">
        <f t="shared" si="4"/>
        <v>316</v>
      </c>
      <c r="BH14" s="450">
        <f t="shared" si="4"/>
        <v>636</v>
      </c>
      <c r="BI14" s="450">
        <f t="shared" si="4"/>
        <v>95</v>
      </c>
      <c r="BJ14" s="450">
        <f t="shared" si="4"/>
        <v>-5</v>
      </c>
      <c r="BK14" s="450">
        <f t="shared" si="4"/>
        <v>75</v>
      </c>
      <c r="BL14" s="570">
        <f t="shared" si="4"/>
        <v>265</v>
      </c>
    </row>
    <row r="15" spans="2:64" x14ac:dyDescent="0.2">
      <c r="AI15" s="110" t="s">
        <v>89</v>
      </c>
      <c r="AJ15" s="439">
        <f>'Q1'!B98</f>
        <v>4000</v>
      </c>
      <c r="AK15" s="439">
        <f>'Q2'!B119</f>
        <v>4000</v>
      </c>
      <c r="AL15" s="439">
        <f>'Q3-Validation'!C131</f>
        <v>8000</v>
      </c>
      <c r="AM15" s="439">
        <f>'Q4-Validation'!C131</f>
        <v>8000</v>
      </c>
      <c r="AN15" s="439">
        <f>'Q5-Validation'!C131</f>
        <v>10000</v>
      </c>
      <c r="AO15" s="439">
        <f>'Q6-Validation'!$C$131</f>
        <v>10000</v>
      </c>
      <c r="AP15" s="439">
        <f ca="1">'Q7-Validation'!C131</f>
        <v>10000</v>
      </c>
      <c r="AQ15" s="439">
        <f ca="1">'Q8-Validation'!C131</f>
        <v>10000</v>
      </c>
      <c r="AR15" s="439">
        <f ca="1">'Q9-Validation'!C131</f>
        <v>18000</v>
      </c>
      <c r="AS15" s="439">
        <f ca="1">'Q10-Validation'!C131</f>
        <v>18000</v>
      </c>
      <c r="AT15" s="439">
        <f ca="1">'Q11-Validation'!C131</f>
        <v>18000</v>
      </c>
      <c r="AU15" s="552">
        <f ca="1">'Q12-Validation'!C131</f>
        <v>18000</v>
      </c>
    </row>
    <row r="16" spans="2:64" x14ac:dyDescent="0.2">
      <c r="AI16" s="110" t="s">
        <v>131</v>
      </c>
      <c r="AJ16" s="439">
        <f>'Q1'!B99</f>
        <v>0</v>
      </c>
      <c r="AK16" s="439">
        <f>'Q2'!B120</f>
        <v>0</v>
      </c>
      <c r="AL16" s="439">
        <f>'Q3-Validation'!C132</f>
        <v>0</v>
      </c>
      <c r="AM16" s="439">
        <f>'Q4-Validation'!C132</f>
        <v>0</v>
      </c>
      <c r="AN16" s="439">
        <f>'Q5-Validation'!C132</f>
        <v>0</v>
      </c>
      <c r="AO16" s="439">
        <f>'Q6-Validation'!$C$132</f>
        <v>0</v>
      </c>
      <c r="AP16" s="439">
        <f>'Q7-Validation'!C132</f>
        <v>0</v>
      </c>
      <c r="AQ16" s="439">
        <f>'Q8-Validation'!C132</f>
        <v>0</v>
      </c>
      <c r="AR16" s="439">
        <f>'Q9-Validation'!C132</f>
        <v>0</v>
      </c>
      <c r="AS16" s="439">
        <f>'Q10-Validation'!C132</f>
        <v>0</v>
      </c>
      <c r="AT16" s="439">
        <f>'Q11-Validation'!C132</f>
        <v>0</v>
      </c>
      <c r="AU16" s="552">
        <f>'Q12-Validation'!C132</f>
        <v>0</v>
      </c>
    </row>
    <row r="17" spans="5:47" x14ac:dyDescent="0.2">
      <c r="AI17" s="110" t="s">
        <v>11</v>
      </c>
      <c r="AJ17" s="439">
        <f>'Q1'!B100</f>
        <v>30000</v>
      </c>
      <c r="AK17" s="439">
        <f>'Q2'!B121</f>
        <v>45000</v>
      </c>
      <c r="AL17" s="439">
        <f>'Q3-Validation'!C133</f>
        <v>75000</v>
      </c>
      <c r="AM17" s="439">
        <f>'Q4-Validation'!C133</f>
        <v>75000</v>
      </c>
      <c r="AN17" s="439">
        <f>'Q5-Validation'!C133</f>
        <v>135000</v>
      </c>
      <c r="AO17" s="439">
        <f>'Q6-Validation'!$C$133</f>
        <v>135000</v>
      </c>
      <c r="AP17" s="439">
        <f ca="1">'Q7-Validation'!C133</f>
        <v>135000</v>
      </c>
      <c r="AQ17" s="439">
        <f ca="1">'Q8-Validation'!C133</f>
        <v>135000</v>
      </c>
      <c r="AR17" s="439">
        <f ca="1">'Q9-Validation'!C133</f>
        <v>135000</v>
      </c>
      <c r="AS17" s="439">
        <f ca="1">'Q10-Validation'!C133</f>
        <v>135000</v>
      </c>
      <c r="AT17" s="439">
        <f ca="1">'Q11-Validation'!C133</f>
        <v>135000</v>
      </c>
      <c r="AU17" s="552">
        <f ca="1">'Q12-Validation'!C133</f>
        <v>135000</v>
      </c>
    </row>
    <row r="18" spans="5:47" x14ac:dyDescent="0.2">
      <c r="AI18" s="110" t="s">
        <v>61</v>
      </c>
      <c r="AJ18" s="439">
        <f>'Q1'!B101</f>
        <v>0</v>
      </c>
      <c r="AK18" s="439">
        <f>'Q2'!B122</f>
        <v>72902.820000000007</v>
      </c>
      <c r="AL18" s="439">
        <f>'Q3-Validation'!C134</f>
        <v>145921.76</v>
      </c>
      <c r="AM18" s="439">
        <f>'Q4-Validation'!C134</f>
        <v>165218.4</v>
      </c>
      <c r="AN18" s="439">
        <f>'Q5-Validation'!C134</f>
        <v>238537.60000000001</v>
      </c>
      <c r="AO18" s="439">
        <f>'Q6-Validation'!$C$134</f>
        <v>190565.01</v>
      </c>
      <c r="AP18" s="439">
        <f ca="1">'Q7-Validation'!C134</f>
        <v>292639.19</v>
      </c>
      <c r="AQ18" s="439">
        <f ca="1">'Q8-Validation'!C134</f>
        <v>319567.58999999997</v>
      </c>
      <c r="AR18" s="439">
        <f ca="1">'Q9-Validation'!C134</f>
        <v>427041.03</v>
      </c>
      <c r="AS18" s="439">
        <f ca="1">'Q10-Validation'!C134</f>
        <v>423771.62</v>
      </c>
      <c r="AT18" s="439">
        <f ca="1">'Q11-Validation'!C134</f>
        <v>427301.22</v>
      </c>
      <c r="AU18" s="552">
        <f ca="1">'Q12-Validation'!C134</f>
        <v>349088.82</v>
      </c>
    </row>
    <row r="19" spans="5:47" x14ac:dyDescent="0.2">
      <c r="AI19" s="110" t="s">
        <v>23</v>
      </c>
      <c r="AJ19" s="439">
        <f>'Q1'!B102</f>
        <v>12861.360000000002</v>
      </c>
      <c r="AK19" s="439">
        <f>'Q2'!B123</f>
        <v>13633.041600000002</v>
      </c>
      <c r="AL19" s="439">
        <f>'Q3-Validation'!C135</f>
        <v>14340.416400000004</v>
      </c>
      <c r="AM19" s="439">
        <f>'Q4-Validation'!C135</f>
        <v>13568.734800000002</v>
      </c>
      <c r="AN19" s="439">
        <f>'Q5-Validation'!C135</f>
        <v>11317.996800000003</v>
      </c>
      <c r="AO19" s="439">
        <f>'Q6-Validation'!$C$135</f>
        <v>17491.449600000004</v>
      </c>
      <c r="AP19" s="439">
        <f>'Q7-Validation'!C135</f>
        <v>18756.150000000005</v>
      </c>
      <c r="AQ19" s="439">
        <f>'Q8-Validation'!C135</f>
        <v>20020.850400000003</v>
      </c>
      <c r="AR19" s="439">
        <f>'Q9-Validation'!C135</f>
        <v>20685.354000000003</v>
      </c>
      <c r="AS19" s="439">
        <f>'Q10-Validation'!C135</f>
        <v>21349.857600000007</v>
      </c>
      <c r="AT19" s="439">
        <f>'Q11-Validation'!C135</f>
        <v>16559.001000000004</v>
      </c>
      <c r="AU19" s="552">
        <f>'Q12-Validation'!C135</f>
        <v>1136.0868000000003</v>
      </c>
    </row>
    <row r="20" spans="5:47" x14ac:dyDescent="0.2">
      <c r="AI20" s="110" t="s">
        <v>117</v>
      </c>
      <c r="AJ20" s="439">
        <f>'Q1'!B103</f>
        <v>40000</v>
      </c>
      <c r="AK20" s="439">
        <f>'Q2'!B124</f>
        <v>80000</v>
      </c>
      <c r="AL20" s="439">
        <f>'Q3-Validation'!C136</f>
        <v>80000</v>
      </c>
      <c r="AM20" s="439">
        <f>'Q4-Validation'!C136</f>
        <v>80000</v>
      </c>
      <c r="AN20" s="439">
        <f>'Q5-Validation'!C136</f>
        <v>40000</v>
      </c>
      <c r="AO20" s="439">
        <f>'Q6-Validation'!$C$136</f>
        <v>40000</v>
      </c>
      <c r="AP20" s="439">
        <f ca="1">'Q7-Validation'!C136</f>
        <v>80000</v>
      </c>
      <c r="AQ20" s="439">
        <f>'Q8-Validation'!C136</f>
        <v>40000</v>
      </c>
      <c r="AR20" s="439">
        <f ca="1">'Q9-Validation'!C136</f>
        <v>80000</v>
      </c>
      <c r="AS20" s="439">
        <f ca="1">'Q10-Validation'!C136</f>
        <v>0</v>
      </c>
      <c r="AT20" s="439">
        <f ca="1">'Q11-Validation'!C136</f>
        <v>80000</v>
      </c>
      <c r="AU20" s="552">
        <f ca="1">'Q12-Validation'!C136</f>
        <v>150000</v>
      </c>
    </row>
    <row r="21" spans="5:47" x14ac:dyDescent="0.2">
      <c r="AI21" s="110" t="s">
        <v>137</v>
      </c>
      <c r="AJ21" s="439">
        <f>'Q1'!B104</f>
        <v>0</v>
      </c>
      <c r="AK21" s="439">
        <f>'Q2'!B125</f>
        <v>23490</v>
      </c>
      <c r="AL21" s="439">
        <f>'Q3-Validation'!C137</f>
        <v>47968</v>
      </c>
      <c r="AM21" s="439">
        <f>'Q4-Validation'!C137</f>
        <v>41370</v>
      </c>
      <c r="AN21" s="443">
        <f>'Q5-Validation'!C137</f>
        <v>61890</v>
      </c>
      <c r="AO21" s="443">
        <f>'Q6-Validation'!$C$137</f>
        <v>36058</v>
      </c>
      <c r="AP21" s="439">
        <f>'Q7-Validation'!C137</f>
        <v>55012</v>
      </c>
      <c r="AQ21" s="439">
        <f>'Q8-Validation'!C137</f>
        <v>38776</v>
      </c>
      <c r="AR21" s="439">
        <f>'Q9-Validation'!C137</f>
        <v>63022</v>
      </c>
      <c r="AS21" s="439">
        <f>'Q10-Validation'!C137</f>
        <v>64144</v>
      </c>
      <c r="AT21" s="439">
        <f>'Q11-Validation'!C137</f>
        <v>76922</v>
      </c>
      <c r="AU21" s="552">
        <f>'Q12-Validation'!C137</f>
        <v>55710</v>
      </c>
    </row>
    <row r="22" spans="5:47" x14ac:dyDescent="0.2">
      <c r="AI22" s="110" t="s">
        <v>139</v>
      </c>
      <c r="AJ22" s="439">
        <f>'Q1'!B105</f>
        <v>0</v>
      </c>
      <c r="AK22" s="439">
        <f>'Q2'!B126</f>
        <v>0</v>
      </c>
      <c r="AL22" s="439">
        <f>'Q3-Validation'!C138</f>
        <v>0</v>
      </c>
      <c r="AM22" s="439">
        <f>'Q4-Validation'!C138</f>
        <v>0</v>
      </c>
      <c r="AN22" s="439">
        <f>'Q5-Validation'!C138</f>
        <v>0</v>
      </c>
      <c r="AO22" s="439">
        <f>'Q6-Validation'!$C$138</f>
        <v>0</v>
      </c>
      <c r="AP22" s="439">
        <f>'Q7-Validation'!C138</f>
        <v>0</v>
      </c>
      <c r="AQ22" s="439">
        <f>'Q8-Validation'!C138</f>
        <v>0</v>
      </c>
      <c r="AR22" s="439">
        <f>'Q9-Validation'!C138</f>
        <v>0</v>
      </c>
      <c r="AS22" s="439">
        <f>'Q10-Validation'!C138</f>
        <v>0</v>
      </c>
      <c r="AT22" s="439">
        <f>'Q11-Validation'!C138</f>
        <v>0</v>
      </c>
      <c r="AU22" s="552">
        <f>'Q12-Validation'!C138</f>
        <v>0</v>
      </c>
    </row>
    <row r="23" spans="5:47" x14ac:dyDescent="0.2">
      <c r="AI23" s="110" t="s">
        <v>140</v>
      </c>
      <c r="AJ23" s="439">
        <f>'Q1'!B106</f>
        <v>0</v>
      </c>
      <c r="AK23" s="439">
        <f>'Q2'!B127</f>
        <v>0</v>
      </c>
      <c r="AL23" s="439">
        <f>'Q3-Validation'!C139</f>
        <v>24003.38</v>
      </c>
      <c r="AM23" s="439">
        <f>'Q4-Validation'!C139</f>
        <v>40253.360000000001</v>
      </c>
      <c r="AN23" s="444">
        <f>'Q5-Validation'!C139</f>
        <v>116709.02</v>
      </c>
      <c r="AO23" s="439">
        <f>'Q6-Validation'!$C$139</f>
        <v>0</v>
      </c>
      <c r="AP23" s="439">
        <f ca="1">'Q7-Validation'!C139</f>
        <v>0</v>
      </c>
      <c r="AQ23" s="439">
        <f ca="1">'Q8-Validation'!C139</f>
        <v>0</v>
      </c>
      <c r="AR23" s="439">
        <f ca="1">'Q9-Validation'!C139</f>
        <v>0</v>
      </c>
      <c r="AS23" s="439">
        <f ca="1">'Q10-Validation'!C139</f>
        <v>0</v>
      </c>
      <c r="AT23" s="439">
        <f ca="1">'Q11-Validation'!C139</f>
        <v>0</v>
      </c>
      <c r="AU23" s="552">
        <f ca="1">'Q12-Validation'!C139</f>
        <v>0</v>
      </c>
    </row>
    <row r="24" spans="5:47" x14ac:dyDescent="0.2">
      <c r="AI24" s="110" t="s">
        <v>141</v>
      </c>
      <c r="AJ24" s="439">
        <f>'Q1'!B107</f>
        <v>0</v>
      </c>
      <c r="AK24" s="439">
        <f>'Q2'!B128</f>
        <v>0</v>
      </c>
      <c r="AL24" s="439">
        <f>'Q3-Validation'!C140</f>
        <v>0</v>
      </c>
      <c r="AM24" s="439">
        <f>'Q4-Validation'!C140</f>
        <v>0</v>
      </c>
      <c r="AN24" s="439">
        <f>'Q5-Validation'!C140</f>
        <v>0</v>
      </c>
      <c r="AO24" s="439">
        <f>'Q6-Validation'!$C$140</f>
        <v>0</v>
      </c>
      <c r="AP24" s="439">
        <f>'Q7-Validation'!C140</f>
        <v>0</v>
      </c>
      <c r="AQ24" s="439">
        <f>'Q8-Validation'!C140</f>
        <v>0</v>
      </c>
      <c r="AR24" s="439">
        <f>'Q9-Validation'!C140</f>
        <v>0</v>
      </c>
      <c r="AS24" s="439">
        <f>'Q10-Validation'!C140</f>
        <v>0</v>
      </c>
      <c r="AT24" s="439">
        <f>'Q11-Validation'!C140</f>
        <v>0</v>
      </c>
      <c r="AU24" s="552">
        <f>'Q12-Validation'!C140</f>
        <v>0</v>
      </c>
    </row>
    <row r="25" spans="5:47" x14ac:dyDescent="0.2">
      <c r="AI25" s="110" t="s">
        <v>142</v>
      </c>
      <c r="AJ25" s="439">
        <f>'Q1'!B108</f>
        <v>0</v>
      </c>
      <c r="AK25" s="439">
        <f>'Q2'!B129</f>
        <v>0</v>
      </c>
      <c r="AL25" s="439">
        <f>'Q3-Validation'!C141</f>
        <v>0</v>
      </c>
      <c r="AM25" s="439">
        <f>'Q4-Validation'!C141</f>
        <v>0</v>
      </c>
      <c r="AN25" s="439">
        <f>'Q5-Validation'!C141</f>
        <v>0</v>
      </c>
      <c r="AO25" s="439">
        <f>'Q6-Validation'!$C$141</f>
        <v>0</v>
      </c>
      <c r="AP25" s="439">
        <f>'Q7-Validation'!C141</f>
        <v>0</v>
      </c>
      <c r="AQ25" s="439">
        <f>'Q8-Validation'!C141</f>
        <v>0</v>
      </c>
      <c r="AR25" s="439">
        <f>'Q9-Validation'!C141</f>
        <v>0</v>
      </c>
      <c r="AS25" s="439">
        <f>'Q10-Validation'!C141</f>
        <v>0</v>
      </c>
      <c r="AT25" s="439">
        <f>'Q11-Validation'!C141</f>
        <v>0</v>
      </c>
      <c r="AU25" s="552">
        <f>'Q12-Validation'!C141</f>
        <v>0</v>
      </c>
    </row>
    <row r="26" spans="5:47" ht="32" x14ac:dyDescent="0.4">
      <c r="E26" s="293"/>
      <c r="AI26" s="110" t="s">
        <v>143</v>
      </c>
      <c r="AJ26" s="439">
        <f>'Q1'!B109</f>
        <v>706786.36</v>
      </c>
      <c r="AK26" s="439">
        <f>'Q2'!B130</f>
        <v>875115.86160000006</v>
      </c>
      <c r="AL26" s="439">
        <f>'Q3-Validation'!C142</f>
        <v>1053653.5563999999</v>
      </c>
      <c r="AM26" s="439">
        <f>'Q4-Validation'!C142</f>
        <v>1087995.4948</v>
      </c>
      <c r="AN26" s="439">
        <f>'Q5-Validation'!C142</f>
        <v>1314654.6168000002</v>
      </c>
      <c r="AO26" s="439">
        <f>'Q6-Validation'!$C$142</f>
        <v>1130314.4595999999</v>
      </c>
      <c r="AP26" s="439">
        <f ca="1">'Q7-Validation'!C142</f>
        <v>1876807.3399999999</v>
      </c>
      <c r="AQ26" s="439">
        <f ca="1">'Q8-Validation'!C142</f>
        <v>1848764.4404</v>
      </c>
      <c r="AR26" s="439">
        <f ca="1">'Q9-Validation'!C142</f>
        <v>2029148.3840000001</v>
      </c>
      <c r="AS26" s="439">
        <f ca="1">'Q10-Validation'!C142</f>
        <v>1947665.4776000001</v>
      </c>
      <c r="AT26" s="439">
        <f ca="1">'Q11-Validation'!C142</f>
        <v>2019182.2209999999</v>
      </c>
      <c r="AU26" s="552">
        <f ca="1">'Q12-Validation'!C142</f>
        <v>1974334.9068</v>
      </c>
    </row>
    <row r="27" spans="5:47" x14ac:dyDescent="0.2">
      <c r="AI27" s="110" t="s">
        <v>125</v>
      </c>
      <c r="AJ27" s="438"/>
      <c r="AK27" s="438"/>
      <c r="AL27" s="438"/>
      <c r="AM27" s="438"/>
      <c r="AN27" s="438"/>
      <c r="AO27" s="438"/>
      <c r="AP27" s="438"/>
      <c r="AQ27" s="438"/>
      <c r="AR27" s="438"/>
      <c r="AS27" s="438"/>
      <c r="AT27" s="438"/>
      <c r="AU27" s="553"/>
    </row>
    <row r="28" spans="5:47" x14ac:dyDescent="0.2">
      <c r="E28" s="294"/>
      <c r="AI28" s="110" t="s">
        <v>144</v>
      </c>
      <c r="AJ28" s="439">
        <f>'Q1'!B111</f>
        <v>0</v>
      </c>
      <c r="AK28" s="439">
        <f>'Q2'!B132</f>
        <v>0</v>
      </c>
      <c r="AL28" s="439">
        <f>'Q3-Validation'!C144</f>
        <v>0</v>
      </c>
      <c r="AM28" s="439">
        <f>'Q4-Validation'!C144</f>
        <v>0</v>
      </c>
      <c r="AN28" s="439">
        <f>'Q5-Validation'!C144</f>
        <v>0</v>
      </c>
      <c r="AO28" s="439">
        <f>'Q6-Validation'!$C$144</f>
        <v>0</v>
      </c>
      <c r="AP28" s="439">
        <f>'Q7-Validation'!C144</f>
        <v>0</v>
      </c>
      <c r="AQ28" s="439">
        <f>'Q8-Validation'!C144</f>
        <v>0</v>
      </c>
      <c r="AR28" s="439">
        <f>'Q9-Validation'!C144</f>
        <v>0</v>
      </c>
      <c r="AS28" s="439">
        <f>'Q10-Validation'!C144</f>
        <v>0</v>
      </c>
      <c r="AT28" s="439">
        <f>'Q11-Validation'!C144</f>
        <v>0</v>
      </c>
      <c r="AU28" s="552">
        <f>'Q12-Validation'!C144</f>
        <v>0</v>
      </c>
    </row>
    <row r="29" spans="5:47" x14ac:dyDescent="0.2">
      <c r="AI29" s="110" t="s">
        <v>145</v>
      </c>
      <c r="AJ29" s="439">
        <f>'Q1'!B112</f>
        <v>0</v>
      </c>
      <c r="AK29" s="439">
        <f>'Q2'!B133</f>
        <v>0</v>
      </c>
      <c r="AL29" s="439">
        <f>'Q3-Validation'!C145</f>
        <v>0</v>
      </c>
      <c r="AM29" s="439">
        <f>'Q4-Validation'!C145</f>
        <v>0</v>
      </c>
      <c r="AN29" s="439">
        <f>'Q5-Validation'!C145</f>
        <v>0</v>
      </c>
      <c r="AO29" s="439">
        <f>'Q6-Validation'!$C$145</f>
        <v>0</v>
      </c>
      <c r="AP29" s="439">
        <f>'Q7-Validation'!C145</f>
        <v>0</v>
      </c>
      <c r="AQ29" s="439">
        <f>'Q8-Validation'!C145</f>
        <v>0</v>
      </c>
      <c r="AR29" s="439">
        <f>'Q9-Validation'!C145</f>
        <v>0</v>
      </c>
      <c r="AS29" s="439">
        <f>'Q10-Validation'!C145</f>
        <v>0</v>
      </c>
      <c r="AT29" s="439">
        <f>'Q11-Validation'!C145</f>
        <v>0</v>
      </c>
      <c r="AU29" s="552">
        <f>'Q12-Validation'!C145</f>
        <v>0</v>
      </c>
    </row>
    <row r="30" spans="5:47" ht="19" x14ac:dyDescent="0.25">
      <c r="E30" s="295"/>
      <c r="AI30" s="110" t="s">
        <v>125</v>
      </c>
      <c r="AJ30" s="438"/>
      <c r="AK30" s="438"/>
      <c r="AL30" s="438"/>
      <c r="AM30" s="438"/>
      <c r="AN30" s="438"/>
      <c r="AO30" s="438"/>
      <c r="AP30" s="438"/>
      <c r="AQ30" s="438"/>
      <c r="AR30" s="438"/>
      <c r="AS30" s="438"/>
      <c r="AT30" s="438"/>
      <c r="AU30" s="553"/>
    </row>
    <row r="31" spans="5:47" x14ac:dyDescent="0.2">
      <c r="AI31" s="110" t="s">
        <v>146</v>
      </c>
      <c r="AJ31" s="439">
        <f>'Q1'!B114</f>
        <v>-706786.36</v>
      </c>
      <c r="AK31" s="439">
        <f>'Q2'!B135</f>
        <v>-499845.76160000009</v>
      </c>
      <c r="AL31" s="439">
        <f>'Q3-Validation'!C147</f>
        <v>-175590.33639999991</v>
      </c>
      <c r="AM31" s="439">
        <f>'Q4-Validation'!C147</f>
        <v>-193441.46479999996</v>
      </c>
      <c r="AN31" s="439">
        <f>'Q5-Validation'!C147</f>
        <v>730115.33319999976</v>
      </c>
      <c r="AO31" s="439">
        <f>'Q6-Validation'!$C$147</f>
        <v>427649.74040000001</v>
      </c>
      <c r="AP31" s="439">
        <f ca="1">'Q7-Validation'!C147</f>
        <v>382407.45000000019</v>
      </c>
      <c r="AQ31" s="439">
        <f ca="1">'Q8-Validation'!C147</f>
        <v>-89853.060400000075</v>
      </c>
      <c r="AR31" s="439">
        <f ca="1">'Q9-Validation'!C147</f>
        <v>553347.60600000015</v>
      </c>
      <c r="AS31" s="439">
        <f ca="1">'Q10-Validation'!C147</f>
        <v>852721.49739999953</v>
      </c>
      <c r="AT31" s="439">
        <f ca="1">'Q11-Validation'!C147</f>
        <v>1280437.0190000003</v>
      </c>
      <c r="AU31" s="552">
        <f ca="1">'Q12-Validation'!C147</f>
        <v>363767.96320000011</v>
      </c>
    </row>
    <row r="32" spans="5:47" x14ac:dyDescent="0.2">
      <c r="E32" s="296"/>
      <c r="AI32" s="110" t="s">
        <v>147</v>
      </c>
      <c r="AJ32" s="439">
        <f>'Q1'!B115</f>
        <v>0</v>
      </c>
      <c r="AK32" s="439">
        <f>'Q2'!B136</f>
        <v>0</v>
      </c>
      <c r="AL32" s="439">
        <f>'Q3-Validation'!C148</f>
        <v>0</v>
      </c>
      <c r="AM32" s="439">
        <f>'Q4-Validation'!C148</f>
        <v>0</v>
      </c>
      <c r="AN32" s="439">
        <f>'Q5-Validation'!C148</f>
        <v>109517.29997999997</v>
      </c>
      <c r="AO32" s="439">
        <f>'Q6-Validation'!$C$148</f>
        <v>64147.461060000001</v>
      </c>
      <c r="AP32" s="439">
        <f ca="1">'Q7-Validation'!C148</f>
        <v>57361.117500000029</v>
      </c>
      <c r="AQ32" s="439">
        <f ca="1">'Q8-Validation'!C148</f>
        <v>0</v>
      </c>
      <c r="AR32" s="439">
        <f ca="1">'Q9-Validation'!C148</f>
        <v>83002.140900000013</v>
      </c>
      <c r="AS32" s="439">
        <f ca="1">'Q10-Validation'!C148</f>
        <v>127908.22460999992</v>
      </c>
      <c r="AT32" s="439">
        <f ca="1">'Q11-Validation'!C148</f>
        <v>192065.55285000004</v>
      </c>
      <c r="AU32" s="552">
        <f ca="1">'Q12-Validation'!C148</f>
        <v>54565.194480000013</v>
      </c>
    </row>
    <row r="33" spans="5:47" ht="17" thickBot="1" x14ac:dyDescent="0.25">
      <c r="AI33" s="110" t="s">
        <v>148</v>
      </c>
      <c r="AJ33" s="440">
        <f>'Q1'!B116</f>
        <v>-706786.36</v>
      </c>
      <c r="AK33" s="440">
        <f>'Q2'!B137</f>
        <v>-499845.76160000009</v>
      </c>
      <c r="AL33" s="440">
        <f>'Q3-Validation'!C149</f>
        <v>-175590.33639999991</v>
      </c>
      <c r="AM33" s="440">
        <f>'Q4-Validation'!C149</f>
        <v>-193441.46479999996</v>
      </c>
      <c r="AN33" s="440">
        <f>'Q5-Validation'!C149</f>
        <v>620598.03321999975</v>
      </c>
      <c r="AO33" s="440">
        <f>'Q6-Validation'!$C$149</f>
        <v>363502.27934000001</v>
      </c>
      <c r="AP33" s="489">
        <f ca="1">'Q7-Validation'!C149</f>
        <v>325046.33250000014</v>
      </c>
      <c r="AQ33" s="489">
        <f ca="1">'Q8-Validation'!C149</f>
        <v>-89853.060400000075</v>
      </c>
      <c r="AR33" s="489">
        <f ca="1">'Q9-Validation'!C149</f>
        <v>470345.46510000015</v>
      </c>
      <c r="AS33" s="489">
        <f ca="1">'Q10-Validation'!C149</f>
        <v>724813.27278999961</v>
      </c>
      <c r="AT33" s="489">
        <f ca="1">'Q11-Validation'!C149</f>
        <v>1088371.4661500002</v>
      </c>
      <c r="AU33" s="554">
        <f ca="1">'Q12-Validation'!C149</f>
        <v>309202.76872000011</v>
      </c>
    </row>
    <row r="34" spans="5:47" ht="17" thickTop="1" x14ac:dyDescent="0.2">
      <c r="E34" s="296"/>
      <c r="AI34" s="110" t="s">
        <v>119</v>
      </c>
      <c r="AJ34" s="439"/>
      <c r="AK34" s="439"/>
      <c r="AL34" s="439"/>
      <c r="AM34" s="439"/>
      <c r="AN34" s="439"/>
      <c r="AO34" s="439"/>
      <c r="AP34" s="439"/>
      <c r="AQ34" s="439"/>
      <c r="AR34" s="439"/>
      <c r="AS34" s="439"/>
      <c r="AT34" s="439"/>
      <c r="AU34" s="552"/>
    </row>
    <row r="35" spans="5:47" x14ac:dyDescent="0.2">
      <c r="AI35" s="110" t="s">
        <v>149</v>
      </c>
      <c r="AJ35" s="439">
        <f>'Q1'!B118</f>
        <v>0</v>
      </c>
      <c r="AK35" s="439">
        <f>'Q2'!B139</f>
        <v>-706786.36</v>
      </c>
      <c r="AL35" s="439">
        <f>'Q3-Validation'!C151</f>
        <v>-1206632.1216000002</v>
      </c>
      <c r="AM35" s="439">
        <f>'Q4-Validation'!C151</f>
        <v>-1382222.4580000001</v>
      </c>
      <c r="AN35" s="439">
        <f>'Q5-Validation'!C151</f>
        <v>-1575663.9228000001</v>
      </c>
      <c r="AO35" s="439">
        <f>'Q6-Validation'!$C$151</f>
        <v>-955066.65</v>
      </c>
      <c r="AP35" s="439">
        <f>'Q7-Validation'!C151</f>
        <v>-591564.37066000002</v>
      </c>
      <c r="AQ35" s="439">
        <f ca="1">'Q8-Validation'!C151</f>
        <v>-266518.03815999988</v>
      </c>
      <c r="AR35" s="439">
        <f ca="1">'Q9-Validation'!C151</f>
        <v>-356371.09855999995</v>
      </c>
      <c r="AS35" s="439">
        <f ca="1">'Q10-Validation'!C151</f>
        <v>113974.36654000019</v>
      </c>
      <c r="AT35" s="439">
        <f ca="1">'Q11-Validation'!C151</f>
        <v>838787.6393299998</v>
      </c>
      <c r="AU35" s="552">
        <f ca="1">'Q12-Validation'!C151</f>
        <v>1927159.1054799999</v>
      </c>
    </row>
    <row r="36" spans="5:47" x14ac:dyDescent="0.2">
      <c r="E36" s="296"/>
      <c r="AI36" s="110" t="s">
        <v>148</v>
      </c>
      <c r="AJ36" s="439">
        <f>'Q1'!B119</f>
        <v>-706786.36</v>
      </c>
      <c r="AK36" s="439">
        <f>'Q2'!B140</f>
        <v>-1206632.1216000002</v>
      </c>
      <c r="AL36" s="439">
        <f>'Q3-Validation'!C152</f>
        <v>-1382222.4580000001</v>
      </c>
      <c r="AM36" s="439">
        <f>'Q4-Validation'!C152</f>
        <v>-1575663.9228000001</v>
      </c>
      <c r="AN36" s="439">
        <f>'Q5-Validation'!C152</f>
        <v>-955065.88958000031</v>
      </c>
      <c r="AO36" s="439">
        <f>'Q6-Validation'!$C$152</f>
        <v>363502.27934000001</v>
      </c>
      <c r="AP36" s="439">
        <f ca="1">'Q7-Validation'!C152</f>
        <v>325046.33250000014</v>
      </c>
      <c r="AQ36" s="439">
        <f ca="1">'Q8-Validation'!C152</f>
        <v>-89853.060400000075</v>
      </c>
      <c r="AR36" s="439">
        <f ca="1">'Q9-Validation'!C152</f>
        <v>470345.46510000015</v>
      </c>
      <c r="AS36" s="439">
        <f ca="1">'Q10-Validation'!C152</f>
        <v>724813.27278999961</v>
      </c>
      <c r="AT36" s="439">
        <f ca="1">'Q11-Validation'!C152</f>
        <v>1088371.4661500002</v>
      </c>
      <c r="AU36" s="552">
        <f ca="1">'Q12-Validation'!C152</f>
        <v>309202.76872000011</v>
      </c>
    </row>
    <row r="37" spans="5:47" x14ac:dyDescent="0.2">
      <c r="AI37" s="110" t="s">
        <v>150</v>
      </c>
      <c r="AJ37" s="439">
        <f>'Q1'!B120</f>
        <v>0</v>
      </c>
      <c r="AK37" s="439">
        <f>'Q2'!B141</f>
        <v>0</v>
      </c>
      <c r="AL37" s="439">
        <f>'Q3-Validation'!C153</f>
        <v>0</v>
      </c>
      <c r="AM37" s="439">
        <f>'Q4-Validation'!C153</f>
        <v>0</v>
      </c>
      <c r="AN37" s="439">
        <f>'Q5-Validation'!C153</f>
        <v>0</v>
      </c>
      <c r="AO37" s="439">
        <f>'Q6-Validation'!$C$153</f>
        <v>0</v>
      </c>
      <c r="AP37" s="439">
        <f>'Q7-Validation'!C153</f>
        <v>0</v>
      </c>
      <c r="AQ37" s="439">
        <f>'Q8-Validation'!C153</f>
        <v>0</v>
      </c>
      <c r="AR37" s="439">
        <f>'Q9-Validation'!C153</f>
        <v>0</v>
      </c>
      <c r="AS37" s="439">
        <f>'Q10-Validation'!C153</f>
        <v>0</v>
      </c>
      <c r="AT37" s="439">
        <f>'Q11-Validation'!C153</f>
        <v>0</v>
      </c>
      <c r="AU37" s="552">
        <f>'Q12-Validation'!C153</f>
        <v>0</v>
      </c>
    </row>
    <row r="38" spans="5:47" ht="17" thickBot="1" x14ac:dyDescent="0.25">
      <c r="E38" s="296"/>
      <c r="AI38" s="110" t="s">
        <v>151</v>
      </c>
      <c r="AJ38" s="440">
        <f>'Q1'!B121</f>
        <v>-706786.36</v>
      </c>
      <c r="AK38" s="440">
        <f>'Q2'!B142</f>
        <v>-1206632.1216000002</v>
      </c>
      <c r="AL38" s="440">
        <f>'Q3-Validation'!C154</f>
        <v>-1382222.4580000001</v>
      </c>
      <c r="AM38" s="440">
        <f>'Q4-Validation'!C154</f>
        <v>-1575663.9228000001</v>
      </c>
      <c r="AN38" s="440">
        <f>'Q5-Validation'!C154</f>
        <v>-955065.88958000031</v>
      </c>
      <c r="AO38" s="440">
        <f>'Q6-Validation'!$C$154</f>
        <v>-591564.37066000002</v>
      </c>
      <c r="AP38" s="488">
        <f ca="1">'Q7-Validation'!C154</f>
        <v>-266518.03815999988</v>
      </c>
      <c r="AQ38" s="488">
        <f ca="1">'Q8-Validation'!C154</f>
        <v>-356371.09855999995</v>
      </c>
      <c r="AR38" s="488">
        <f ca="1">'Q9-Validation'!C154</f>
        <v>113974.36654000019</v>
      </c>
      <c r="AS38" s="488">
        <f ca="1">'Q10-Validation'!C154</f>
        <v>838787.6393299998</v>
      </c>
      <c r="AT38" s="528">
        <f ca="1">'Q11-Validation'!C154</f>
        <v>1927159.1054799999</v>
      </c>
      <c r="AU38" s="555">
        <f ca="1">'Q12-Validation'!C154</f>
        <v>2236361.8742</v>
      </c>
    </row>
    <row r="39" spans="5:47" ht="18" thickTop="1" thickBot="1" x14ac:dyDescent="0.25">
      <c r="AI39" s="188"/>
      <c r="AJ39" s="189"/>
      <c r="AK39" s="189"/>
      <c r="AL39" s="189"/>
      <c r="AM39" s="189"/>
      <c r="AN39" s="189"/>
      <c r="AO39" s="189"/>
      <c r="AP39" s="189"/>
      <c r="AQ39" s="189"/>
      <c r="AR39" s="189"/>
      <c r="AS39" s="189"/>
      <c r="AT39" s="189"/>
      <c r="AU39" s="190"/>
    </row>
    <row r="40" spans="5:47" x14ac:dyDescent="0.2">
      <c r="E40" s="296"/>
    </row>
    <row r="47" spans="5:47" x14ac:dyDescent="0.2">
      <c r="V47" s="424"/>
      <c r="W47" s="424"/>
      <c r="X47" s="425" t="s">
        <v>294</v>
      </c>
    </row>
    <row r="48" spans="5:47" ht="17" thickBot="1" x14ac:dyDescent="0.25"/>
    <row r="49" spans="22:35" x14ac:dyDescent="0.2">
      <c r="V49" s="431" t="s">
        <v>275</v>
      </c>
      <c r="W49" s="432" t="s">
        <v>276</v>
      </c>
      <c r="X49" s="432" t="s">
        <v>277</v>
      </c>
      <c r="Y49" s="432" t="s">
        <v>278</v>
      </c>
      <c r="Z49" s="433" t="s">
        <v>279</v>
      </c>
    </row>
    <row r="50" spans="22:35" x14ac:dyDescent="0.2">
      <c r="V50" s="110" t="s">
        <v>281</v>
      </c>
      <c r="W50" s="220">
        <v>0.39389999999999997</v>
      </c>
      <c r="X50" s="487">
        <v>0.1154</v>
      </c>
      <c r="Y50" s="220">
        <v>0.40079999999999999</v>
      </c>
      <c r="Z50" s="435">
        <v>7.2999999999999995E-2</v>
      </c>
    </row>
    <row r="51" spans="22:35" x14ac:dyDescent="0.2">
      <c r="V51" s="110" t="s">
        <v>283</v>
      </c>
      <c r="W51" s="220">
        <v>0.35089999999999999</v>
      </c>
      <c r="X51" s="220">
        <v>0.31780000000000003</v>
      </c>
      <c r="Y51" s="220">
        <v>5.2600000000000001E-2</v>
      </c>
      <c r="Z51" s="435">
        <v>0.58609999999999995</v>
      </c>
    </row>
    <row r="52" spans="22:35" x14ac:dyDescent="0.2">
      <c r="V52" s="110" t="s">
        <v>285</v>
      </c>
      <c r="W52" s="220">
        <v>0.21210000000000001</v>
      </c>
      <c r="X52" s="220">
        <v>0.33879999999999999</v>
      </c>
      <c r="Y52" s="220">
        <v>0.3266</v>
      </c>
      <c r="Z52" s="435">
        <v>0.28349999999999997</v>
      </c>
    </row>
    <row r="53" spans="22:35" ht="17" thickBot="1" x14ac:dyDescent="0.25">
      <c r="V53" s="188" t="s">
        <v>287</v>
      </c>
      <c r="W53" s="436">
        <v>4.2999999999999997E-2</v>
      </c>
      <c r="X53" s="436">
        <v>0.22789999999999999</v>
      </c>
      <c r="Y53" s="436">
        <f>1-SUM(Y50:Y52)</f>
        <v>0.21999999999999997</v>
      </c>
      <c r="Z53" s="437">
        <v>5.74E-2</v>
      </c>
    </row>
    <row r="59" spans="22:35" x14ac:dyDescent="0.2">
      <c r="AI59" s="286"/>
    </row>
    <row r="92" spans="22:26" x14ac:dyDescent="0.2">
      <c r="X92" s="425" t="s">
        <v>295</v>
      </c>
    </row>
    <row r="93" spans="22:26" ht="17" thickBot="1" x14ac:dyDescent="0.25"/>
    <row r="94" spans="22:26" x14ac:dyDescent="0.2">
      <c r="V94" s="431" t="s">
        <v>275</v>
      </c>
      <c r="W94" s="432" t="s">
        <v>276</v>
      </c>
      <c r="X94" s="432" t="s">
        <v>277</v>
      </c>
      <c r="Y94" s="432" t="s">
        <v>278</v>
      </c>
      <c r="Z94" s="433" t="s">
        <v>279</v>
      </c>
    </row>
    <row r="95" spans="22:26" x14ac:dyDescent="0.2">
      <c r="V95" s="110" t="s">
        <v>281</v>
      </c>
      <c r="W95" s="220">
        <v>0.29210000000000003</v>
      </c>
      <c r="X95" s="487">
        <v>0.1008</v>
      </c>
      <c r="Y95" s="220">
        <v>0.3125</v>
      </c>
      <c r="Z95" s="435">
        <v>9.69E-2</v>
      </c>
    </row>
    <row r="96" spans="22:26" x14ac:dyDescent="0.2">
      <c r="V96" s="110" t="s">
        <v>283</v>
      </c>
      <c r="W96" s="220">
        <v>0.34420000000000001</v>
      </c>
      <c r="X96" s="220">
        <v>0.26790000000000003</v>
      </c>
      <c r="Y96" s="220">
        <v>4.6300000000000001E-2</v>
      </c>
      <c r="Z96" s="435">
        <v>0.49209999999999998</v>
      </c>
    </row>
    <row r="97" spans="16:66" x14ac:dyDescent="0.2">
      <c r="V97" s="110" t="s">
        <v>285</v>
      </c>
      <c r="W97" s="220">
        <v>0.2442</v>
      </c>
      <c r="X97" s="220">
        <v>0.33550000000000002</v>
      </c>
      <c r="Y97" s="220">
        <v>0.3266</v>
      </c>
      <c r="Z97" s="435">
        <v>0.2412</v>
      </c>
    </row>
    <row r="98" spans="16:66" ht="17" thickBot="1" x14ac:dyDescent="0.25">
      <c r="V98" s="188" t="s">
        <v>287</v>
      </c>
      <c r="W98" s="436">
        <v>0.1196</v>
      </c>
      <c r="X98" s="436">
        <v>0.2959</v>
      </c>
      <c r="Y98" s="436">
        <f>1-SUM(Y95:Y97)</f>
        <v>0.31459999999999999</v>
      </c>
      <c r="Z98" s="437">
        <v>0.16980000000000001</v>
      </c>
    </row>
    <row r="99" spans="16:66" s="199" customFormat="1" x14ac:dyDescent="0.2">
      <c r="P99" s="123"/>
      <c r="AF99" s="123"/>
      <c r="AX99" s="123"/>
      <c r="BN99" s="123"/>
    </row>
  </sheetData>
  <mergeCells count="3">
    <mergeCell ref="AI3:AU3"/>
    <mergeCell ref="B3:N3"/>
    <mergeCell ref="AZ5:BL5"/>
  </mergeCells>
  <phoneticPr fontId="15" type="noConversion"/>
  <conditionalFormatting sqref="W7:W10">
    <cfRule type="top10" dxfId="16" priority="12" rank="1"/>
  </conditionalFormatting>
  <conditionalFormatting sqref="W50:W53">
    <cfRule type="top10" dxfId="15" priority="7" rank="1"/>
  </conditionalFormatting>
  <conditionalFormatting sqref="W95:W98">
    <cfRule type="top10" dxfId="14" priority="3" rank="1"/>
  </conditionalFormatting>
  <conditionalFormatting sqref="X7:X10">
    <cfRule type="top10" dxfId="13" priority="11" rank="1"/>
  </conditionalFormatting>
  <conditionalFormatting sqref="X50:X53">
    <cfRule type="top10" dxfId="12" priority="6" rank="1"/>
  </conditionalFormatting>
  <conditionalFormatting sqref="X95:X98">
    <cfRule type="top10" dxfId="11" priority="2" rank="1"/>
  </conditionalFormatting>
  <conditionalFormatting sqref="Y7:Y10">
    <cfRule type="top10" dxfId="10" priority="10" rank="1"/>
  </conditionalFormatting>
  <conditionalFormatting sqref="Y50:Y53">
    <cfRule type="top10" dxfId="9" priority="5" rank="1"/>
  </conditionalFormatting>
  <conditionalFormatting sqref="Y95:Y98">
    <cfRule type="top10" dxfId="8" priority="1" rank="1"/>
  </conditionalFormatting>
  <conditionalFormatting sqref="Z50:Z53">
    <cfRule type="top10" dxfId="7" priority="8" rank="1"/>
  </conditionalFormatting>
  <conditionalFormatting sqref="Z95:Z98">
    <cfRule type="top10" dxfId="6" priority="4" rank="1"/>
  </conditionalFormatting>
  <conditionalFormatting sqref="Z7:AD10">
    <cfRule type="top10" dxfId="5" priority="14" rank="1"/>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39FFB-62D1-0347-AEBB-F3E766EAF325}">
  <sheetPr codeName="Sheet28">
    <tabColor rgb="FFFFFF00"/>
  </sheetPr>
  <dimension ref="A1:D32"/>
  <sheetViews>
    <sheetView zoomScale="88" workbookViewId="0">
      <selection activeCell="I36" sqref="I36"/>
    </sheetView>
  </sheetViews>
  <sheetFormatPr baseColWidth="10" defaultColWidth="11" defaultRowHeight="16" x14ac:dyDescent="0.2"/>
  <cols>
    <col min="3" max="3" width="14" bestFit="1" customWidth="1"/>
  </cols>
  <sheetData>
    <row r="1" spans="1:4" x14ac:dyDescent="0.2">
      <c r="A1" s="124" t="s">
        <v>21</v>
      </c>
      <c r="B1" s="451" t="s">
        <v>25</v>
      </c>
      <c r="C1" s="452" t="s">
        <v>29</v>
      </c>
      <c r="D1" s="124" t="s">
        <v>32</v>
      </c>
    </row>
    <row r="2" spans="1:4" x14ac:dyDescent="0.2">
      <c r="A2" t="s">
        <v>40</v>
      </c>
      <c r="B2" s="3" t="s">
        <v>44</v>
      </c>
      <c r="C2" t="s">
        <v>53</v>
      </c>
      <c r="D2" t="s">
        <v>57</v>
      </c>
    </row>
    <row r="3" spans="1:4" x14ac:dyDescent="0.2">
      <c r="A3" t="s">
        <v>22</v>
      </c>
      <c r="B3" s="3" t="s">
        <v>26</v>
      </c>
      <c r="C3" t="s">
        <v>54</v>
      </c>
      <c r="D3" t="s">
        <v>58</v>
      </c>
    </row>
    <row r="4" spans="1:4" x14ac:dyDescent="0.2">
      <c r="B4" t="s">
        <v>51</v>
      </c>
      <c r="C4" t="s">
        <v>55</v>
      </c>
      <c r="D4" t="s">
        <v>33</v>
      </c>
    </row>
    <row r="5" spans="1:4" x14ac:dyDescent="0.2">
      <c r="B5" s="1"/>
      <c r="C5" t="s">
        <v>30</v>
      </c>
    </row>
    <row r="6" spans="1:4" x14ac:dyDescent="0.2">
      <c r="A6" s="124" t="s">
        <v>296</v>
      </c>
    </row>
    <row r="7" spans="1:4" x14ac:dyDescent="0.2">
      <c r="A7" t="s">
        <v>6</v>
      </c>
    </row>
    <row r="8" spans="1:4" x14ac:dyDescent="0.2">
      <c r="A8" t="s">
        <v>2</v>
      </c>
    </row>
    <row r="10" spans="1:4" x14ac:dyDescent="0.2">
      <c r="A10" s="124" t="s">
        <v>120</v>
      </c>
    </row>
    <row r="11" spans="1:4" x14ac:dyDescent="0.2">
      <c r="A11" t="s">
        <v>121</v>
      </c>
    </row>
    <row r="12" spans="1:4" x14ac:dyDescent="0.2">
      <c r="A12" t="s">
        <v>297</v>
      </c>
    </row>
    <row r="14" spans="1:4" x14ac:dyDescent="0.2">
      <c r="A14" s="124" t="s">
        <v>164</v>
      </c>
    </row>
    <row r="15" spans="1:4" x14ac:dyDescent="0.2">
      <c r="A15">
        <v>1</v>
      </c>
    </row>
    <row r="16" spans="1:4" x14ac:dyDescent="0.2">
      <c r="A16">
        <v>2</v>
      </c>
    </row>
    <row r="17" spans="1:1" x14ac:dyDescent="0.2">
      <c r="A17">
        <v>3</v>
      </c>
    </row>
    <row r="18" spans="1:1" x14ac:dyDescent="0.2">
      <c r="A18">
        <v>4</v>
      </c>
    </row>
    <row r="19" spans="1:1" x14ac:dyDescent="0.2">
      <c r="A19">
        <v>5</v>
      </c>
    </row>
    <row r="20" spans="1:1" x14ac:dyDescent="0.2">
      <c r="A20">
        <v>6</v>
      </c>
    </row>
    <row r="21" spans="1:1" x14ac:dyDescent="0.2">
      <c r="A21">
        <v>7</v>
      </c>
    </row>
    <row r="22" spans="1:1" x14ac:dyDescent="0.2">
      <c r="A22">
        <v>8</v>
      </c>
    </row>
    <row r="23" spans="1:1" x14ac:dyDescent="0.2">
      <c r="A23">
        <v>9</v>
      </c>
    </row>
    <row r="24" spans="1:1" x14ac:dyDescent="0.2">
      <c r="A24">
        <v>10</v>
      </c>
    </row>
    <row r="25" spans="1:1" x14ac:dyDescent="0.2">
      <c r="A25">
        <v>11</v>
      </c>
    </row>
    <row r="26" spans="1:1" x14ac:dyDescent="0.2">
      <c r="A26">
        <v>12</v>
      </c>
    </row>
    <row r="28" spans="1:1" x14ac:dyDescent="0.2">
      <c r="A28" t="s">
        <v>298</v>
      </c>
    </row>
    <row r="29" spans="1:1" x14ac:dyDescent="0.2">
      <c r="A29" t="s">
        <v>166</v>
      </c>
    </row>
    <row r="31" spans="1:1" x14ac:dyDescent="0.2">
      <c r="A31" t="s">
        <v>169</v>
      </c>
    </row>
    <row r="32" spans="1:1" x14ac:dyDescent="0.2">
      <c r="A32" t="s">
        <v>299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FE8AD-DF83-4244-AEFD-ACFD16884930}">
  <sheetPr>
    <tabColor rgb="FFFF0000"/>
  </sheetPr>
  <dimension ref="B1:Y157"/>
  <sheetViews>
    <sheetView zoomScale="92" zoomScaleNormal="166" workbookViewId="0">
      <selection activeCell="N224" sqref="N224"/>
    </sheetView>
  </sheetViews>
  <sheetFormatPr baseColWidth="10" defaultColWidth="8.83203125" defaultRowHeight="16" x14ac:dyDescent="0.2"/>
  <cols>
    <col min="2" max="2" width="20.33203125" customWidth="1"/>
    <col min="3" max="3" width="12.6640625" bestFit="1" customWidth="1"/>
    <col min="4" max="4" width="10.6640625" bestFit="1" customWidth="1"/>
    <col min="6" max="6" width="10.6640625" bestFit="1" customWidth="1"/>
    <col min="11" max="11" width="20" bestFit="1" customWidth="1"/>
    <col min="12" max="12" width="12.83203125" bestFit="1" customWidth="1"/>
    <col min="13" max="13" width="12.6640625" bestFit="1" customWidth="1"/>
    <col min="14" max="14" width="14" customWidth="1"/>
    <col min="15" max="15" width="12.6640625" bestFit="1" customWidth="1"/>
    <col min="16" max="16" width="12.83203125" bestFit="1" customWidth="1"/>
    <col min="17" max="17" width="12.6640625" bestFit="1" customWidth="1"/>
    <col min="18" max="18" width="20.5" bestFit="1" customWidth="1"/>
    <col min="19" max="22" width="12.1640625" bestFit="1" customWidth="1"/>
    <col min="23" max="23" width="26.6640625" bestFit="1" customWidth="1"/>
    <col min="36" max="36" width="25.33203125" bestFit="1" customWidth="1"/>
  </cols>
  <sheetData>
    <row r="1" spans="2:21" ht="17" thickBot="1" x14ac:dyDescent="0.25"/>
    <row r="2" spans="2:21" x14ac:dyDescent="0.2">
      <c r="K2" s="107"/>
      <c r="L2" s="108">
        <v>1</v>
      </c>
      <c r="M2" s="108">
        <v>2</v>
      </c>
      <c r="N2" s="108">
        <v>3</v>
      </c>
      <c r="O2" s="109">
        <v>4</v>
      </c>
    </row>
    <row r="3" spans="2:21" x14ac:dyDescent="0.2">
      <c r="K3" s="128" t="s">
        <v>257</v>
      </c>
      <c r="O3" s="114"/>
    </row>
    <row r="4" spans="2:21" ht="17" thickBot="1" x14ac:dyDescent="0.25">
      <c r="K4" s="128" t="s">
        <v>283</v>
      </c>
      <c r="L4">
        <v>1499</v>
      </c>
      <c r="M4">
        <v>1399</v>
      </c>
      <c r="N4">
        <v>1399</v>
      </c>
      <c r="O4" s="114">
        <v>1499</v>
      </c>
    </row>
    <row r="5" spans="2:21" x14ac:dyDescent="0.2">
      <c r="B5" s="107"/>
      <c r="C5" s="108"/>
      <c r="D5" s="108"/>
      <c r="E5" s="108"/>
      <c r="F5" s="108"/>
      <c r="G5" s="108" t="s">
        <v>64</v>
      </c>
      <c r="H5" s="109" t="s">
        <v>300</v>
      </c>
      <c r="K5" s="128" t="s">
        <v>281</v>
      </c>
      <c r="L5">
        <v>1303</v>
      </c>
      <c r="N5">
        <v>1273</v>
      </c>
      <c r="O5" s="114"/>
    </row>
    <row r="6" spans="2:21" x14ac:dyDescent="0.2">
      <c r="B6" s="128" t="s">
        <v>301</v>
      </c>
      <c r="C6">
        <v>1344</v>
      </c>
      <c r="D6">
        <v>912</v>
      </c>
      <c r="E6">
        <v>1008</v>
      </c>
      <c r="F6">
        <v>1536</v>
      </c>
      <c r="G6">
        <f t="shared" ref="G6:G8" si="0">SUM(C6:F6)</f>
        <v>4800</v>
      </c>
      <c r="H6" s="114"/>
      <c r="K6" s="128" t="s">
        <v>302</v>
      </c>
      <c r="L6">
        <v>499</v>
      </c>
      <c r="M6">
        <v>469.99</v>
      </c>
      <c r="N6">
        <v>469.99</v>
      </c>
      <c r="O6" s="114">
        <v>499</v>
      </c>
    </row>
    <row r="7" spans="2:21" x14ac:dyDescent="0.2">
      <c r="B7" s="128" t="s">
        <v>303</v>
      </c>
      <c r="C7">
        <v>150</v>
      </c>
      <c r="D7">
        <v>206</v>
      </c>
      <c r="E7">
        <v>100</v>
      </c>
      <c r="F7">
        <v>650</v>
      </c>
      <c r="G7">
        <f t="shared" si="0"/>
        <v>1106</v>
      </c>
      <c r="H7" s="114"/>
      <c r="K7" s="128" t="s">
        <v>287</v>
      </c>
      <c r="L7">
        <v>999.99</v>
      </c>
      <c r="M7">
        <v>999.99</v>
      </c>
      <c r="N7">
        <v>949.99</v>
      </c>
      <c r="O7" s="114">
        <v>999.99</v>
      </c>
    </row>
    <row r="8" spans="2:21" ht="17" thickBot="1" x14ac:dyDescent="0.25">
      <c r="B8" s="117" t="s">
        <v>304</v>
      </c>
      <c r="C8" s="129">
        <v>50</v>
      </c>
      <c r="D8" s="129">
        <v>103</v>
      </c>
      <c r="E8" s="129">
        <v>66</v>
      </c>
      <c r="F8" s="129">
        <v>325</v>
      </c>
      <c r="G8" s="129">
        <f t="shared" si="0"/>
        <v>544</v>
      </c>
      <c r="H8" s="538">
        <f>G8/G7</f>
        <v>0.49186256781193488</v>
      </c>
      <c r="K8" s="128"/>
      <c r="O8" s="114"/>
    </row>
    <row r="9" spans="2:21" ht="17" thickBot="1" x14ac:dyDescent="0.25">
      <c r="B9" s="354" t="s">
        <v>305</v>
      </c>
      <c r="C9" s="355">
        <f>C8/C7</f>
        <v>0.33333333333333331</v>
      </c>
      <c r="D9" s="355">
        <f t="shared" ref="D9:G9" si="1">D8/D7</f>
        <v>0.5</v>
      </c>
      <c r="E9" s="355">
        <f t="shared" si="1"/>
        <v>0.66</v>
      </c>
      <c r="F9" s="355">
        <f t="shared" si="1"/>
        <v>0.5</v>
      </c>
      <c r="G9" s="355">
        <f t="shared" si="1"/>
        <v>0.49186256781193488</v>
      </c>
      <c r="H9" s="342"/>
      <c r="K9" s="128" t="s">
        <v>306</v>
      </c>
      <c r="L9">
        <f>AVERAGE(L5:L7)</f>
        <v>933.99666666666656</v>
      </c>
      <c r="M9">
        <f>AVERAGE(M5:M7)</f>
        <v>734.99</v>
      </c>
      <c r="N9">
        <f>AVERAGE(N5:N7)</f>
        <v>897.66</v>
      </c>
      <c r="O9" s="114">
        <f>AVERAGE(O5:O7)</f>
        <v>749.495</v>
      </c>
    </row>
    <row r="10" spans="2:21" x14ac:dyDescent="0.2">
      <c r="B10" s="354"/>
      <c r="C10" s="4"/>
      <c r="D10" s="4"/>
      <c r="E10" s="4"/>
      <c r="F10" s="4"/>
      <c r="G10" s="4"/>
      <c r="H10" s="342"/>
      <c r="K10" s="128" t="s">
        <v>307</v>
      </c>
      <c r="L10">
        <f>L9*(1.3)</f>
        <v>1214.1956666666665</v>
      </c>
      <c r="M10">
        <f>M9*(1.3)</f>
        <v>955.48700000000008</v>
      </c>
      <c r="N10">
        <f>N9*(1.3)</f>
        <v>1166.9580000000001</v>
      </c>
      <c r="O10" s="114">
        <f>O9*(1.3)</f>
        <v>974.34350000000006</v>
      </c>
      <c r="R10" s="107"/>
      <c r="S10" s="547" t="s">
        <v>305</v>
      </c>
      <c r="T10" s="547" t="s">
        <v>308</v>
      </c>
      <c r="U10" s="109" t="s">
        <v>309</v>
      </c>
    </row>
    <row r="11" spans="2:21" x14ac:dyDescent="0.2">
      <c r="K11" s="128" t="s">
        <v>310</v>
      </c>
      <c r="L11">
        <f>L9*0.7</f>
        <v>653.7976666666666</v>
      </c>
      <c r="M11">
        <f>M9*0.7</f>
        <v>514.49299999999994</v>
      </c>
      <c r="N11">
        <f>N9*0.7</f>
        <v>628.36199999999997</v>
      </c>
      <c r="O11" s="114">
        <f>O9*0.7</f>
        <v>524.64649999999995</v>
      </c>
      <c r="R11" s="586" t="s">
        <v>257</v>
      </c>
      <c r="S11" s="544">
        <v>0.33</v>
      </c>
      <c r="T11" s="545">
        <v>0.6</v>
      </c>
      <c r="U11" s="536">
        <f>-14.133*T11^4+28.203*T11^3-17.515*T11^2+2.9985*T11+0.704</f>
        <v>0.45791119999999985</v>
      </c>
    </row>
    <row r="12" spans="2:21" x14ac:dyDescent="0.2">
      <c r="K12" s="128" t="s">
        <v>311</v>
      </c>
      <c r="L12">
        <f>(L4-L10)/L10</f>
        <v>0.23456213949042276</v>
      </c>
      <c r="M12">
        <f>(M4-M10)/M10</f>
        <v>0.46417481347208273</v>
      </c>
      <c r="N12">
        <f>(N4-N10)/N10</f>
        <v>0.19884348879736879</v>
      </c>
      <c r="O12" s="114">
        <f>(O4-O10)/O10</f>
        <v>0.53847180178243081</v>
      </c>
      <c r="R12" s="584"/>
      <c r="S12" s="544">
        <v>0.5</v>
      </c>
      <c r="T12" s="545">
        <v>0.9</v>
      </c>
      <c r="U12" s="536">
        <f t="shared" ref="U12:U46" si="2">-14.133*T12^4+28.203*T12^3-17.515*T12^2+2.9985*T12+0.704</f>
        <v>0.50282570000000137</v>
      </c>
    </row>
    <row r="13" spans="2:21" x14ac:dyDescent="0.2">
      <c r="K13" s="128" t="s">
        <v>312</v>
      </c>
      <c r="L13" s="539">
        <f>(L4-L9)/L9</f>
        <v>0.60493078133754963</v>
      </c>
      <c r="M13" s="539">
        <f>(M4-M9)/M9</f>
        <v>0.90342725751370767</v>
      </c>
      <c r="N13" s="539">
        <f>(N4-N9)/N9</f>
        <v>0.55849653543657962</v>
      </c>
      <c r="O13" s="536">
        <f>(O4-O9)/O9</f>
        <v>1.0000133423171602</v>
      </c>
      <c r="R13" s="584"/>
      <c r="S13" s="544">
        <v>0.66</v>
      </c>
      <c r="T13" s="545">
        <v>0.56000000000000005</v>
      </c>
      <c r="U13" s="536">
        <f t="shared" si="2"/>
        <v>0.45344472832000093</v>
      </c>
    </row>
    <row r="14" spans="2:21" x14ac:dyDescent="0.2">
      <c r="K14" s="128"/>
      <c r="O14" s="114"/>
      <c r="P14" t="s">
        <v>313</v>
      </c>
      <c r="R14" s="584"/>
      <c r="S14" s="544">
        <v>0.5</v>
      </c>
      <c r="T14" s="545">
        <v>0.56000000000000005</v>
      </c>
      <c r="U14" s="536">
        <f t="shared" si="2"/>
        <v>0.45344472832000093</v>
      </c>
    </row>
    <row r="15" spans="2:21" ht="17" thickBot="1" x14ac:dyDescent="0.25">
      <c r="K15" s="117" t="s">
        <v>314</v>
      </c>
      <c r="L15" s="129"/>
      <c r="M15" s="129"/>
      <c r="N15" s="129"/>
      <c r="O15" s="131"/>
      <c r="R15" s="584" t="s">
        <v>266</v>
      </c>
      <c r="S15" s="544">
        <v>0.51</v>
      </c>
      <c r="T15" s="546">
        <v>0.36</v>
      </c>
      <c r="U15" s="536">
        <f t="shared" si="2"/>
        <v>0.59197503872000001</v>
      </c>
    </row>
    <row r="16" spans="2:21" x14ac:dyDescent="0.2">
      <c r="R16" s="584"/>
      <c r="S16" s="544">
        <v>0.26</v>
      </c>
      <c r="T16" s="546">
        <v>0.39</v>
      </c>
      <c r="U16" s="536">
        <f t="shared" si="2"/>
        <v>0.55539864046999998</v>
      </c>
    </row>
    <row r="17" spans="2:21" ht="17" thickBot="1" x14ac:dyDescent="0.25">
      <c r="R17" s="584"/>
      <c r="S17" s="544">
        <v>0.61</v>
      </c>
      <c r="T17" s="546">
        <v>0.37</v>
      </c>
      <c r="U17" s="536">
        <f t="shared" si="2"/>
        <v>0.57933288487000012</v>
      </c>
    </row>
    <row r="18" spans="2:21" ht="17" thickBot="1" x14ac:dyDescent="0.25">
      <c r="K18" s="107"/>
      <c r="L18" s="542">
        <v>1</v>
      </c>
      <c r="M18" s="542">
        <v>2</v>
      </c>
      <c r="N18" s="542">
        <v>3</v>
      </c>
      <c r="O18" s="543">
        <v>4</v>
      </c>
      <c r="R18" s="584"/>
      <c r="S18" s="544">
        <v>0.61</v>
      </c>
      <c r="T18" s="546">
        <v>0.36</v>
      </c>
      <c r="U18" s="536">
        <f t="shared" si="2"/>
        <v>0.59197503872000001</v>
      </c>
    </row>
    <row r="19" spans="2:21" x14ac:dyDescent="0.2">
      <c r="B19" s="107" t="s">
        <v>315</v>
      </c>
      <c r="C19" s="108">
        <v>1344</v>
      </c>
      <c r="D19" s="108">
        <v>912</v>
      </c>
      <c r="E19" s="108">
        <v>1008</v>
      </c>
      <c r="F19" s="108">
        <v>1536</v>
      </c>
      <c r="G19" s="108">
        <f>SUM(C19:F19)</f>
        <v>4800</v>
      </c>
      <c r="H19" s="109"/>
      <c r="K19" s="128" t="s">
        <v>265</v>
      </c>
      <c r="O19" s="114"/>
      <c r="R19" s="584" t="s">
        <v>267</v>
      </c>
      <c r="S19" s="544">
        <v>0.91</v>
      </c>
      <c r="T19" s="546">
        <v>0.23</v>
      </c>
      <c r="U19" s="536">
        <f t="shared" si="2"/>
        <v>0.77070747246999993</v>
      </c>
    </row>
    <row r="20" spans="2:21" ht="17" thickBot="1" x14ac:dyDescent="0.25">
      <c r="B20" s="128" t="s">
        <v>316</v>
      </c>
      <c r="C20">
        <v>112</v>
      </c>
      <c r="D20">
        <v>300</v>
      </c>
      <c r="E20">
        <v>400</v>
      </c>
      <c r="F20">
        <v>900</v>
      </c>
      <c r="G20">
        <f>112+300+400+900</f>
        <v>1712</v>
      </c>
      <c r="H20" s="114"/>
      <c r="K20" s="117" t="s">
        <v>283</v>
      </c>
      <c r="L20" s="129">
        <v>1699</v>
      </c>
      <c r="M20" s="129">
        <v>1699</v>
      </c>
      <c r="N20" s="129">
        <v>1649</v>
      </c>
      <c r="O20" s="131">
        <v>1699</v>
      </c>
      <c r="R20" s="584"/>
      <c r="S20" s="544">
        <v>0.93</v>
      </c>
      <c r="T20" s="546">
        <v>0.04</v>
      </c>
      <c r="U20" s="536">
        <f t="shared" si="2"/>
        <v>0.79768481151999993</v>
      </c>
    </row>
    <row r="21" spans="2:21" x14ac:dyDescent="0.2">
      <c r="B21" s="128" t="s">
        <v>304</v>
      </c>
      <c r="C21">
        <v>99</v>
      </c>
      <c r="D21">
        <v>216</v>
      </c>
      <c r="E21">
        <v>207</v>
      </c>
      <c r="F21">
        <v>616</v>
      </c>
      <c r="G21">
        <v>1138</v>
      </c>
      <c r="H21" s="536">
        <f>G21/G20</f>
        <v>0.66471962616822433</v>
      </c>
      <c r="R21" s="584"/>
      <c r="S21" s="544">
        <v>0.73</v>
      </c>
      <c r="T21" s="546">
        <v>0.25</v>
      </c>
      <c r="U21" s="536">
        <f t="shared" si="2"/>
        <v>0.74440234374999992</v>
      </c>
    </row>
    <row r="22" spans="2:21" ht="17" thickBot="1" x14ac:dyDescent="0.25">
      <c r="B22" s="354" t="s">
        <v>305</v>
      </c>
      <c r="C22" s="540">
        <f>C21/C20</f>
        <v>0.8839285714285714</v>
      </c>
      <c r="D22" s="540">
        <f t="shared" ref="D22:G22" si="3">D21/D20</f>
        <v>0.72</v>
      </c>
      <c r="E22" s="540">
        <f t="shared" si="3"/>
        <v>0.51749999999999996</v>
      </c>
      <c r="F22" s="540">
        <f t="shared" si="3"/>
        <v>0.68444444444444441</v>
      </c>
      <c r="G22" s="540">
        <f t="shared" si="3"/>
        <v>0.66471962616822433</v>
      </c>
      <c r="H22" s="131"/>
      <c r="R22" s="584"/>
      <c r="S22" s="544">
        <v>0.98</v>
      </c>
      <c r="T22" s="546">
        <v>0.21</v>
      </c>
      <c r="U22" s="536">
        <f t="shared" si="2"/>
        <v>0.79497548326999989</v>
      </c>
    </row>
    <row r="23" spans="2:21" ht="17" thickBot="1" x14ac:dyDescent="0.25">
      <c r="B23" s="107" t="s">
        <v>317</v>
      </c>
      <c r="C23" s="108">
        <v>1142</v>
      </c>
      <c r="D23" s="108">
        <v>775</v>
      </c>
      <c r="E23" s="108">
        <v>857</v>
      </c>
      <c r="F23" s="108">
        <v>1306</v>
      </c>
      <c r="G23" s="108">
        <f>SUM(C23:F23)</f>
        <v>4080</v>
      </c>
      <c r="H23" s="109"/>
      <c r="K23" s="107"/>
      <c r="L23" s="108">
        <v>1</v>
      </c>
      <c r="M23" s="108">
        <v>2</v>
      </c>
      <c r="N23" s="108">
        <v>3</v>
      </c>
      <c r="O23" s="109">
        <v>4</v>
      </c>
      <c r="R23" s="584" t="s">
        <v>268</v>
      </c>
      <c r="S23" s="544">
        <v>0.92</v>
      </c>
      <c r="T23" s="546">
        <v>0.22</v>
      </c>
      <c r="U23" s="536">
        <f t="shared" si="2"/>
        <v>0.78314214351999989</v>
      </c>
    </row>
    <row r="24" spans="2:21" ht="17" thickBot="1" x14ac:dyDescent="0.25">
      <c r="B24" s="128" t="s">
        <v>303</v>
      </c>
      <c r="C24" s="129">
        <v>414</v>
      </c>
      <c r="D24" s="129">
        <v>300</v>
      </c>
      <c r="E24" s="129">
        <v>200</v>
      </c>
      <c r="F24" s="129">
        <v>800</v>
      </c>
      <c r="G24" s="108">
        <f t="shared" ref="G24:G25" si="4">SUM(C24:F24)</f>
        <v>1714</v>
      </c>
      <c r="H24" s="537">
        <v>0.52</v>
      </c>
      <c r="K24" s="128" t="s">
        <v>266</v>
      </c>
      <c r="O24" s="114"/>
      <c r="R24" s="584"/>
      <c r="S24" s="544">
        <v>0.92</v>
      </c>
      <c r="T24" s="546">
        <v>0.04</v>
      </c>
      <c r="U24" s="536">
        <f t="shared" si="2"/>
        <v>0.79768481151999993</v>
      </c>
    </row>
    <row r="25" spans="2:21" ht="17" thickBot="1" x14ac:dyDescent="0.25">
      <c r="B25" s="117" t="s">
        <v>304</v>
      </c>
      <c r="C25">
        <v>210</v>
      </c>
      <c r="D25">
        <v>79</v>
      </c>
      <c r="E25">
        <v>121</v>
      </c>
      <c r="F25">
        <v>485</v>
      </c>
      <c r="G25" s="108">
        <f t="shared" si="4"/>
        <v>895</v>
      </c>
      <c r="K25" s="128" t="s">
        <v>283</v>
      </c>
      <c r="L25">
        <v>1890</v>
      </c>
      <c r="M25">
        <v>1890</v>
      </c>
      <c r="N25">
        <v>1845</v>
      </c>
      <c r="O25" s="114">
        <v>1890</v>
      </c>
      <c r="R25" s="584"/>
      <c r="S25" s="544">
        <v>0.46</v>
      </c>
      <c r="T25" s="546">
        <v>0.23</v>
      </c>
      <c r="U25" s="536">
        <f t="shared" si="2"/>
        <v>0.77070747246999993</v>
      </c>
    </row>
    <row r="26" spans="2:21" x14ac:dyDescent="0.2">
      <c r="B26" s="354" t="s">
        <v>305</v>
      </c>
      <c r="C26" s="135">
        <f>C25/C24</f>
        <v>0.50724637681159424</v>
      </c>
      <c r="D26" s="135">
        <f t="shared" ref="D26:G26" si="5">D25/D24</f>
        <v>0.26333333333333331</v>
      </c>
      <c r="E26" s="135">
        <f t="shared" si="5"/>
        <v>0.60499999999999998</v>
      </c>
      <c r="F26" s="135">
        <f t="shared" si="5"/>
        <v>0.60624999999999996</v>
      </c>
      <c r="G26" s="135">
        <f t="shared" si="5"/>
        <v>0.52217036172695452</v>
      </c>
      <c r="K26" s="128" t="s">
        <v>281</v>
      </c>
      <c r="L26">
        <v>1179.98</v>
      </c>
      <c r="M26">
        <v>1179.98</v>
      </c>
      <c r="N26">
        <v>1149.98</v>
      </c>
      <c r="O26" s="114">
        <v>1189.98</v>
      </c>
      <c r="R26" s="584"/>
      <c r="S26" s="544">
        <v>0.92</v>
      </c>
      <c r="T26" s="546">
        <v>0.2</v>
      </c>
      <c r="U26" s="536">
        <f t="shared" si="2"/>
        <v>0.80611119999999992</v>
      </c>
    </row>
    <row r="27" spans="2:21" ht="17" thickBot="1" x14ac:dyDescent="0.25">
      <c r="K27" s="128" t="s">
        <v>302</v>
      </c>
      <c r="L27">
        <v>1550</v>
      </c>
      <c r="M27">
        <v>1499</v>
      </c>
      <c r="N27">
        <v>1499</v>
      </c>
      <c r="O27" s="114">
        <v>1550</v>
      </c>
      <c r="R27" s="584" t="s">
        <v>269</v>
      </c>
      <c r="S27" s="544">
        <v>0.82</v>
      </c>
      <c r="T27" s="546">
        <v>0.25</v>
      </c>
      <c r="U27" s="536">
        <f t="shared" si="2"/>
        <v>0.74440234374999992</v>
      </c>
    </row>
    <row r="28" spans="2:21" ht="17" thickBot="1" x14ac:dyDescent="0.25">
      <c r="I28" s="109"/>
      <c r="K28" s="128" t="s">
        <v>287</v>
      </c>
      <c r="L28">
        <v>1429</v>
      </c>
      <c r="M28">
        <v>1399</v>
      </c>
      <c r="N28">
        <v>1379</v>
      </c>
      <c r="O28" s="114">
        <v>1423.99</v>
      </c>
      <c r="R28" s="584"/>
      <c r="S28" s="544">
        <v>0.85</v>
      </c>
      <c r="T28" s="546">
        <v>0.06</v>
      </c>
      <c r="U28" s="536">
        <f t="shared" si="2"/>
        <v>0.82676468431999994</v>
      </c>
    </row>
    <row r="29" spans="2:21" x14ac:dyDescent="0.2">
      <c r="B29" s="107" t="s">
        <v>318</v>
      </c>
      <c r="C29" s="108"/>
      <c r="D29" s="108"/>
      <c r="E29" s="108"/>
      <c r="F29" s="108"/>
      <c r="G29" s="108"/>
      <c r="H29" s="108"/>
      <c r="I29" s="114"/>
      <c r="K29" s="128"/>
      <c r="O29" s="114"/>
      <c r="R29" s="584"/>
      <c r="S29" s="544">
        <v>0.91</v>
      </c>
      <c r="T29" s="546">
        <v>0.25</v>
      </c>
      <c r="U29" s="536">
        <f t="shared" si="2"/>
        <v>0.74440234374999992</v>
      </c>
    </row>
    <row r="30" spans="2:21" ht="17" thickBot="1" x14ac:dyDescent="0.25">
      <c r="B30" s="128"/>
      <c r="I30" s="538"/>
      <c r="K30" s="128" t="s">
        <v>306</v>
      </c>
      <c r="L30">
        <f>AVERAGE(L26:L28)</f>
        <v>1386.3266666666666</v>
      </c>
      <c r="M30">
        <f t="shared" ref="M30:O30" si="6">AVERAGE(M26:M28)</f>
        <v>1359.3266666666666</v>
      </c>
      <c r="N30">
        <f t="shared" si="6"/>
        <v>1342.66</v>
      </c>
      <c r="O30">
        <f t="shared" si="6"/>
        <v>1387.99</v>
      </c>
      <c r="R30" s="584"/>
      <c r="S30" s="544">
        <v>0.92</v>
      </c>
      <c r="T30" s="546">
        <v>0.23</v>
      </c>
      <c r="U30" s="536">
        <f t="shared" si="2"/>
        <v>0.77070747246999993</v>
      </c>
    </row>
    <row r="31" spans="2:21" ht="17" thickBot="1" x14ac:dyDescent="0.25">
      <c r="B31" s="117" t="s">
        <v>319</v>
      </c>
      <c r="C31" s="129"/>
      <c r="D31" s="129"/>
      <c r="E31" s="129"/>
      <c r="F31" s="129"/>
      <c r="G31" s="129"/>
      <c r="H31" s="129"/>
      <c r="K31" s="128" t="s">
        <v>307</v>
      </c>
      <c r="L31">
        <f>L30*(1.3)</f>
        <v>1802.2246666666667</v>
      </c>
      <c r="M31">
        <f>M30*(1.3)</f>
        <v>1767.1246666666666</v>
      </c>
      <c r="N31">
        <f>N30*(1.3)</f>
        <v>1745.4580000000001</v>
      </c>
      <c r="O31" s="114">
        <f>O30*(1.3)</f>
        <v>1804.3870000000002</v>
      </c>
      <c r="R31" s="584" t="s">
        <v>270</v>
      </c>
      <c r="S31" s="544">
        <v>0.68</v>
      </c>
      <c r="T31" s="546">
        <v>0.28000000000000003</v>
      </c>
      <c r="U31" s="536">
        <f t="shared" si="2"/>
        <v>0.70264692352000002</v>
      </c>
    </row>
    <row r="32" spans="2:21" x14ac:dyDescent="0.2">
      <c r="K32" s="128" t="s">
        <v>310</v>
      </c>
      <c r="L32">
        <f>L30*0.7</f>
        <v>970.42866666666657</v>
      </c>
      <c r="M32">
        <f>M30*0.7</f>
        <v>951.5286666666666</v>
      </c>
      <c r="N32">
        <f>N30*0.7</f>
        <v>939.86199999999997</v>
      </c>
      <c r="O32" s="114">
        <f>O30*0.7</f>
        <v>971.59299999999996</v>
      </c>
      <c r="R32" s="584"/>
      <c r="S32" s="544">
        <v>0.51</v>
      </c>
      <c r="T32" s="546">
        <v>0.09</v>
      </c>
      <c r="U32" s="536">
        <f t="shared" si="2"/>
        <v>0.85162622086999995</v>
      </c>
    </row>
    <row r="33" spans="2:25" ht="17" thickBot="1" x14ac:dyDescent="0.25">
      <c r="K33" s="128" t="s">
        <v>311</v>
      </c>
      <c r="L33" s="539">
        <f>(L25-L31)/L31</f>
        <v>4.870387968647634E-2</v>
      </c>
      <c r="M33" s="539">
        <f>(M25-M31)/M31</f>
        <v>6.9534049097460429E-2</v>
      </c>
      <c r="N33" s="539">
        <f>(N25-N31)/N31</f>
        <v>5.7029157963124813E-2</v>
      </c>
      <c r="O33" s="536">
        <f>(O25-O31)/O31</f>
        <v>4.7447138557304959E-2</v>
      </c>
      <c r="R33" s="584"/>
      <c r="S33" s="544">
        <v>0.63</v>
      </c>
      <c r="T33" s="546">
        <v>0.3</v>
      </c>
      <c r="U33" s="536">
        <f t="shared" si="2"/>
        <v>0.67420369999999996</v>
      </c>
    </row>
    <row r="34" spans="2:25" ht="17" thickBot="1" x14ac:dyDescent="0.25">
      <c r="K34" s="117" t="s">
        <v>312</v>
      </c>
      <c r="L34" s="540">
        <f>(L25-L30)/L30</f>
        <v>0.36331504359241934</v>
      </c>
      <c r="M34" s="540">
        <f>(M25-M30)/M30</f>
        <v>0.39039426382669856</v>
      </c>
      <c r="N34" s="540">
        <f>(N25-N30)/N30</f>
        <v>0.37413790535206226</v>
      </c>
      <c r="O34" s="538">
        <f>(O25-O30)/O30</f>
        <v>0.36168128012449657</v>
      </c>
      <c r="R34" s="584"/>
      <c r="S34" s="544">
        <v>0.64</v>
      </c>
      <c r="T34" s="546">
        <v>0.27</v>
      </c>
      <c r="U34" s="536">
        <f t="shared" si="2"/>
        <v>0.71676259246999985</v>
      </c>
      <c r="W34" s="548" t="s">
        <v>320</v>
      </c>
      <c r="X34" s="108"/>
      <c r="Y34" s="109"/>
    </row>
    <row r="35" spans="2:25" x14ac:dyDescent="0.2">
      <c r="R35" s="584" t="s">
        <v>271</v>
      </c>
      <c r="S35" s="544">
        <v>0.78</v>
      </c>
      <c r="T35" s="546">
        <v>0.14000000000000001</v>
      </c>
      <c r="U35" s="536">
        <f t="shared" si="2"/>
        <v>0.85245569872000004</v>
      </c>
      <c r="W35" s="549"/>
      <c r="X35" s="381" t="s">
        <v>321</v>
      </c>
      <c r="Y35" s="114"/>
    </row>
    <row r="36" spans="2:25" x14ac:dyDescent="0.2">
      <c r="L36" t="s">
        <v>322</v>
      </c>
      <c r="R36" s="584"/>
      <c r="S36" s="544">
        <v>0.81</v>
      </c>
      <c r="T36" s="546">
        <v>0.08</v>
      </c>
      <c r="U36" s="536">
        <f t="shared" si="2"/>
        <v>0.84564504831999998</v>
      </c>
      <c r="W36" s="549" t="s">
        <v>323</v>
      </c>
      <c r="X36" s="539">
        <v>0.11516997991977806</v>
      </c>
      <c r="Y36" s="114"/>
    </row>
    <row r="37" spans="2:25" x14ac:dyDescent="0.2">
      <c r="R37" s="584"/>
      <c r="S37" s="544">
        <v>0.81</v>
      </c>
      <c r="T37" s="546">
        <v>0.17</v>
      </c>
      <c r="U37" s="536">
        <f t="shared" si="2"/>
        <v>0.83431881606999991</v>
      </c>
      <c r="W37" s="549"/>
      <c r="Y37" s="114"/>
    </row>
    <row r="38" spans="2:25" ht="17" thickBot="1" x14ac:dyDescent="0.25">
      <c r="R38" s="584"/>
      <c r="S38" s="544">
        <v>0.77</v>
      </c>
      <c r="T38" s="546">
        <v>0.14000000000000001</v>
      </c>
      <c r="U38" s="536">
        <f t="shared" si="2"/>
        <v>0.85245569872000004</v>
      </c>
      <c r="W38" s="549"/>
      <c r="Y38" s="114"/>
    </row>
    <row r="39" spans="2:25" ht="17" thickBot="1" x14ac:dyDescent="0.25">
      <c r="K39" s="107"/>
      <c r="L39" s="108">
        <v>1</v>
      </c>
      <c r="M39" s="108">
        <v>2</v>
      </c>
      <c r="N39" s="108">
        <v>3</v>
      </c>
      <c r="O39" s="109">
        <v>4</v>
      </c>
      <c r="R39" s="585" t="s">
        <v>273</v>
      </c>
      <c r="S39" s="544">
        <v>0.79</v>
      </c>
      <c r="T39" s="546">
        <v>0.2</v>
      </c>
      <c r="U39" s="536">
        <f t="shared" si="2"/>
        <v>0.80611119999999992</v>
      </c>
      <c r="W39" s="550" t="s">
        <v>324</v>
      </c>
      <c r="X39" s="129"/>
      <c r="Y39" s="131">
        <f>-14.133*X36^4+28.203*X36^3-17.515*X36^2+2.9985*X36+0.704</f>
        <v>0.85761324920930715</v>
      </c>
    </row>
    <row r="40" spans="2:25" x14ac:dyDescent="0.2">
      <c r="K40" s="128" t="s">
        <v>267</v>
      </c>
      <c r="O40" s="114"/>
      <c r="R40" s="585"/>
      <c r="S40" s="544">
        <v>0.84</v>
      </c>
      <c r="T40" s="546">
        <v>0.1</v>
      </c>
      <c r="U40" s="536">
        <f t="shared" si="2"/>
        <v>0.85548969999999991</v>
      </c>
    </row>
    <row r="41" spans="2:25" x14ac:dyDescent="0.2">
      <c r="K41" s="128" t="s">
        <v>283</v>
      </c>
      <c r="L41">
        <v>2450</v>
      </c>
      <c r="M41">
        <v>1899</v>
      </c>
      <c r="N41">
        <v>2450</v>
      </c>
      <c r="O41" s="114">
        <v>2450</v>
      </c>
      <c r="R41" s="585"/>
      <c r="S41" s="544">
        <v>0.84</v>
      </c>
      <c r="T41" s="546">
        <v>0.22</v>
      </c>
      <c r="U41" s="536">
        <f t="shared" si="2"/>
        <v>0.78314214351999989</v>
      </c>
    </row>
    <row r="42" spans="2:25" ht="17" thickBot="1" x14ac:dyDescent="0.25">
      <c r="K42" s="128" t="s">
        <v>281</v>
      </c>
      <c r="L42">
        <v>1500</v>
      </c>
      <c r="M42">
        <v>1450</v>
      </c>
      <c r="N42">
        <v>1500</v>
      </c>
      <c r="O42" s="114">
        <v>1600</v>
      </c>
      <c r="R42" s="585"/>
      <c r="S42" s="544">
        <v>0.82</v>
      </c>
      <c r="T42" s="546">
        <v>0.14000000000000001</v>
      </c>
      <c r="U42" s="536">
        <f t="shared" si="2"/>
        <v>0.85245569872000004</v>
      </c>
    </row>
    <row r="43" spans="2:25" x14ac:dyDescent="0.2">
      <c r="B43" s="107" t="s">
        <v>325</v>
      </c>
      <c r="C43" s="108">
        <v>941</v>
      </c>
      <c r="D43" s="108">
        <v>638</v>
      </c>
      <c r="E43" s="108">
        <v>706</v>
      </c>
      <c r="F43" s="108">
        <v>1075</v>
      </c>
      <c r="G43" s="108">
        <f>SUM(C43:F43)</f>
        <v>3360</v>
      </c>
      <c r="H43" s="109"/>
      <c r="K43" s="128" t="s">
        <v>302</v>
      </c>
      <c r="L43">
        <v>2099</v>
      </c>
      <c r="M43">
        <v>1999</v>
      </c>
      <c r="N43">
        <v>1999</v>
      </c>
      <c r="O43" s="114">
        <v>2099</v>
      </c>
      <c r="R43" s="584" t="s">
        <v>274</v>
      </c>
      <c r="S43" s="545">
        <v>0.86</v>
      </c>
      <c r="T43" s="545">
        <v>0.2</v>
      </c>
      <c r="U43" s="536">
        <f t="shared" si="2"/>
        <v>0.80611119999999992</v>
      </c>
      <c r="V43" s="135"/>
    </row>
    <row r="44" spans="2:25" x14ac:dyDescent="0.2">
      <c r="B44" s="128" t="s">
        <v>303</v>
      </c>
      <c r="C44">
        <v>320</v>
      </c>
      <c r="D44">
        <v>320</v>
      </c>
      <c r="E44">
        <v>160</v>
      </c>
      <c r="F44">
        <v>800</v>
      </c>
      <c r="G44">
        <f>SUM(C44:F44)</f>
        <v>1600</v>
      </c>
      <c r="H44" s="114"/>
      <c r="K44" s="128" t="s">
        <v>287</v>
      </c>
      <c r="L44">
        <v>1949.99</v>
      </c>
      <c r="M44">
        <v>1949.99</v>
      </c>
      <c r="N44">
        <v>1899.99</v>
      </c>
      <c r="O44" s="114">
        <v>1949.99</v>
      </c>
      <c r="R44" s="584"/>
      <c r="S44" s="544">
        <v>0.79</v>
      </c>
      <c r="T44" s="545">
        <v>0.1</v>
      </c>
      <c r="U44" s="536">
        <f t="shared" si="2"/>
        <v>0.85548969999999991</v>
      </c>
    </row>
    <row r="45" spans="2:25" x14ac:dyDescent="0.2">
      <c r="B45" s="128" t="s">
        <v>326</v>
      </c>
      <c r="C45">
        <v>7</v>
      </c>
      <c r="D45">
        <v>7</v>
      </c>
      <c r="E45">
        <v>1</v>
      </c>
      <c r="F45">
        <v>7</v>
      </c>
      <c r="H45" s="114"/>
      <c r="K45" s="128"/>
      <c r="O45" s="114"/>
      <c r="R45" s="584"/>
      <c r="S45" s="544">
        <v>0.85</v>
      </c>
      <c r="T45" s="545">
        <v>0.12</v>
      </c>
      <c r="U45" s="536">
        <f t="shared" si="2"/>
        <v>0.85740816511999995</v>
      </c>
    </row>
    <row r="46" spans="2:25" ht="17" thickBot="1" x14ac:dyDescent="0.25">
      <c r="B46" s="117" t="s">
        <v>304</v>
      </c>
      <c r="C46" s="129">
        <v>292</v>
      </c>
      <c r="D46" s="129">
        <v>297</v>
      </c>
      <c r="E46" s="129">
        <v>117</v>
      </c>
      <c r="F46" s="129">
        <v>785</v>
      </c>
      <c r="G46" s="129">
        <f>SUM(C46:F46)</f>
        <v>1491</v>
      </c>
      <c r="H46" s="538">
        <f>G46/G44</f>
        <v>0.93187500000000001</v>
      </c>
      <c r="K46" s="128" t="s">
        <v>306</v>
      </c>
      <c r="L46">
        <f>AVERAGE(L41:L44)</f>
        <v>1999.7474999999999</v>
      </c>
      <c r="M46">
        <f>AVERAGE(M41:M44)</f>
        <v>1824.4974999999999</v>
      </c>
      <c r="N46">
        <f>AVERAGE(N41:N44)</f>
        <v>1962.2474999999999</v>
      </c>
      <c r="O46" s="114">
        <f>AVERAGE(O41:O44)</f>
        <v>2024.7474999999999</v>
      </c>
      <c r="R46" s="584"/>
      <c r="S46" s="544">
        <v>0.83</v>
      </c>
      <c r="T46" s="545">
        <v>0.19</v>
      </c>
      <c r="U46" s="536">
        <f t="shared" si="2"/>
        <v>0.81644961006999994</v>
      </c>
    </row>
    <row r="47" spans="2:25" x14ac:dyDescent="0.2">
      <c r="B47" t="s">
        <v>327</v>
      </c>
      <c r="C47" s="135">
        <f>C46/C44</f>
        <v>0.91249999999999998</v>
      </c>
      <c r="D47" s="135">
        <f t="shared" ref="D47:F47" si="7">D46/D44</f>
        <v>0.92812499999999998</v>
      </c>
      <c r="E47" s="135">
        <f t="shared" si="7"/>
        <v>0.73124999999999996</v>
      </c>
      <c r="F47" s="135">
        <f t="shared" si="7"/>
        <v>0.98124999999999996</v>
      </c>
      <c r="K47" s="128" t="s">
        <v>307</v>
      </c>
      <c r="L47">
        <f>L46*(1.3)</f>
        <v>2599.67175</v>
      </c>
      <c r="M47">
        <f>M46*(1.3)</f>
        <v>2371.8467500000002</v>
      </c>
      <c r="N47">
        <f>N46*(1.3)</f>
        <v>2550.92175</v>
      </c>
      <c r="O47" s="114">
        <f>O46*(1.3)</f>
        <v>2632.17175</v>
      </c>
      <c r="R47" s="60"/>
      <c r="S47" s="60"/>
      <c r="T47" s="60"/>
      <c r="U47" s="60"/>
    </row>
    <row r="48" spans="2:25" x14ac:dyDescent="0.2">
      <c r="K48" s="128" t="s">
        <v>310</v>
      </c>
      <c r="L48">
        <f>L46*0.7</f>
        <v>1399.8232499999999</v>
      </c>
      <c r="M48">
        <f>M46*0.7</f>
        <v>1277.14825</v>
      </c>
      <c r="N48">
        <f>N46*0.7</f>
        <v>1373.5732499999999</v>
      </c>
      <c r="O48" s="114">
        <f>O46*0.7</f>
        <v>1417.3232499999999</v>
      </c>
    </row>
    <row r="49" spans="2:18" x14ac:dyDescent="0.2">
      <c r="K49" s="128" t="s">
        <v>311</v>
      </c>
      <c r="L49" s="539">
        <f>(L41-L47)/L47</f>
        <v>-5.7573326324756181E-2</v>
      </c>
      <c r="M49" s="539">
        <f>(M41-M47)/M47</f>
        <v>-0.19935805296020923</v>
      </c>
      <c r="N49" s="539">
        <f>(N41-N47)/N47</f>
        <v>-3.9562856053895021E-2</v>
      </c>
      <c r="O49" s="536">
        <f>(O41-O47)/O47</f>
        <v>-6.9209674482677647E-2</v>
      </c>
    </row>
    <row r="50" spans="2:18" ht="17" thickBot="1" x14ac:dyDescent="0.25">
      <c r="K50" s="117" t="s">
        <v>312</v>
      </c>
      <c r="L50" s="540">
        <f>(L41-L46)/L46</f>
        <v>0.22515467577781698</v>
      </c>
      <c r="M50" s="540">
        <f>(M41-M46)/M46</f>
        <v>4.083453115172811E-2</v>
      </c>
      <c r="N50" s="540">
        <f>(N41-N46)/N46</f>
        <v>0.2485682871299365</v>
      </c>
      <c r="O50" s="538">
        <f>(O41-O46)/O46</f>
        <v>0.21002742317251907</v>
      </c>
    </row>
    <row r="52" spans="2:18" ht="119" x14ac:dyDescent="0.2">
      <c r="K52" s="541" t="s">
        <v>328</v>
      </c>
      <c r="R52" s="135"/>
    </row>
    <row r="53" spans="2:18" ht="17" thickBot="1" x14ac:dyDescent="0.25">
      <c r="R53" s="135"/>
    </row>
    <row r="54" spans="2:18" x14ac:dyDescent="0.2">
      <c r="K54" s="107"/>
      <c r="L54" s="108">
        <v>1</v>
      </c>
      <c r="M54" s="108">
        <v>2</v>
      </c>
      <c r="N54" s="108">
        <v>3</v>
      </c>
      <c r="O54" s="109">
        <v>4</v>
      </c>
      <c r="R54" s="135"/>
    </row>
    <row r="55" spans="2:18" ht="17" thickBot="1" x14ac:dyDescent="0.25">
      <c r="K55" s="128" t="s">
        <v>268</v>
      </c>
      <c r="O55" s="114"/>
      <c r="R55" s="135"/>
    </row>
    <row r="56" spans="2:18" x14ac:dyDescent="0.2">
      <c r="B56" s="107" t="s">
        <v>329</v>
      </c>
      <c r="C56" s="108">
        <v>1344</v>
      </c>
      <c r="D56" s="108">
        <v>912</v>
      </c>
      <c r="E56" s="108">
        <v>1008</v>
      </c>
      <c r="F56" s="108">
        <v>1536</v>
      </c>
      <c r="G56" s="108">
        <f>SUM(C56:F56)</f>
        <v>4800</v>
      </c>
      <c r="H56" s="109"/>
      <c r="K56" s="128" t="s">
        <v>283</v>
      </c>
      <c r="L56">
        <v>2799</v>
      </c>
      <c r="M56">
        <v>2199</v>
      </c>
      <c r="N56">
        <v>2799</v>
      </c>
      <c r="O56" s="114">
        <v>2799</v>
      </c>
    </row>
    <row r="57" spans="2:18" x14ac:dyDescent="0.2">
      <c r="B57" s="128" t="s">
        <v>330</v>
      </c>
      <c r="C57">
        <v>163</v>
      </c>
      <c r="D57">
        <v>327</v>
      </c>
      <c r="E57">
        <v>54</v>
      </c>
      <c r="F57">
        <v>545</v>
      </c>
      <c r="G57">
        <f>SUM(C57:F57)</f>
        <v>1089</v>
      </c>
      <c r="H57" s="114"/>
      <c r="K57" s="128" t="s">
        <v>281</v>
      </c>
      <c r="L57">
        <v>1999.98</v>
      </c>
      <c r="M57">
        <v>1949.98</v>
      </c>
      <c r="N57">
        <v>1999.98</v>
      </c>
      <c r="O57" s="114">
        <v>2099.98</v>
      </c>
    </row>
    <row r="58" spans="2:18" ht="17" thickBot="1" x14ac:dyDescent="0.25">
      <c r="B58" s="117" t="s">
        <v>304</v>
      </c>
      <c r="C58" s="129">
        <v>150</v>
      </c>
      <c r="D58" s="129">
        <v>301</v>
      </c>
      <c r="E58" s="129">
        <v>25</v>
      </c>
      <c r="F58" s="129">
        <v>501</v>
      </c>
      <c r="G58" s="129">
        <f>SUM(C58:F58)</f>
        <v>977</v>
      </c>
      <c r="H58" s="538">
        <f>G58/G57</f>
        <v>0.89715335169880628</v>
      </c>
      <c r="K58" s="128" t="s">
        <v>302</v>
      </c>
      <c r="L58">
        <v>2099.9899999999998</v>
      </c>
      <c r="M58">
        <v>1999</v>
      </c>
      <c r="N58">
        <v>1999.99</v>
      </c>
      <c r="O58" s="114">
        <v>2099.9899999999998</v>
      </c>
    </row>
    <row r="59" spans="2:18" ht="17" thickBot="1" x14ac:dyDescent="0.25">
      <c r="B59" s="117" t="s">
        <v>327</v>
      </c>
      <c r="C59" s="540">
        <f>C58/C57</f>
        <v>0.92024539877300615</v>
      </c>
      <c r="D59" s="540">
        <f t="shared" ref="D59:F59" si="8">D58/D57</f>
        <v>0.92048929663608559</v>
      </c>
      <c r="E59" s="540">
        <f t="shared" si="8"/>
        <v>0.46296296296296297</v>
      </c>
      <c r="F59" s="540">
        <f t="shared" si="8"/>
        <v>0.91926605504587156</v>
      </c>
      <c r="G59" s="129"/>
      <c r="H59" s="131"/>
      <c r="K59" s="128" t="s">
        <v>287</v>
      </c>
      <c r="L59">
        <v>2299.9899999999998</v>
      </c>
      <c r="M59">
        <v>2299.9899999999998</v>
      </c>
      <c r="N59">
        <v>2269.9899999999998</v>
      </c>
      <c r="O59" s="114">
        <v>2299.9899999999998</v>
      </c>
    </row>
    <row r="60" spans="2:18" x14ac:dyDescent="0.2">
      <c r="K60" s="128"/>
      <c r="O60" s="114"/>
    </row>
    <row r="61" spans="2:18" x14ac:dyDescent="0.2">
      <c r="K61" s="128" t="s">
        <v>306</v>
      </c>
      <c r="L61">
        <f>AVERAGE(L56:L59)</f>
        <v>2299.7399999999998</v>
      </c>
      <c r="M61">
        <f>AVERAGE(M56:M59)</f>
        <v>2111.9924999999998</v>
      </c>
      <c r="N61">
        <f>AVERAGE(N56:N59)</f>
        <v>2267.2399999999998</v>
      </c>
      <c r="O61" s="114">
        <f>AVERAGE(O56:O59)</f>
        <v>2324.7399999999998</v>
      </c>
    </row>
    <row r="62" spans="2:18" x14ac:dyDescent="0.2">
      <c r="K62" s="128" t="s">
        <v>307</v>
      </c>
      <c r="L62">
        <f>L61*(1.3)</f>
        <v>2989.6619999999998</v>
      </c>
      <c r="M62">
        <f>M61*(1.3)</f>
        <v>2745.5902499999997</v>
      </c>
      <c r="N62">
        <f>N61*(1.3)</f>
        <v>2947.4119999999998</v>
      </c>
      <c r="O62" s="114">
        <f>O61*(1.3)</f>
        <v>3022.1619999999998</v>
      </c>
    </row>
    <row r="63" spans="2:18" x14ac:dyDescent="0.2">
      <c r="K63" s="128" t="s">
        <v>310</v>
      </c>
      <c r="L63">
        <f>L61*0.7</f>
        <v>1609.8179999999998</v>
      </c>
      <c r="M63">
        <f>M61*0.7</f>
        <v>1478.3947499999997</v>
      </c>
      <c r="N63">
        <f>N61*0.7</f>
        <v>1587.0679999999998</v>
      </c>
      <c r="O63" s="114">
        <f>O61*0.7</f>
        <v>1627.3179999999998</v>
      </c>
    </row>
    <row r="64" spans="2:18" x14ac:dyDescent="0.2">
      <c r="K64" s="128" t="s">
        <v>311</v>
      </c>
      <c r="L64" s="539">
        <f>(L56-L62)/L62</f>
        <v>-6.3773764392095103E-2</v>
      </c>
      <c r="M64" s="539">
        <f>(M56-M62)/M62</f>
        <v>-0.1990793236536296</v>
      </c>
      <c r="N64" s="539">
        <f>(N56-N62)/N62</f>
        <v>-5.0353326918666209E-2</v>
      </c>
      <c r="O64" s="536">
        <f>(O56-O62)/O62</f>
        <v>-7.3841839054292854E-2</v>
      </c>
    </row>
    <row r="65" spans="2:15" ht="17" thickBot="1" x14ac:dyDescent="0.25">
      <c r="K65" s="117" t="s">
        <v>312</v>
      </c>
      <c r="L65" s="540">
        <f>(L56-L61)/L61</f>
        <v>0.2170941062902764</v>
      </c>
      <c r="M65" s="540">
        <f>(M56-M61)/M61</f>
        <v>4.119687925028151E-2</v>
      </c>
      <c r="N65" s="540">
        <f>(N56-N61)/N61</f>
        <v>0.23454067500573397</v>
      </c>
      <c r="O65" s="538">
        <f>(O56-O61)/O61</f>
        <v>0.20400560922941932</v>
      </c>
    </row>
    <row r="67" spans="2:15" ht="17" thickBot="1" x14ac:dyDescent="0.25"/>
    <row r="68" spans="2:15" x14ac:dyDescent="0.2">
      <c r="B68" s="107" t="s">
        <v>331</v>
      </c>
      <c r="C68" s="108">
        <v>1344</v>
      </c>
      <c r="D68" s="108">
        <v>912</v>
      </c>
      <c r="E68" s="108">
        <v>1008</v>
      </c>
      <c r="F68" s="108">
        <v>1536</v>
      </c>
      <c r="G68" s="108">
        <f>SUM(C68:F68)</f>
        <v>4800</v>
      </c>
      <c r="H68" s="109"/>
      <c r="K68" s="107"/>
      <c r="L68" s="108">
        <v>1</v>
      </c>
      <c r="M68" s="108">
        <v>2</v>
      </c>
      <c r="N68" s="108">
        <v>3</v>
      </c>
      <c r="O68" s="109">
        <v>4</v>
      </c>
    </row>
    <row r="69" spans="2:15" x14ac:dyDescent="0.2">
      <c r="B69" s="128" t="s">
        <v>316</v>
      </c>
      <c r="C69">
        <v>439</v>
      </c>
      <c r="D69">
        <v>249</v>
      </c>
      <c r="E69">
        <v>43</v>
      </c>
      <c r="F69">
        <v>732</v>
      </c>
      <c r="G69">
        <f>SUM(C69:F69)</f>
        <v>1463</v>
      </c>
      <c r="H69" s="114"/>
      <c r="K69" s="128" t="s">
        <v>269</v>
      </c>
      <c r="O69" s="114"/>
    </row>
    <row r="70" spans="2:15" x14ac:dyDescent="0.2">
      <c r="B70" s="128" t="s">
        <v>304</v>
      </c>
      <c r="C70">
        <v>359</v>
      </c>
      <c r="D70">
        <v>212</v>
      </c>
      <c r="E70">
        <v>39</v>
      </c>
      <c r="F70">
        <v>674</v>
      </c>
      <c r="G70">
        <f>SUM(C70:F70)</f>
        <v>1284</v>
      </c>
      <c r="H70" s="536">
        <f>G70/G69</f>
        <v>0.87764866712235134</v>
      </c>
      <c r="K70" s="128" t="s">
        <v>283</v>
      </c>
      <c r="L70">
        <v>2899</v>
      </c>
      <c r="M70">
        <v>2399</v>
      </c>
      <c r="N70">
        <v>2899</v>
      </c>
      <c r="O70" s="114">
        <v>2899</v>
      </c>
    </row>
    <row r="71" spans="2:15" ht="17" thickBot="1" x14ac:dyDescent="0.25">
      <c r="B71" s="117"/>
      <c r="C71" s="540">
        <f>C70/C69</f>
        <v>0.8177676537585421</v>
      </c>
      <c r="D71" s="540">
        <f t="shared" ref="D71:F71" si="9">D70/D69</f>
        <v>0.85140562248995988</v>
      </c>
      <c r="E71" s="540">
        <f t="shared" si="9"/>
        <v>0.90697674418604646</v>
      </c>
      <c r="F71" s="540">
        <f t="shared" si="9"/>
        <v>0.92076502732240439</v>
      </c>
      <c r="G71" s="129"/>
      <c r="H71" s="131"/>
      <c r="K71" s="128" t="s">
        <v>281</v>
      </c>
      <c r="L71">
        <v>2049</v>
      </c>
      <c r="M71">
        <v>1999.9</v>
      </c>
      <c r="N71">
        <v>2049</v>
      </c>
      <c r="O71" s="114">
        <v>2149.98</v>
      </c>
    </row>
    <row r="72" spans="2:15" x14ac:dyDescent="0.2">
      <c r="K72" s="128" t="s">
        <v>302</v>
      </c>
      <c r="L72">
        <v>2299</v>
      </c>
      <c r="M72">
        <v>2199</v>
      </c>
      <c r="N72">
        <v>2299</v>
      </c>
      <c r="O72" s="114">
        <v>2299</v>
      </c>
    </row>
    <row r="73" spans="2:15" x14ac:dyDescent="0.2">
      <c r="K73" s="128" t="s">
        <v>287</v>
      </c>
      <c r="L73">
        <v>2599</v>
      </c>
      <c r="M73">
        <v>2599.9899999999998</v>
      </c>
      <c r="N73">
        <v>2599</v>
      </c>
      <c r="O73" s="114">
        <v>2599</v>
      </c>
    </row>
    <row r="74" spans="2:15" x14ac:dyDescent="0.2">
      <c r="K74" s="128"/>
      <c r="O74" s="114"/>
    </row>
    <row r="75" spans="2:15" x14ac:dyDescent="0.2">
      <c r="K75" s="128" t="s">
        <v>306</v>
      </c>
      <c r="L75">
        <f>AVERAGE(L71:L73)</f>
        <v>2315.6666666666665</v>
      </c>
      <c r="M75">
        <f>AVERAGE(M71:M73)</f>
        <v>2266.2966666666666</v>
      </c>
      <c r="N75">
        <f>AVERAGE(N71:N73)</f>
        <v>2315.6666666666665</v>
      </c>
      <c r="O75" s="114">
        <f>AVERAGE(O71:O73)</f>
        <v>2349.3266666666664</v>
      </c>
    </row>
    <row r="76" spans="2:15" x14ac:dyDescent="0.2">
      <c r="K76" s="128" t="s">
        <v>307</v>
      </c>
      <c r="L76">
        <f>L75*(1.3)</f>
        <v>3010.3666666666668</v>
      </c>
      <c r="M76">
        <f>M75*(1.3)</f>
        <v>2946.1856666666667</v>
      </c>
      <c r="N76">
        <f>N75*(1.3)</f>
        <v>3010.3666666666668</v>
      </c>
      <c r="O76" s="114">
        <f>O75*(1.3)</f>
        <v>3054.1246666666666</v>
      </c>
    </row>
    <row r="77" spans="2:15" x14ac:dyDescent="0.2">
      <c r="K77" s="128" t="s">
        <v>310</v>
      </c>
      <c r="L77">
        <f>L75*0.7</f>
        <v>1620.9666666666665</v>
      </c>
      <c r="M77">
        <f>M75*0.7</f>
        <v>1586.4076666666665</v>
      </c>
      <c r="N77">
        <f>N75*0.7</f>
        <v>1620.9666666666665</v>
      </c>
      <c r="O77" s="114">
        <f>O75*0.7</f>
        <v>1644.5286666666664</v>
      </c>
    </row>
    <row r="78" spans="2:15" x14ac:dyDescent="0.2">
      <c r="K78" s="128" t="s">
        <v>311</v>
      </c>
      <c r="L78" s="539">
        <f>(L70-L76)/L76</f>
        <v>-3.6994386065927774E-2</v>
      </c>
      <c r="M78" s="539">
        <f>(M70-M76)/M76</f>
        <v>-0.18572681038318814</v>
      </c>
      <c r="N78" s="539">
        <f>(N70-N76)/N76</f>
        <v>-3.6994386065927774E-2</v>
      </c>
      <c r="O78" s="536">
        <f>(O70-O76)/O76</f>
        <v>-5.0791858092673343E-2</v>
      </c>
    </row>
    <row r="79" spans="2:15" ht="17" thickBot="1" x14ac:dyDescent="0.25">
      <c r="K79" s="117" t="s">
        <v>312</v>
      </c>
      <c r="L79" s="540">
        <f>(L70-L75)/L75</f>
        <v>0.25190729811429402</v>
      </c>
      <c r="M79" s="540">
        <f>(M70-M75)/M75</f>
        <v>5.8555146501855469E-2</v>
      </c>
      <c r="N79" s="540">
        <f>(N70-N75)/N75</f>
        <v>0.25190729811429402</v>
      </c>
      <c r="O79" s="538">
        <f>(O70-O75)/O75</f>
        <v>0.23397058447952479</v>
      </c>
    </row>
    <row r="82" spans="2:15" ht="17" thickBot="1" x14ac:dyDescent="0.25"/>
    <row r="83" spans="2:15" ht="17" thickBot="1" x14ac:dyDescent="0.25">
      <c r="K83" s="107"/>
      <c r="L83" s="108">
        <v>1</v>
      </c>
      <c r="M83" s="108">
        <v>2</v>
      </c>
      <c r="N83" s="108">
        <v>3</v>
      </c>
      <c r="O83" s="109">
        <v>4</v>
      </c>
    </row>
    <row r="84" spans="2:15" x14ac:dyDescent="0.2">
      <c r="B84" s="107" t="s">
        <v>332</v>
      </c>
      <c r="C84" s="108">
        <v>1142</v>
      </c>
      <c r="D84" s="108">
        <v>775</v>
      </c>
      <c r="E84" s="108">
        <v>857</v>
      </c>
      <c r="F84" s="108">
        <v>1306</v>
      </c>
      <c r="G84" s="108">
        <f>SUM(C84:F84)</f>
        <v>4080</v>
      </c>
      <c r="H84" s="109"/>
      <c r="K84" s="128" t="s">
        <v>270</v>
      </c>
      <c r="O84" s="114"/>
    </row>
    <row r="85" spans="2:15" x14ac:dyDescent="0.2">
      <c r="B85" s="128" t="s">
        <v>316</v>
      </c>
      <c r="C85">
        <v>390</v>
      </c>
      <c r="D85">
        <v>390</v>
      </c>
      <c r="E85">
        <v>80</v>
      </c>
      <c r="F85">
        <v>703</v>
      </c>
      <c r="G85">
        <f t="shared" ref="G85:G86" si="10">SUM(C85:F85)</f>
        <v>1563</v>
      </c>
      <c r="H85" s="114"/>
      <c r="K85" s="128" t="s">
        <v>283</v>
      </c>
      <c r="L85">
        <v>2999</v>
      </c>
      <c r="M85">
        <v>2499</v>
      </c>
      <c r="N85">
        <v>2999</v>
      </c>
      <c r="O85" s="114">
        <v>2999</v>
      </c>
    </row>
    <row r="86" spans="2:15" ht="17" thickBot="1" x14ac:dyDescent="0.25">
      <c r="B86" s="117" t="s">
        <v>292</v>
      </c>
      <c r="C86" s="129">
        <v>264</v>
      </c>
      <c r="D86" s="129">
        <v>198</v>
      </c>
      <c r="E86" s="129">
        <v>50</v>
      </c>
      <c r="F86" s="129">
        <v>452</v>
      </c>
      <c r="G86" s="129">
        <f t="shared" si="10"/>
        <v>964</v>
      </c>
      <c r="H86" s="538"/>
      <c r="K86" s="128" t="s">
        <v>281</v>
      </c>
      <c r="L86">
        <v>2099.98</v>
      </c>
      <c r="M86">
        <v>2049.98</v>
      </c>
      <c r="N86">
        <v>2099.98</v>
      </c>
      <c r="O86" s="114">
        <v>2149.98</v>
      </c>
    </row>
    <row r="87" spans="2:15" x14ac:dyDescent="0.2">
      <c r="B87" s="354" t="s">
        <v>305</v>
      </c>
      <c r="C87" s="135">
        <f>C86/C85</f>
        <v>0.67692307692307696</v>
      </c>
      <c r="D87" s="135">
        <f t="shared" ref="D87:G87" si="11">D86/D85</f>
        <v>0.50769230769230766</v>
      </c>
      <c r="E87" s="135">
        <f t="shared" si="11"/>
        <v>0.625</v>
      </c>
      <c r="F87" s="135">
        <f t="shared" si="11"/>
        <v>0.64295874822190613</v>
      </c>
      <c r="G87" s="135">
        <f t="shared" si="11"/>
        <v>0.61676263595649394</v>
      </c>
      <c r="K87" s="128" t="s">
        <v>302</v>
      </c>
      <c r="L87">
        <v>2699</v>
      </c>
      <c r="M87">
        <v>2599</v>
      </c>
      <c r="N87">
        <v>2599</v>
      </c>
      <c r="O87" s="114">
        <v>2699</v>
      </c>
    </row>
    <row r="88" spans="2:15" x14ac:dyDescent="0.2">
      <c r="K88" s="128" t="s">
        <v>287</v>
      </c>
      <c r="L88">
        <v>2249.9899999999998</v>
      </c>
      <c r="M88">
        <v>2249</v>
      </c>
      <c r="N88">
        <v>2229.9899999999998</v>
      </c>
      <c r="O88" s="114">
        <v>2249.9899999999998</v>
      </c>
    </row>
    <row r="89" spans="2:15" x14ac:dyDescent="0.2">
      <c r="K89" s="128"/>
      <c r="O89" s="114"/>
    </row>
    <row r="90" spans="2:15" x14ac:dyDescent="0.2">
      <c r="K90" s="128" t="s">
        <v>306</v>
      </c>
      <c r="L90">
        <f>AVERAGE(L86:L88)</f>
        <v>2349.6566666666663</v>
      </c>
      <c r="M90">
        <f>AVERAGE(M86:M88)</f>
        <v>2299.3266666666664</v>
      </c>
      <c r="N90">
        <f>AVERAGE(N86:N88)</f>
        <v>2309.6566666666663</v>
      </c>
      <c r="O90" s="114">
        <f>AVERAGE(O86:O88)</f>
        <v>2366.3233333333333</v>
      </c>
    </row>
    <row r="91" spans="2:15" x14ac:dyDescent="0.2">
      <c r="K91" s="128" t="s">
        <v>307</v>
      </c>
      <c r="L91">
        <f>L90*(1.3)</f>
        <v>3054.5536666666662</v>
      </c>
      <c r="M91">
        <f>M90*(1.3)</f>
        <v>2989.1246666666666</v>
      </c>
      <c r="N91">
        <f>N90*(1.3)</f>
        <v>3002.5536666666662</v>
      </c>
      <c r="O91" s="114">
        <f>O90*(1.3)</f>
        <v>3076.2203333333332</v>
      </c>
    </row>
    <row r="92" spans="2:15" x14ac:dyDescent="0.2">
      <c r="K92" s="128" t="s">
        <v>310</v>
      </c>
      <c r="L92">
        <f>L90*0.7</f>
        <v>1644.7596666666664</v>
      </c>
      <c r="M92">
        <f>M90*0.7</f>
        <v>1609.5286666666664</v>
      </c>
      <c r="N92">
        <f>N90*0.7</f>
        <v>1616.7596666666664</v>
      </c>
      <c r="O92" s="114">
        <f>O90*0.7</f>
        <v>1656.4263333333331</v>
      </c>
    </row>
    <row r="93" spans="2:15" x14ac:dyDescent="0.2">
      <c r="K93" s="128" t="s">
        <v>311</v>
      </c>
      <c r="L93" s="539">
        <f>(L85-L91)/L91</f>
        <v>-1.8187163405542689E-2</v>
      </c>
      <c r="M93" s="539">
        <f>(M85-M91)/M91</f>
        <v>-0.16396929580499262</v>
      </c>
      <c r="N93" s="539">
        <f>(N85-N91)/N91</f>
        <v>-1.1835480931174803E-3</v>
      </c>
      <c r="O93" s="536">
        <f>(O85-O91)/O91</f>
        <v>-2.5102341498945472E-2</v>
      </c>
    </row>
    <row r="94" spans="2:15" ht="17" thickBot="1" x14ac:dyDescent="0.25">
      <c r="K94" s="117" t="s">
        <v>312</v>
      </c>
      <c r="L94" s="540">
        <f>(L85-L90)/L90</f>
        <v>0.27635668757279452</v>
      </c>
      <c r="M94" s="540">
        <f>(M85-M90)/M90</f>
        <v>8.683991545350972E-2</v>
      </c>
      <c r="N94" s="540">
        <f>(N85-N90)/N90</f>
        <v>0.29846138747894729</v>
      </c>
      <c r="O94" s="538">
        <f>(O85-O90)/O90</f>
        <v>0.26736695605137084</v>
      </c>
    </row>
    <row r="97" spans="2:15" ht="17" thickBot="1" x14ac:dyDescent="0.25"/>
    <row r="98" spans="2:15" x14ac:dyDescent="0.2">
      <c r="B98" s="107" t="s">
        <v>333</v>
      </c>
      <c r="C98" s="108">
        <v>941</v>
      </c>
      <c r="D98" s="108">
        <v>638</v>
      </c>
      <c r="E98" s="108">
        <v>706</v>
      </c>
      <c r="F98" s="108">
        <v>1075</v>
      </c>
      <c r="G98" s="108">
        <f>SUM(C98:F98)</f>
        <v>3360</v>
      </c>
      <c r="K98" s="107"/>
      <c r="L98" s="108">
        <v>1</v>
      </c>
      <c r="M98" s="108">
        <v>2</v>
      </c>
      <c r="N98" s="108">
        <v>3</v>
      </c>
      <c r="O98" s="109">
        <v>4</v>
      </c>
    </row>
    <row r="99" spans="2:15" x14ac:dyDescent="0.2">
      <c r="B99" s="128" t="s">
        <v>330</v>
      </c>
      <c r="C99">
        <v>549</v>
      </c>
      <c r="D99">
        <v>336</v>
      </c>
      <c r="E99">
        <v>59</v>
      </c>
      <c r="F99">
        <v>990</v>
      </c>
      <c r="G99" s="114">
        <f>SUM(C99:F99)</f>
        <v>1934</v>
      </c>
      <c r="K99" s="128" t="s">
        <v>271</v>
      </c>
      <c r="O99" s="114"/>
    </row>
    <row r="100" spans="2:15" x14ac:dyDescent="0.2">
      <c r="B100" s="128" t="s">
        <v>334</v>
      </c>
      <c r="C100">
        <v>7</v>
      </c>
      <c r="D100">
        <v>10</v>
      </c>
      <c r="E100">
        <v>1</v>
      </c>
      <c r="F100">
        <v>7</v>
      </c>
      <c r="K100" s="128" t="s">
        <v>283</v>
      </c>
      <c r="L100">
        <v>2799</v>
      </c>
      <c r="M100">
        <v>2599</v>
      </c>
      <c r="N100">
        <v>2799</v>
      </c>
      <c r="O100" s="114">
        <v>2799</v>
      </c>
    </row>
    <row r="101" spans="2:15" x14ac:dyDescent="0.2">
      <c r="B101" s="128" t="s">
        <v>304</v>
      </c>
      <c r="C101">
        <v>427</v>
      </c>
      <c r="D101">
        <v>271</v>
      </c>
      <c r="E101">
        <v>48</v>
      </c>
      <c r="F101">
        <v>759</v>
      </c>
      <c r="G101" s="114">
        <f>SUM(C101:F101)</f>
        <v>1505</v>
      </c>
      <c r="K101" s="128" t="s">
        <v>281</v>
      </c>
      <c r="L101">
        <v>2149</v>
      </c>
      <c r="M101">
        <v>2099</v>
      </c>
      <c r="N101">
        <v>2149</v>
      </c>
      <c r="O101" s="114">
        <v>2199</v>
      </c>
    </row>
    <row r="102" spans="2:15" ht="17" thickBot="1" x14ac:dyDescent="0.25">
      <c r="B102" s="354" t="s">
        <v>305</v>
      </c>
      <c r="C102" s="540">
        <f>C101/C99</f>
        <v>0.77777777777777779</v>
      </c>
      <c r="D102" s="540">
        <f t="shared" ref="D102:F102" si="12">D101/D99</f>
        <v>0.80654761904761907</v>
      </c>
      <c r="E102" s="540">
        <f t="shared" si="12"/>
        <v>0.81355932203389836</v>
      </c>
      <c r="F102" s="540">
        <f t="shared" si="12"/>
        <v>0.76666666666666672</v>
      </c>
      <c r="G102" s="538">
        <f>G101/G99</f>
        <v>0.77817993795243023</v>
      </c>
      <c r="K102" s="128" t="s">
        <v>302</v>
      </c>
      <c r="L102">
        <v>2799</v>
      </c>
      <c r="M102">
        <v>2699</v>
      </c>
      <c r="N102">
        <v>2699</v>
      </c>
      <c r="O102" s="114">
        <v>2799</v>
      </c>
    </row>
    <row r="103" spans="2:15" x14ac:dyDescent="0.2">
      <c r="K103" s="128" t="s">
        <v>287</v>
      </c>
      <c r="L103">
        <v>2399</v>
      </c>
      <c r="M103">
        <v>2399</v>
      </c>
      <c r="N103">
        <v>2359</v>
      </c>
      <c r="O103" s="114">
        <v>2399</v>
      </c>
    </row>
    <row r="104" spans="2:15" x14ac:dyDescent="0.2">
      <c r="K104" s="128"/>
      <c r="O104" s="114"/>
    </row>
    <row r="105" spans="2:15" x14ac:dyDescent="0.2">
      <c r="K105" s="128" t="s">
        <v>306</v>
      </c>
      <c r="L105">
        <f>AVERAGE(L101:L103)</f>
        <v>2449</v>
      </c>
      <c r="M105">
        <f>AVERAGE(M101:M103)</f>
        <v>2399</v>
      </c>
      <c r="N105">
        <f>AVERAGE(N101:N103)</f>
        <v>2402.3333333333335</v>
      </c>
      <c r="O105" s="114">
        <f>AVERAGE(O101:O103)</f>
        <v>2465.6666666666665</v>
      </c>
    </row>
    <row r="106" spans="2:15" x14ac:dyDescent="0.2">
      <c r="K106" s="128" t="s">
        <v>307</v>
      </c>
      <c r="L106">
        <f>L105*(1.3)</f>
        <v>3183.7000000000003</v>
      </c>
      <c r="M106">
        <f>M105*(1.3)</f>
        <v>3118.7000000000003</v>
      </c>
      <c r="N106">
        <f>N105*(1.3)</f>
        <v>3123.0333333333338</v>
      </c>
      <c r="O106" s="114">
        <f>O105*(1.3)</f>
        <v>3205.3666666666668</v>
      </c>
    </row>
    <row r="107" spans="2:15" x14ac:dyDescent="0.2">
      <c r="K107" s="128" t="s">
        <v>310</v>
      </c>
      <c r="L107">
        <f>L105*0.7</f>
        <v>1714.3</v>
      </c>
      <c r="M107">
        <f>M105*0.7</f>
        <v>1679.3</v>
      </c>
      <c r="N107">
        <f>N105*0.7</f>
        <v>1681.6333333333334</v>
      </c>
      <c r="O107" s="114">
        <f>O105*0.7</f>
        <v>1725.9666666666665</v>
      </c>
    </row>
    <row r="108" spans="2:15" x14ac:dyDescent="0.2">
      <c r="K108" s="128" t="s">
        <v>311</v>
      </c>
      <c r="L108" s="539">
        <f>(L100-L106)/L106</f>
        <v>-0.12083424945817767</v>
      </c>
      <c r="M108" s="539">
        <f>(M100-M106)/M106</f>
        <v>-0.16663994613140098</v>
      </c>
      <c r="N108" s="539">
        <f>(N100-N106)/N106</f>
        <v>-0.1037559637531888</v>
      </c>
      <c r="O108" s="536">
        <f>(O100-O106)/O106</f>
        <v>-0.12677696779359618</v>
      </c>
    </row>
    <row r="109" spans="2:15" ht="17" thickBot="1" x14ac:dyDescent="0.25">
      <c r="K109" s="117" t="s">
        <v>312</v>
      </c>
      <c r="L109" s="540">
        <f>(L100-L105)/L105</f>
        <v>0.14291547570436913</v>
      </c>
      <c r="M109" s="540">
        <f>(M100-M105)/M105</f>
        <v>8.3368070029178828E-2</v>
      </c>
      <c r="N109" s="540">
        <f>(N100-N105)/N105</f>
        <v>0.16511724712085465</v>
      </c>
      <c r="O109" s="538">
        <f>(O100-O105)/O105</f>
        <v>0.13518994186832506</v>
      </c>
    </row>
    <row r="113" spans="2:15" ht="17" thickBot="1" x14ac:dyDescent="0.25"/>
    <row r="114" spans="2:15" x14ac:dyDescent="0.2">
      <c r="K114" s="107"/>
      <c r="L114" s="108">
        <v>1</v>
      </c>
      <c r="M114" s="108">
        <v>2</v>
      </c>
      <c r="N114" s="108">
        <v>3</v>
      </c>
      <c r="O114" s="109">
        <v>4</v>
      </c>
    </row>
    <row r="115" spans="2:15" ht="17" thickBot="1" x14ac:dyDescent="0.25">
      <c r="K115" s="128" t="s">
        <v>272</v>
      </c>
      <c r="O115" s="114"/>
    </row>
    <row r="116" spans="2:15" ht="17" thickBot="1" x14ac:dyDescent="0.25">
      <c r="B116" s="107" t="s">
        <v>335</v>
      </c>
      <c r="C116" s="108">
        <v>1344</v>
      </c>
      <c r="D116" s="108">
        <v>912</v>
      </c>
      <c r="E116" s="108">
        <v>1008</v>
      </c>
      <c r="F116" s="108">
        <v>1536</v>
      </c>
      <c r="G116" s="108">
        <f>SUM(C116:F116)</f>
        <v>4800</v>
      </c>
      <c r="K116" s="128" t="s">
        <v>283</v>
      </c>
      <c r="L116">
        <v>2899</v>
      </c>
      <c r="M116">
        <v>2599</v>
      </c>
      <c r="N116">
        <v>2899</v>
      </c>
      <c r="O116" s="114">
        <v>2899</v>
      </c>
    </row>
    <row r="117" spans="2:15" x14ac:dyDescent="0.2">
      <c r="B117" s="128" t="s">
        <v>330</v>
      </c>
      <c r="C117">
        <v>609</v>
      </c>
      <c r="D117">
        <v>406</v>
      </c>
      <c r="E117">
        <v>203</v>
      </c>
      <c r="F117">
        <v>814</v>
      </c>
      <c r="G117" s="109">
        <f>SUM(C117:F117)</f>
        <v>2032</v>
      </c>
      <c r="K117" s="128" t="s">
        <v>281</v>
      </c>
      <c r="O117" s="114"/>
    </row>
    <row r="118" spans="2:15" x14ac:dyDescent="0.2">
      <c r="B118" s="128" t="s">
        <v>334</v>
      </c>
      <c r="C118">
        <v>7</v>
      </c>
      <c r="D118">
        <v>10</v>
      </c>
      <c r="E118">
        <v>1</v>
      </c>
      <c r="F118">
        <v>8</v>
      </c>
      <c r="G118" s="114"/>
      <c r="K118" s="128" t="s">
        <v>302</v>
      </c>
      <c r="L118" t="s">
        <v>336</v>
      </c>
      <c r="O118" s="114"/>
    </row>
    <row r="119" spans="2:15" x14ac:dyDescent="0.2">
      <c r="B119" s="128" t="s">
        <v>304</v>
      </c>
      <c r="C119">
        <v>484</v>
      </c>
      <c r="D119">
        <v>302</v>
      </c>
      <c r="E119">
        <v>151</v>
      </c>
      <c r="F119">
        <v>668</v>
      </c>
      <c r="G119" s="114">
        <f>SUM(C119:F119)</f>
        <v>1605</v>
      </c>
      <c r="K119" s="128" t="s">
        <v>287</v>
      </c>
      <c r="O119" s="114"/>
    </row>
    <row r="120" spans="2:15" ht="17" thickBot="1" x14ac:dyDescent="0.25">
      <c r="B120" s="354" t="s">
        <v>305</v>
      </c>
      <c r="C120" s="540">
        <f>C119/C117</f>
        <v>0.79474548440065684</v>
      </c>
      <c r="D120" s="540">
        <f t="shared" ref="D120:E120" si="13">D119/D117</f>
        <v>0.74384236453201968</v>
      </c>
      <c r="E120" s="540">
        <f t="shared" si="13"/>
        <v>0.74384236453201968</v>
      </c>
      <c r="F120" s="540">
        <f>F119/F117</f>
        <v>0.82063882063882065</v>
      </c>
      <c r="G120" s="538">
        <f>G119/G117</f>
        <v>0.78986220472440949</v>
      </c>
      <c r="K120" s="128"/>
      <c r="O120" s="114"/>
    </row>
    <row r="121" spans="2:15" x14ac:dyDescent="0.2">
      <c r="K121" s="128" t="s">
        <v>306</v>
      </c>
      <c r="L121" t="e">
        <f>AVERAGE(L117:L119)</f>
        <v>#DIV/0!</v>
      </c>
      <c r="M121" t="e">
        <f>AVERAGE(M117:M119)</f>
        <v>#DIV/0!</v>
      </c>
      <c r="N121" t="e">
        <f>AVERAGE(N117:N119)</f>
        <v>#DIV/0!</v>
      </c>
      <c r="O121" s="114" t="e">
        <f>AVERAGE(O117:O119)</f>
        <v>#DIV/0!</v>
      </c>
    </row>
    <row r="122" spans="2:15" x14ac:dyDescent="0.2">
      <c r="K122" s="128" t="s">
        <v>307</v>
      </c>
      <c r="L122" t="e">
        <f>L121*(1.3)</f>
        <v>#DIV/0!</v>
      </c>
      <c r="M122" t="e">
        <f>M121*(1.3)</f>
        <v>#DIV/0!</v>
      </c>
      <c r="N122" t="e">
        <f>N121*(1.3)</f>
        <v>#DIV/0!</v>
      </c>
      <c r="O122" s="114" t="e">
        <f>O121*(1.3)</f>
        <v>#DIV/0!</v>
      </c>
    </row>
    <row r="123" spans="2:15" x14ac:dyDescent="0.2">
      <c r="K123" s="128" t="s">
        <v>310</v>
      </c>
      <c r="L123" t="e">
        <f>L121*0.7</f>
        <v>#DIV/0!</v>
      </c>
      <c r="M123" t="e">
        <f>M121*0.7</f>
        <v>#DIV/0!</v>
      </c>
      <c r="N123" t="e">
        <f>N121*0.7</f>
        <v>#DIV/0!</v>
      </c>
      <c r="O123" s="114" t="e">
        <f>O121*0.7</f>
        <v>#DIV/0!</v>
      </c>
    </row>
    <row r="124" spans="2:15" x14ac:dyDescent="0.2">
      <c r="K124" s="128" t="s">
        <v>311</v>
      </c>
      <c r="L124" s="539" t="e">
        <f>(L116-L122)/L122</f>
        <v>#DIV/0!</v>
      </c>
      <c r="M124" s="539" t="e">
        <f>(M116-M122)/M122</f>
        <v>#DIV/0!</v>
      </c>
      <c r="N124" s="539" t="e">
        <f>(N116-N122)/N122</f>
        <v>#DIV/0!</v>
      </c>
      <c r="O124" s="536" t="e">
        <f>(O116-O122)/O122</f>
        <v>#DIV/0!</v>
      </c>
    </row>
    <row r="125" spans="2:15" ht="17" thickBot="1" x14ac:dyDescent="0.25">
      <c r="K125" s="117" t="s">
        <v>312</v>
      </c>
      <c r="L125" s="540" t="e">
        <f>(L116-L121)/L121</f>
        <v>#DIV/0!</v>
      </c>
      <c r="M125" s="540" t="e">
        <f>(M116-M121)/M121</f>
        <v>#DIV/0!</v>
      </c>
      <c r="N125" s="540" t="e">
        <f>(N116-N121)/N121</f>
        <v>#DIV/0!</v>
      </c>
      <c r="O125" s="538" t="e">
        <f>(O116-O121)/O121</f>
        <v>#DIV/0!</v>
      </c>
    </row>
    <row r="131" spans="2:15" ht="17" thickBot="1" x14ac:dyDescent="0.25"/>
    <row r="132" spans="2:15" x14ac:dyDescent="0.2">
      <c r="K132" s="107"/>
      <c r="L132" s="108">
        <v>1</v>
      </c>
      <c r="M132" s="108">
        <v>2</v>
      </c>
      <c r="N132" s="108">
        <v>3</v>
      </c>
      <c r="O132" s="109">
        <v>4</v>
      </c>
    </row>
    <row r="133" spans="2:15" x14ac:dyDescent="0.2">
      <c r="K133" s="128" t="s">
        <v>273</v>
      </c>
      <c r="O133" s="114"/>
    </row>
    <row r="134" spans="2:15" x14ac:dyDescent="0.2">
      <c r="K134" s="128" t="s">
        <v>283</v>
      </c>
      <c r="L134">
        <v>2899</v>
      </c>
      <c r="M134">
        <v>2599</v>
      </c>
      <c r="N134">
        <v>2899</v>
      </c>
      <c r="O134" s="114">
        <v>2899</v>
      </c>
    </row>
    <row r="135" spans="2:15" ht="17" thickBot="1" x14ac:dyDescent="0.25">
      <c r="K135" s="128" t="s">
        <v>281</v>
      </c>
      <c r="L135">
        <v>2249.98</v>
      </c>
      <c r="M135">
        <v>2199.98</v>
      </c>
      <c r="N135">
        <v>2249.98</v>
      </c>
      <c r="O135" s="114">
        <v>2899</v>
      </c>
    </row>
    <row r="136" spans="2:15" ht="17" thickBot="1" x14ac:dyDescent="0.25">
      <c r="B136" s="107" t="s">
        <v>337</v>
      </c>
      <c r="C136" s="108">
        <v>1344</v>
      </c>
      <c r="D136" s="108">
        <v>912</v>
      </c>
      <c r="E136" s="108">
        <v>1008</v>
      </c>
      <c r="F136" s="108">
        <v>1536</v>
      </c>
      <c r="G136" s="108">
        <f>SUM(C136:F136)</f>
        <v>4800</v>
      </c>
      <c r="K136" s="128" t="s">
        <v>302</v>
      </c>
      <c r="L136">
        <v>2399.9899999999998</v>
      </c>
      <c r="M136">
        <v>2299.9899999999998</v>
      </c>
      <c r="N136">
        <v>2299.9899999999998</v>
      </c>
      <c r="O136" s="114">
        <v>2299.98</v>
      </c>
    </row>
    <row r="137" spans="2:15" x14ac:dyDescent="0.2">
      <c r="B137" s="128" t="s">
        <v>330</v>
      </c>
      <c r="C137">
        <v>609</v>
      </c>
      <c r="D137">
        <v>406</v>
      </c>
      <c r="E137">
        <v>203</v>
      </c>
      <c r="F137">
        <v>814</v>
      </c>
      <c r="G137" s="109">
        <f>SUM(C137:F137)</f>
        <v>2032</v>
      </c>
      <c r="K137" s="128" t="s">
        <v>287</v>
      </c>
      <c r="L137">
        <v>2579.9899999999998</v>
      </c>
      <c r="M137">
        <v>2579.9899999999998</v>
      </c>
      <c r="N137">
        <v>2549.9899999999998</v>
      </c>
      <c r="O137" s="114">
        <v>2399.9899999999998</v>
      </c>
    </row>
    <row r="138" spans="2:15" x14ac:dyDescent="0.2">
      <c r="B138" s="128" t="s">
        <v>334</v>
      </c>
      <c r="C138">
        <v>7</v>
      </c>
      <c r="D138">
        <v>10</v>
      </c>
      <c r="E138">
        <v>1</v>
      </c>
      <c r="F138">
        <v>8</v>
      </c>
      <c r="G138" s="114"/>
      <c r="K138" s="128"/>
      <c r="O138" s="114"/>
    </row>
    <row r="139" spans="2:15" x14ac:dyDescent="0.2">
      <c r="B139" s="128" t="s">
        <v>304</v>
      </c>
      <c r="C139">
        <v>484</v>
      </c>
      <c r="D139">
        <v>302</v>
      </c>
      <c r="E139">
        <v>151</v>
      </c>
      <c r="F139">
        <v>668</v>
      </c>
      <c r="G139" s="114">
        <f>SUM(C139:F139)</f>
        <v>1605</v>
      </c>
      <c r="K139" s="128" t="s">
        <v>306</v>
      </c>
      <c r="L139">
        <f>AVERAGE(L135:L137)</f>
        <v>2409.9866666666662</v>
      </c>
      <c r="M139">
        <f>AVERAGE(M135:M137)</f>
        <v>2359.9866666666662</v>
      </c>
      <c r="N139">
        <f>AVERAGE(N135:N137)</f>
        <v>2366.6533333333332</v>
      </c>
      <c r="O139" s="114">
        <f>AVERAGE(O135:O137)</f>
        <v>2532.9899999999998</v>
      </c>
    </row>
    <row r="140" spans="2:15" ht="17" thickBot="1" x14ac:dyDescent="0.25">
      <c r="B140" s="354" t="s">
        <v>305</v>
      </c>
      <c r="C140" s="540">
        <f>C139/C137</f>
        <v>0.79474548440065684</v>
      </c>
      <c r="D140" s="540">
        <f t="shared" ref="D140" si="14">D139/D137</f>
        <v>0.74384236453201968</v>
      </c>
      <c r="E140" s="540">
        <f t="shared" ref="E140" si="15">E139/E137</f>
        <v>0.74384236453201968</v>
      </c>
      <c r="F140" s="540">
        <f>F139/F137</f>
        <v>0.82063882063882065</v>
      </c>
      <c r="G140" s="538">
        <f>G139/G137</f>
        <v>0.78986220472440949</v>
      </c>
      <c r="K140" s="128" t="s">
        <v>307</v>
      </c>
      <c r="L140">
        <f>L139*(1.3)</f>
        <v>3132.9826666666663</v>
      </c>
      <c r="M140">
        <f>M139*(1.3)</f>
        <v>3067.9826666666663</v>
      </c>
      <c r="N140">
        <f>N139*(1.3)</f>
        <v>3076.6493333333333</v>
      </c>
      <c r="O140" s="114">
        <f>O139*(1.3)</f>
        <v>3292.8869999999997</v>
      </c>
    </row>
    <row r="141" spans="2:15" x14ac:dyDescent="0.2">
      <c r="K141" s="128" t="s">
        <v>310</v>
      </c>
      <c r="L141">
        <f>L139*0.7</f>
        <v>1686.9906666666664</v>
      </c>
      <c r="M141">
        <f>M139*0.7</f>
        <v>1651.9906666666664</v>
      </c>
      <c r="N141">
        <f>N139*0.7</f>
        <v>1656.6573333333331</v>
      </c>
      <c r="O141" s="114">
        <f>O139*0.7</f>
        <v>1773.0929999999998</v>
      </c>
    </row>
    <row r="142" spans="2:15" x14ac:dyDescent="0.2">
      <c r="K142" s="128" t="s">
        <v>311</v>
      </c>
      <c r="L142" s="539">
        <f>(L134-L140)/L140</f>
        <v>-7.4683677364743267E-2</v>
      </c>
      <c r="M142" s="539">
        <f>(M134-M140)/M140</f>
        <v>-0.15286353204081543</v>
      </c>
      <c r="N142" s="539">
        <f>(N134-N140)/N140</f>
        <v>-5.774117037279082E-2</v>
      </c>
      <c r="O142" s="536">
        <f>(O134-O140)/O140</f>
        <v>-0.11961752711222698</v>
      </c>
    </row>
    <row r="143" spans="2:15" ht="17" thickBot="1" x14ac:dyDescent="0.25">
      <c r="K143" s="117" t="s">
        <v>312</v>
      </c>
      <c r="L143" s="540">
        <f>(L134-L139)/L139</f>
        <v>0.20291121942583384</v>
      </c>
      <c r="M143" s="540">
        <f>(M134-M139)/M139</f>
        <v>0.10127740834694002</v>
      </c>
      <c r="N143" s="540">
        <f>(N134-N139)/N139</f>
        <v>0.22493647851537199</v>
      </c>
      <c r="O143" s="538">
        <f>(O134-O139)/O139</f>
        <v>0.14449721475410493</v>
      </c>
    </row>
    <row r="145" spans="2:15" ht="17" thickBot="1" x14ac:dyDescent="0.25"/>
    <row r="146" spans="2:15" ht="17" thickBot="1" x14ac:dyDescent="0.25">
      <c r="K146" s="107"/>
      <c r="L146" s="108">
        <v>1</v>
      </c>
      <c r="M146" s="108">
        <v>2</v>
      </c>
      <c r="N146" s="108">
        <v>3</v>
      </c>
      <c r="O146" s="109">
        <v>4</v>
      </c>
    </row>
    <row r="147" spans="2:15" ht="17" thickBot="1" x14ac:dyDescent="0.25">
      <c r="B147" s="107" t="s">
        <v>338</v>
      </c>
      <c r="C147" s="108">
        <v>1142</v>
      </c>
      <c r="D147" s="108">
        <v>775</v>
      </c>
      <c r="E147" s="108">
        <v>857</v>
      </c>
      <c r="F147" s="108">
        <v>1306</v>
      </c>
      <c r="G147" s="108">
        <f>SUM(C147:F147)</f>
        <v>4080</v>
      </c>
      <c r="K147" s="128" t="s">
        <v>274</v>
      </c>
      <c r="O147" s="114"/>
    </row>
    <row r="148" spans="2:15" x14ac:dyDescent="0.2">
      <c r="B148" s="128" t="s">
        <v>330</v>
      </c>
      <c r="C148">
        <v>471</v>
      </c>
      <c r="D148">
        <v>267</v>
      </c>
      <c r="E148">
        <v>47</v>
      </c>
      <c r="F148">
        <v>788</v>
      </c>
      <c r="G148" s="109">
        <f>SUM(C148:F148)</f>
        <v>1573</v>
      </c>
      <c r="K148" s="128" t="s">
        <v>283</v>
      </c>
      <c r="L148">
        <v>2899</v>
      </c>
      <c r="M148">
        <v>2599</v>
      </c>
      <c r="N148">
        <v>2899</v>
      </c>
      <c r="O148" s="114">
        <v>2899</v>
      </c>
    </row>
    <row r="149" spans="2:15" x14ac:dyDescent="0.2">
      <c r="B149" s="128" t="s">
        <v>334</v>
      </c>
      <c r="C149">
        <v>7</v>
      </c>
      <c r="D149">
        <v>10</v>
      </c>
      <c r="E149">
        <v>1</v>
      </c>
      <c r="F149">
        <v>8</v>
      </c>
      <c r="G149" s="114"/>
      <c r="K149" s="128" t="s">
        <v>281</v>
      </c>
      <c r="L149">
        <v>2050</v>
      </c>
      <c r="M149">
        <v>2000</v>
      </c>
      <c r="N149">
        <v>2899</v>
      </c>
      <c r="O149" s="114">
        <v>2100</v>
      </c>
    </row>
    <row r="150" spans="2:15" x14ac:dyDescent="0.2">
      <c r="B150" s="128" t="s">
        <v>304</v>
      </c>
      <c r="C150">
        <v>403</v>
      </c>
      <c r="D150">
        <v>210</v>
      </c>
      <c r="E150">
        <v>40</v>
      </c>
      <c r="F150">
        <v>655</v>
      </c>
      <c r="G150" s="114">
        <f>SUM(C150:F150)</f>
        <v>1308</v>
      </c>
      <c r="K150" s="128" t="s">
        <v>302</v>
      </c>
      <c r="L150">
        <v>2399.9899999999998</v>
      </c>
      <c r="M150">
        <v>2299.9899999999998</v>
      </c>
      <c r="N150">
        <v>2100</v>
      </c>
      <c r="O150" s="114">
        <v>2399.9899999999998</v>
      </c>
    </row>
    <row r="151" spans="2:15" ht="17" thickBot="1" x14ac:dyDescent="0.25">
      <c r="B151" s="354" t="s">
        <v>305</v>
      </c>
      <c r="C151" s="540">
        <f>C150/C148</f>
        <v>0.85562632696390661</v>
      </c>
      <c r="D151" s="540">
        <f t="shared" ref="D151" si="16">D150/D148</f>
        <v>0.7865168539325843</v>
      </c>
      <c r="E151" s="540">
        <f t="shared" ref="E151" si="17">E150/E148</f>
        <v>0.85106382978723405</v>
      </c>
      <c r="F151" s="540">
        <f>F150/F148</f>
        <v>0.83121827411167515</v>
      </c>
      <c r="G151" s="538">
        <f>G150/G148</f>
        <v>0.83153210425937696</v>
      </c>
      <c r="K151" s="128" t="s">
        <v>287</v>
      </c>
      <c r="L151">
        <v>2799.99</v>
      </c>
      <c r="M151">
        <v>2799.99</v>
      </c>
      <c r="N151">
        <v>2799.99</v>
      </c>
      <c r="O151" s="114">
        <v>2799.99</v>
      </c>
    </row>
    <row r="152" spans="2:15" x14ac:dyDescent="0.2">
      <c r="K152" s="128"/>
      <c r="O152" s="114"/>
    </row>
    <row r="153" spans="2:15" x14ac:dyDescent="0.2">
      <c r="K153" s="128" t="s">
        <v>306</v>
      </c>
      <c r="L153">
        <f>AVERAGE(L149:L151)</f>
        <v>2416.66</v>
      </c>
      <c r="M153">
        <f>AVERAGE(M149:M151)</f>
        <v>2366.66</v>
      </c>
      <c r="N153">
        <f>AVERAGE(N149:N151)</f>
        <v>2599.6633333333334</v>
      </c>
      <c r="O153" s="114">
        <f>AVERAGE(O149:O151)</f>
        <v>2433.3266666666664</v>
      </c>
    </row>
    <row r="154" spans="2:15" x14ac:dyDescent="0.2">
      <c r="K154" s="128" t="s">
        <v>307</v>
      </c>
      <c r="L154">
        <f>L153*(1.3)</f>
        <v>3141.6579999999999</v>
      </c>
      <c r="M154">
        <f>M153*(1.3)</f>
        <v>3076.6579999999999</v>
      </c>
      <c r="N154">
        <f>N153*(1.3)</f>
        <v>3379.5623333333338</v>
      </c>
      <c r="O154" s="114">
        <f>O153*(1.3)</f>
        <v>3163.3246666666664</v>
      </c>
    </row>
    <row r="155" spans="2:15" x14ac:dyDescent="0.2">
      <c r="K155" s="128" t="s">
        <v>310</v>
      </c>
      <c r="L155">
        <f>L153*0.7</f>
        <v>1691.6619999999998</v>
      </c>
      <c r="M155">
        <f>M153*0.7</f>
        <v>1656.6619999999998</v>
      </c>
      <c r="N155">
        <f>N153*0.7</f>
        <v>1819.7643333333333</v>
      </c>
      <c r="O155" s="114">
        <f>O153*0.7</f>
        <v>1703.3286666666663</v>
      </c>
    </row>
    <row r="156" spans="2:15" x14ac:dyDescent="0.2">
      <c r="K156" s="128" t="s">
        <v>311</v>
      </c>
      <c r="L156" s="539">
        <f>(L148-L154)/L154</f>
        <v>-7.7238833762300008E-2</v>
      </c>
      <c r="M156" s="539">
        <f>(M148-M154)/M154</f>
        <v>-0.15525222497918192</v>
      </c>
      <c r="N156" s="539">
        <f>(N148-N154)/N154</f>
        <v>-0.14219661776717252</v>
      </c>
      <c r="O156" s="536">
        <f>(O148-O154)/O154</f>
        <v>-8.3559133038720576E-2</v>
      </c>
    </row>
    <row r="157" spans="2:15" ht="17" thickBot="1" x14ac:dyDescent="0.25">
      <c r="K157" s="117" t="s">
        <v>312</v>
      </c>
      <c r="L157" s="540">
        <f>(L148-L153)/L153</f>
        <v>0.19958951610901002</v>
      </c>
      <c r="M157" s="540">
        <f>(M148-M153)/M153</f>
        <v>9.8172107527063526E-2</v>
      </c>
      <c r="N157" s="540">
        <f>(N148-N153)/N153</f>
        <v>0.11514439690267582</v>
      </c>
      <c r="O157" s="538">
        <f>(O148-O153)/O153</f>
        <v>0.19137312704966331</v>
      </c>
    </row>
  </sheetData>
  <mergeCells count="9">
    <mergeCell ref="R35:R38"/>
    <mergeCell ref="R39:R42"/>
    <mergeCell ref="R43:R46"/>
    <mergeCell ref="R11:R14"/>
    <mergeCell ref="R15:R18"/>
    <mergeCell ref="R19:R22"/>
    <mergeCell ref="R23:R26"/>
    <mergeCell ref="R27:R30"/>
    <mergeCell ref="R31:R34"/>
  </mergeCells>
  <hyperlinks>
    <hyperlink ref="R11" r:id="rId1" display="Q@" xr:uid="{0253F27E-5775-4C16-8C04-962E16139392}"/>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2CE81-2511-4FAB-8130-74E4EF5618E6}">
  <sheetPr codeName="Sheet11">
    <tabColor rgb="FFFF0000"/>
  </sheetPr>
  <dimension ref="A1:N33"/>
  <sheetViews>
    <sheetView zoomScale="70" zoomScaleNormal="70" workbookViewId="0">
      <selection activeCell="J42" sqref="J42"/>
    </sheetView>
  </sheetViews>
  <sheetFormatPr baseColWidth="10" defaultColWidth="11" defaultRowHeight="16" x14ac:dyDescent="0.2"/>
  <cols>
    <col min="1" max="1" width="26.6640625" bestFit="1" customWidth="1"/>
    <col min="2" max="2" width="15" bestFit="1" customWidth="1"/>
    <col min="3" max="3" width="12.33203125" bestFit="1" customWidth="1"/>
    <col min="4" max="4" width="16.6640625" customWidth="1"/>
    <col min="5" max="5" width="14.83203125" bestFit="1" customWidth="1"/>
    <col min="6" max="6" width="11.5" bestFit="1" customWidth="1"/>
    <col min="8" max="8" width="11.1640625" bestFit="1" customWidth="1"/>
    <col min="9" max="9" width="14.1640625" bestFit="1" customWidth="1"/>
    <col min="10" max="11" width="14.5" bestFit="1" customWidth="1"/>
    <col min="12" max="12" width="13.1640625" bestFit="1" customWidth="1"/>
    <col min="13" max="13" width="28.5" customWidth="1"/>
    <col min="14" max="14" width="13.1640625" bestFit="1" customWidth="1"/>
  </cols>
  <sheetData>
    <row r="1" spans="1:14" x14ac:dyDescent="0.2">
      <c r="A1" s="219"/>
      <c r="M1" s="87" t="s">
        <v>164</v>
      </c>
      <c r="N1">
        <v>2</v>
      </c>
    </row>
    <row r="2" spans="1:14" x14ac:dyDescent="0.2">
      <c r="A2" s="377" t="s">
        <v>339</v>
      </c>
      <c r="B2" s="415">
        <f>'Input_Q9-Predict'!C28</f>
        <v>1335</v>
      </c>
      <c r="C2" s="59">
        <v>222.91666666666666</v>
      </c>
      <c r="D2" s="38" t="s">
        <v>340</v>
      </c>
      <c r="E2" s="38"/>
      <c r="F2" s="38"/>
      <c r="I2" s="38" t="s">
        <v>341</v>
      </c>
      <c r="J2" s="38">
        <v>222.91666666666666</v>
      </c>
      <c r="K2" s="59">
        <v>222.91666666666666</v>
      </c>
      <c r="M2" s="93" t="s">
        <v>60</v>
      </c>
      <c r="N2">
        <v>798556</v>
      </c>
    </row>
    <row r="3" spans="1:14" x14ac:dyDescent="0.2">
      <c r="A3" s="270"/>
      <c r="B3" s="271"/>
      <c r="C3" s="59">
        <v>414.25</v>
      </c>
      <c r="D3" s="38"/>
      <c r="E3" s="38"/>
      <c r="F3" s="38"/>
      <c r="I3" s="38" t="s">
        <v>342</v>
      </c>
      <c r="J3" s="38">
        <v>572</v>
      </c>
      <c r="K3" s="59">
        <v>414.25</v>
      </c>
      <c r="M3" s="93" t="s">
        <v>120</v>
      </c>
      <c r="N3">
        <v>423285.9</v>
      </c>
    </row>
    <row r="4" spans="1:14" x14ac:dyDescent="0.2">
      <c r="A4" s="377" t="s">
        <v>343</v>
      </c>
      <c r="B4" s="416">
        <f ca="1">('Q9-Predict'!C124)/B2</f>
        <v>1083.6630524344571</v>
      </c>
      <c r="C4" s="59">
        <f>SUM(C2:C3)</f>
        <v>637.16666666666663</v>
      </c>
      <c r="D4" s="38"/>
      <c r="E4" s="38"/>
      <c r="F4" s="38"/>
      <c r="I4" s="38" t="s">
        <v>344</v>
      </c>
      <c r="J4">
        <f>SUM(J2:J3)</f>
        <v>794.91666666666663</v>
      </c>
      <c r="K4">
        <f>SUM(K2:K3)</f>
        <v>637.16666666666663</v>
      </c>
      <c r="M4" s="93" t="s">
        <v>123</v>
      </c>
      <c r="N4">
        <v>375270.1</v>
      </c>
    </row>
    <row r="5" spans="1:14" x14ac:dyDescent="0.2">
      <c r="A5" s="39" t="s">
        <v>345</v>
      </c>
      <c r="B5" s="411">
        <f ca="1">('Q9-Predict'!H125)/B2</f>
        <v>1437.5478531835206</v>
      </c>
      <c r="C5" s="59">
        <f>C4*1.125</f>
        <v>716.8125</v>
      </c>
      <c r="D5" s="38"/>
      <c r="E5" s="38"/>
      <c r="F5" s="38"/>
      <c r="H5" s="60">
        <v>0.2</v>
      </c>
      <c r="I5" s="38" t="s">
        <v>346</v>
      </c>
      <c r="J5">
        <f>(1+$H$5)*J4</f>
        <v>953.89999999999986</v>
      </c>
      <c r="K5">
        <f>(1+$H$5)*K4</f>
        <v>764.59999999999991</v>
      </c>
      <c r="M5" s="93" t="s">
        <v>125</v>
      </c>
    </row>
    <row r="6" spans="1:14" x14ac:dyDescent="0.2">
      <c r="A6" s="38" t="s">
        <v>347</v>
      </c>
      <c r="B6" s="416"/>
      <c r="C6" s="59">
        <f>C5*1.2</f>
        <v>860.17499999999995</v>
      </c>
      <c r="D6" s="38"/>
      <c r="E6" s="38"/>
      <c r="F6" s="38"/>
      <c r="H6" s="61">
        <v>0.125</v>
      </c>
      <c r="I6" t="s">
        <v>348</v>
      </c>
      <c r="J6">
        <f>J5*(1+$H$6)</f>
        <v>1073.1374999999998</v>
      </c>
      <c r="K6">
        <f>K5*(1+$H$6)</f>
        <v>860.17499999999995</v>
      </c>
      <c r="M6" s="384" t="s">
        <v>27</v>
      </c>
      <c r="N6">
        <v>280000</v>
      </c>
    </row>
    <row r="7" spans="1:14" ht="17" thickBot="1" x14ac:dyDescent="0.25">
      <c r="A7" s="377"/>
      <c r="E7" s="36"/>
      <c r="M7" s="93" t="s">
        <v>81</v>
      </c>
      <c r="N7">
        <v>272500</v>
      </c>
    </row>
    <row r="8" spans="1:14" x14ac:dyDescent="0.2">
      <c r="A8" s="225" t="s">
        <v>349</v>
      </c>
      <c r="B8" s="223" t="s">
        <v>350</v>
      </c>
      <c r="C8" s="223"/>
      <c r="D8" s="223"/>
      <c r="E8" s="223"/>
      <c r="F8" s="238"/>
      <c r="M8" s="93" t="s">
        <v>87</v>
      </c>
      <c r="N8">
        <v>30000</v>
      </c>
    </row>
    <row r="9" spans="1:14" x14ac:dyDescent="0.2">
      <c r="A9" s="226" t="s">
        <v>351</v>
      </c>
      <c r="B9" s="587" t="s">
        <v>352</v>
      </c>
      <c r="C9" s="587"/>
      <c r="D9" s="587"/>
      <c r="E9" s="228"/>
      <c r="F9" s="224"/>
      <c r="M9" s="93" t="s">
        <v>92</v>
      </c>
      <c r="N9">
        <v>53590</v>
      </c>
    </row>
    <row r="10" spans="1:14" x14ac:dyDescent="0.2">
      <c r="A10" s="226" t="s">
        <v>353</v>
      </c>
      <c r="B10" s="229">
        <f ca="1">B4+B5</f>
        <v>2521.2109056179779</v>
      </c>
      <c r="C10" s="228"/>
      <c r="D10" s="228"/>
      <c r="E10" s="228"/>
      <c r="F10" s="224"/>
      <c r="M10" s="93" t="s">
        <v>89</v>
      </c>
      <c r="N10">
        <v>4000</v>
      </c>
    </row>
    <row r="11" spans="1:14" x14ac:dyDescent="0.2">
      <c r="A11" s="226" t="s">
        <v>354</v>
      </c>
      <c r="B11" s="231">
        <v>1.1000000000000001</v>
      </c>
      <c r="C11" s="231">
        <v>1.2</v>
      </c>
      <c r="D11" s="231">
        <v>1.3</v>
      </c>
      <c r="E11" s="231">
        <v>1.4</v>
      </c>
      <c r="F11" s="231">
        <v>1.5</v>
      </c>
      <c r="M11" s="93" t="s">
        <v>131</v>
      </c>
      <c r="N11">
        <v>0</v>
      </c>
    </row>
    <row r="12" spans="1:14" ht="17" thickBot="1" x14ac:dyDescent="0.25">
      <c r="A12" s="227" t="s">
        <v>355</v>
      </c>
      <c r="B12" s="232">
        <f ca="1">$B$10*B11</f>
        <v>2773.3319961797761</v>
      </c>
      <c r="C12" s="232">
        <f ca="1">$B$10*C11</f>
        <v>3025.4530867415733</v>
      </c>
      <c r="D12" s="232">
        <f ca="1">$B$10*D11</f>
        <v>3277.5741773033715</v>
      </c>
      <c r="E12" s="232">
        <f ca="1">$B$10*E11</f>
        <v>3529.6952678651687</v>
      </c>
      <c r="F12" s="232">
        <f ca="1">$B$10*F11</f>
        <v>3781.8163584269669</v>
      </c>
      <c r="M12" s="93" t="s">
        <v>11</v>
      </c>
      <c r="N12">
        <v>45000</v>
      </c>
    </row>
    <row r="13" spans="1:14" x14ac:dyDescent="0.2">
      <c r="A13" s="226" t="s">
        <v>133</v>
      </c>
      <c r="B13" s="233">
        <f ca="1">B12-$B$10</f>
        <v>252.12109056179816</v>
      </c>
      <c r="C13" s="233">
        <f ca="1">C12-$B$10</f>
        <v>504.2421811235954</v>
      </c>
      <c r="D13" s="233">
        <f ca="1">D12-$B$10</f>
        <v>756.36327168539356</v>
      </c>
      <c r="E13" s="233">
        <f ca="1">E12-$B$10</f>
        <v>1008.4843622471908</v>
      </c>
      <c r="F13" s="233">
        <f ca="1">F12-$B$10</f>
        <v>1260.605452808989</v>
      </c>
      <c r="M13" s="93" t="s">
        <v>61</v>
      </c>
      <c r="N13">
        <v>72902.820000000007</v>
      </c>
    </row>
    <row r="14" spans="1:14" x14ac:dyDescent="0.2">
      <c r="A14" s="226" t="s">
        <v>134</v>
      </c>
      <c r="B14" s="231">
        <f ca="1">B13/B12</f>
        <v>9.0909090909091023E-2</v>
      </c>
      <c r="C14" s="231">
        <f ca="1">C13/C12</f>
        <v>0.16666666666666663</v>
      </c>
      <c r="D14" s="231">
        <f ca="1">D13/D12</f>
        <v>0.23076923076923081</v>
      </c>
      <c r="E14" s="231">
        <f ca="1">E13/E12</f>
        <v>0.28571428571428564</v>
      </c>
      <c r="F14" s="231">
        <f ca="1">F13/F12</f>
        <v>0.33333333333333331</v>
      </c>
      <c r="M14" s="93" t="s">
        <v>23</v>
      </c>
      <c r="N14">
        <v>13633.041600000002</v>
      </c>
    </row>
    <row r="15" spans="1:14" x14ac:dyDescent="0.2">
      <c r="A15" s="230" t="s">
        <v>356</v>
      </c>
      <c r="B15" s="234">
        <f ca="1">(SUM($N$7+$N$8+$N$6+$N$9+$N$10+$N$12+$N$13+$N$14+$N$15+$N$16))/'Pricing-Working'!B14</f>
        <v>9626274.4775999878</v>
      </c>
      <c r="C15" s="234">
        <f ca="1">(SUM($N$7+$N$8+$N$6+$N$9+$N$10+$N$12+$N$13+$N$14+$N$15+$N$16))/'Pricing-Working'!C14</f>
        <v>5250695.1696000015</v>
      </c>
      <c r="D15" s="234">
        <f ca="1">(SUM($N$7+$N$8+$N$6+$N$9+$N$10+$N$12+$N$13+$N$14+$N$15+$N$16))/'Pricing-Working'!D14</f>
        <v>3792168.7335999995</v>
      </c>
      <c r="E15" s="234">
        <f ca="1">(SUM($N$7+$N$8+$N$6+$N$9+$N$10+$N$12+$N$13+$N$14+$N$15+$N$16))/'Pricing-Working'!E14</f>
        <v>3062905.515600001</v>
      </c>
      <c r="F15" s="234">
        <f ca="1">(SUM($N$7+$N$8+$N$6+$N$9+$N$10+$N$12+$N$13+$N$14+$N$15+$N$16))/'Pricing-Working'!F14</f>
        <v>2625347.5848000003</v>
      </c>
      <c r="M15" s="93" t="s">
        <v>117</v>
      </c>
      <c r="N15">
        <v>80000</v>
      </c>
    </row>
    <row r="16" spans="1:14" ht="17" thickBot="1" x14ac:dyDescent="0.25">
      <c r="A16" s="227" t="s">
        <v>357</v>
      </c>
      <c r="B16" s="235">
        <f ca="1">(SUM($N$7+$N$8+$N$6+$N$9+$N$10+$N$12+$N$13+$N$14+$N$15+$N$16))/B13</f>
        <v>3471.0141053649686</v>
      </c>
      <c r="C16" s="235">
        <f t="shared" ref="C16:F16" ca="1" si="0">(SUM($N$7+$N$8+$N$6+$N$9+$N$10+$N$12+$N$13+$N$14+$N$15+$N$16))/C13</f>
        <v>1735.5070526824875</v>
      </c>
      <c r="D16" s="235">
        <f t="shared" ca="1" si="0"/>
        <v>1157.0047017883244</v>
      </c>
      <c r="E16" s="235">
        <f t="shared" ca="1" si="0"/>
        <v>867.75352634124374</v>
      </c>
      <c r="F16" s="235">
        <f t="shared" ca="1" si="0"/>
        <v>694.20282107299477</v>
      </c>
      <c r="M16" s="93" t="s">
        <v>137</v>
      </c>
      <c r="N16">
        <v>23490</v>
      </c>
    </row>
    <row r="17" spans="1:14" x14ac:dyDescent="0.2">
      <c r="A17" s="38"/>
      <c r="B17" s="38"/>
      <c r="C17" s="38"/>
      <c r="E17" s="36"/>
      <c r="M17" s="93" t="s">
        <v>139</v>
      </c>
      <c r="N17">
        <v>0</v>
      </c>
    </row>
    <row r="18" spans="1:14" x14ac:dyDescent="0.2">
      <c r="E18" s="36"/>
      <c r="M18" s="93" t="s">
        <v>140</v>
      </c>
      <c r="N18">
        <v>0</v>
      </c>
    </row>
    <row r="19" spans="1:14" x14ac:dyDescent="0.2">
      <c r="E19" s="36"/>
      <c r="M19" s="93" t="s">
        <v>141</v>
      </c>
      <c r="N19">
        <v>0</v>
      </c>
    </row>
    <row r="20" spans="1:14" x14ac:dyDescent="0.2">
      <c r="A20" s="417"/>
      <c r="B20" s="38"/>
      <c r="C20" s="38"/>
      <c r="E20" s="36"/>
      <c r="M20" s="93" t="s">
        <v>142</v>
      </c>
      <c r="N20">
        <v>0</v>
      </c>
    </row>
    <row r="21" spans="1:14" x14ac:dyDescent="0.2">
      <c r="E21" s="36"/>
      <c r="M21" s="93" t="s">
        <v>143</v>
      </c>
      <c r="N21">
        <v>875115.86160000006</v>
      </c>
    </row>
    <row r="22" spans="1:14" x14ac:dyDescent="0.2">
      <c r="E22" s="36"/>
      <c r="M22" s="93" t="s">
        <v>125</v>
      </c>
    </row>
    <row r="23" spans="1:14" x14ac:dyDescent="0.2">
      <c r="E23" s="36"/>
      <c r="I23" s="38"/>
      <c r="J23" s="40"/>
      <c r="K23" s="40"/>
      <c r="L23" s="40"/>
      <c r="M23" s="93" t="s">
        <v>144</v>
      </c>
      <c r="N23" s="40">
        <v>0</v>
      </c>
    </row>
    <row r="24" spans="1:14" x14ac:dyDescent="0.2">
      <c r="E24" s="36"/>
      <c r="J24" s="41"/>
      <c r="K24" s="41"/>
      <c r="L24" s="41"/>
      <c r="M24" s="93" t="s">
        <v>145</v>
      </c>
      <c r="N24" s="41">
        <v>0</v>
      </c>
    </row>
    <row r="25" spans="1:14" x14ac:dyDescent="0.2">
      <c r="E25" s="36"/>
      <c r="M25" s="93" t="s">
        <v>125</v>
      </c>
    </row>
    <row r="26" spans="1:14" x14ac:dyDescent="0.2">
      <c r="E26" s="36"/>
      <c r="M26" s="93" t="s">
        <v>146</v>
      </c>
      <c r="N26">
        <v>-499845.76160000009</v>
      </c>
    </row>
    <row r="27" spans="1:14" x14ac:dyDescent="0.2">
      <c r="E27" s="36"/>
      <c r="M27" s="93" t="s">
        <v>147</v>
      </c>
      <c r="N27">
        <v>0</v>
      </c>
    </row>
    <row r="28" spans="1:14" x14ac:dyDescent="0.2">
      <c r="M28" s="93" t="s">
        <v>148</v>
      </c>
      <c r="N28">
        <v>-499845.76160000009</v>
      </c>
    </row>
    <row r="29" spans="1:14" x14ac:dyDescent="0.2">
      <c r="M29" s="93" t="s">
        <v>119</v>
      </c>
    </row>
    <row r="30" spans="1:14" x14ac:dyDescent="0.2">
      <c r="M30" s="93" t="s">
        <v>149</v>
      </c>
      <c r="N30">
        <v>-706786.36</v>
      </c>
    </row>
    <row r="31" spans="1:14" x14ac:dyDescent="0.2">
      <c r="M31" s="93" t="s">
        <v>148</v>
      </c>
      <c r="N31">
        <v>-1206632.1216000002</v>
      </c>
    </row>
    <row r="32" spans="1:14" x14ac:dyDescent="0.2">
      <c r="M32" s="93" t="s">
        <v>150</v>
      </c>
      <c r="N32">
        <v>0</v>
      </c>
    </row>
    <row r="33" spans="13:14" x14ac:dyDescent="0.2">
      <c r="M33" s="90" t="s">
        <v>151</v>
      </c>
      <c r="N33">
        <v>-1206632.1216000002</v>
      </c>
    </row>
  </sheetData>
  <mergeCells count="1">
    <mergeCell ref="B9:D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136A5-1609-3944-B4D1-8DC4E99FF4A6}">
  <sheetPr>
    <tabColor theme="3" tint="0.749992370372631"/>
  </sheetPr>
  <dimension ref="A2:BA84"/>
  <sheetViews>
    <sheetView topLeftCell="AK1" zoomScale="58" workbookViewId="0">
      <selection activeCell="BD55" sqref="BD55"/>
    </sheetView>
  </sheetViews>
  <sheetFormatPr baseColWidth="10" defaultColWidth="11" defaultRowHeight="16" x14ac:dyDescent="0.2"/>
  <cols>
    <col min="1" max="16384" width="11" style="4"/>
  </cols>
  <sheetData>
    <row r="2" spans="1:53" x14ac:dyDescent="0.2">
      <c r="A2" s="4" t="s">
        <v>358</v>
      </c>
      <c r="G2" s="4" t="s">
        <v>359</v>
      </c>
      <c r="H2" s="6"/>
      <c r="I2" s="6"/>
      <c r="J2" s="6"/>
      <c r="K2" s="6"/>
      <c r="M2" s="4" t="s">
        <v>360</v>
      </c>
      <c r="N2" s="6"/>
      <c r="O2" s="6"/>
      <c r="P2" s="6"/>
      <c r="Q2" s="6"/>
      <c r="S2" s="4" t="s">
        <v>361</v>
      </c>
      <c r="T2" s="6"/>
      <c r="U2" s="6"/>
      <c r="V2" s="6"/>
      <c r="W2" s="6"/>
      <c r="Y2" s="4" t="s">
        <v>362</v>
      </c>
      <c r="Z2" s="6"/>
      <c r="AA2" s="6"/>
      <c r="AB2" s="6"/>
      <c r="AC2" s="6"/>
      <c r="AE2" s="4" t="s">
        <v>363</v>
      </c>
      <c r="AF2" s="6"/>
      <c r="AG2" s="6"/>
      <c r="AH2" s="6"/>
      <c r="AI2" s="6"/>
      <c r="AK2" s="4" t="s">
        <v>364</v>
      </c>
      <c r="AL2" s="6"/>
      <c r="AM2" s="6"/>
      <c r="AN2" s="6"/>
      <c r="AO2" s="6"/>
      <c r="AQ2" s="4" t="s">
        <v>365</v>
      </c>
      <c r="AR2" s="6"/>
      <c r="AS2" s="6"/>
      <c r="AT2" s="6"/>
      <c r="AU2" s="6"/>
      <c r="AW2" s="4" t="s">
        <v>366</v>
      </c>
      <c r="AX2" s="6"/>
      <c r="AY2" s="6"/>
      <c r="AZ2" s="6"/>
      <c r="BA2" s="6"/>
    </row>
    <row r="3" spans="1:53" x14ac:dyDescent="0.2">
      <c r="A3" s="557" t="s">
        <v>367</v>
      </c>
      <c r="B3" s="494">
        <v>1</v>
      </c>
      <c r="C3" s="494">
        <v>2</v>
      </c>
      <c r="D3" s="494">
        <v>3</v>
      </c>
      <c r="E3" s="495">
        <v>4</v>
      </c>
      <c r="G3" s="557" t="s">
        <v>367</v>
      </c>
      <c r="H3" s="494">
        <v>1</v>
      </c>
      <c r="I3" s="494">
        <v>2</v>
      </c>
      <c r="J3" s="494">
        <v>3</v>
      </c>
      <c r="K3" s="495">
        <v>4</v>
      </c>
      <c r="M3" s="557" t="s">
        <v>367</v>
      </c>
      <c r="N3" s="494">
        <v>1</v>
      </c>
      <c r="O3" s="494">
        <v>2</v>
      </c>
      <c r="P3" s="494">
        <v>3</v>
      </c>
      <c r="Q3" s="495">
        <v>4</v>
      </c>
      <c r="S3" s="557" t="s">
        <v>367</v>
      </c>
      <c r="T3" s="494">
        <v>1</v>
      </c>
      <c r="U3" s="494">
        <v>2</v>
      </c>
      <c r="V3" s="494">
        <v>3</v>
      </c>
      <c r="W3" s="495">
        <v>4</v>
      </c>
      <c r="Y3" s="9" t="s">
        <v>367</v>
      </c>
      <c r="Z3" s="494">
        <v>1</v>
      </c>
      <c r="AA3" s="494">
        <v>2</v>
      </c>
      <c r="AB3" s="494">
        <v>3</v>
      </c>
      <c r="AC3" s="495">
        <v>4</v>
      </c>
      <c r="AE3" s="558" t="s">
        <v>367</v>
      </c>
      <c r="AF3" s="559">
        <v>1</v>
      </c>
      <c r="AG3" s="559">
        <v>2</v>
      </c>
      <c r="AH3" s="559">
        <v>3</v>
      </c>
      <c r="AI3" s="560">
        <v>4</v>
      </c>
      <c r="AK3" s="557" t="s">
        <v>367</v>
      </c>
      <c r="AL3" s="494">
        <v>1</v>
      </c>
      <c r="AM3" s="494">
        <v>2</v>
      </c>
      <c r="AN3" s="494">
        <v>3</v>
      </c>
      <c r="AO3" s="495">
        <v>4</v>
      </c>
      <c r="AQ3" s="557" t="s">
        <v>367</v>
      </c>
      <c r="AR3" s="494">
        <v>1</v>
      </c>
      <c r="AS3" s="494">
        <v>2</v>
      </c>
      <c r="AT3" s="494">
        <v>3</v>
      </c>
      <c r="AU3" s="495">
        <v>4</v>
      </c>
      <c r="AW3" s="557" t="s">
        <v>367</v>
      </c>
      <c r="AX3" s="494">
        <v>1</v>
      </c>
      <c r="AY3" s="494">
        <v>2</v>
      </c>
      <c r="AZ3" s="494">
        <v>3</v>
      </c>
      <c r="BA3" s="495">
        <v>4</v>
      </c>
    </row>
    <row r="4" spans="1:53" x14ac:dyDescent="0.2">
      <c r="A4" s="12" t="s">
        <v>283</v>
      </c>
      <c r="B4" s="501">
        <v>1499</v>
      </c>
      <c r="C4" s="494">
        <v>1399</v>
      </c>
      <c r="D4" s="494">
        <v>1399</v>
      </c>
      <c r="E4" s="495">
        <v>1499</v>
      </c>
      <c r="G4" s="12" t="s">
        <v>283</v>
      </c>
      <c r="H4" s="501">
        <v>1890</v>
      </c>
      <c r="I4" s="494">
        <v>1890</v>
      </c>
      <c r="J4" s="494">
        <v>1845</v>
      </c>
      <c r="K4" s="495">
        <v>1890</v>
      </c>
      <c r="M4" s="12" t="s">
        <v>283</v>
      </c>
      <c r="N4" s="501">
        <v>2450</v>
      </c>
      <c r="O4" s="494">
        <v>1899</v>
      </c>
      <c r="P4" s="494">
        <v>2450</v>
      </c>
      <c r="Q4" s="495">
        <v>2450</v>
      </c>
      <c r="S4" s="12" t="s">
        <v>283</v>
      </c>
      <c r="T4" s="501">
        <v>2799</v>
      </c>
      <c r="U4" s="494">
        <v>2199</v>
      </c>
      <c r="V4" s="494">
        <v>2799</v>
      </c>
      <c r="W4" s="495">
        <v>2799</v>
      </c>
      <c r="Y4" s="12" t="s">
        <v>283</v>
      </c>
      <c r="Z4" s="501">
        <v>2899</v>
      </c>
      <c r="AA4" s="494">
        <v>2399</v>
      </c>
      <c r="AB4" s="494">
        <v>2899</v>
      </c>
      <c r="AC4" s="495">
        <v>2899</v>
      </c>
      <c r="AE4" s="466" t="s">
        <v>283</v>
      </c>
      <c r="AF4" s="561">
        <v>2999</v>
      </c>
      <c r="AG4" s="559">
        <v>2499</v>
      </c>
      <c r="AH4" s="559">
        <v>2999</v>
      </c>
      <c r="AI4" s="560">
        <v>2999</v>
      </c>
      <c r="AK4" s="12" t="s">
        <v>283</v>
      </c>
      <c r="AL4" s="501">
        <v>2799</v>
      </c>
      <c r="AM4" s="494">
        <v>2599</v>
      </c>
      <c r="AN4" s="494">
        <v>2799</v>
      </c>
      <c r="AO4" s="495">
        <v>2799</v>
      </c>
      <c r="AQ4" s="12" t="s">
        <v>283</v>
      </c>
      <c r="AR4" s="501">
        <v>2899</v>
      </c>
      <c r="AS4" s="494">
        <v>2599</v>
      </c>
      <c r="AT4" s="494">
        <v>2899</v>
      </c>
      <c r="AU4" s="495">
        <v>2899</v>
      </c>
      <c r="AW4" s="12" t="s">
        <v>283</v>
      </c>
      <c r="AX4" s="501">
        <v>2899</v>
      </c>
      <c r="AY4" s="494">
        <v>2599</v>
      </c>
      <c r="AZ4" s="494">
        <v>2899</v>
      </c>
      <c r="BA4" s="495">
        <v>2899</v>
      </c>
    </row>
    <row r="5" spans="1:53" x14ac:dyDescent="0.2">
      <c r="A5" s="275" t="s">
        <v>281</v>
      </c>
      <c r="B5" s="502">
        <v>1303</v>
      </c>
      <c r="C5" s="497">
        <v>0</v>
      </c>
      <c r="D5" s="497">
        <v>1273</v>
      </c>
      <c r="E5" s="498">
        <v>0</v>
      </c>
      <c r="F5" s="199"/>
      <c r="G5" s="12" t="s">
        <v>281</v>
      </c>
      <c r="H5" s="503">
        <v>1179.98</v>
      </c>
      <c r="I5" s="6">
        <v>1179.98</v>
      </c>
      <c r="J5" s="6">
        <v>1149.98</v>
      </c>
      <c r="K5" s="496">
        <v>1179.98</v>
      </c>
      <c r="M5" s="12" t="s">
        <v>281</v>
      </c>
      <c r="N5" s="503">
        <v>1500</v>
      </c>
      <c r="O5" s="6">
        <v>1450</v>
      </c>
      <c r="P5" s="6">
        <v>1500</v>
      </c>
      <c r="Q5" s="496">
        <v>1600</v>
      </c>
      <c r="S5" s="12" t="s">
        <v>281</v>
      </c>
      <c r="T5" s="503">
        <v>1999</v>
      </c>
      <c r="U5" s="6">
        <v>1949</v>
      </c>
      <c r="V5" s="6">
        <v>1999</v>
      </c>
      <c r="W5" s="496">
        <v>2099</v>
      </c>
      <c r="Y5" s="12" t="s">
        <v>281</v>
      </c>
      <c r="Z5" s="503">
        <v>2049</v>
      </c>
      <c r="AA5" s="6">
        <v>1999</v>
      </c>
      <c r="AB5" s="6">
        <v>2049</v>
      </c>
      <c r="AC5" s="496">
        <v>2149</v>
      </c>
      <c r="AE5" s="466" t="s">
        <v>281</v>
      </c>
      <c r="AF5" s="562">
        <v>2099</v>
      </c>
      <c r="AG5" s="563">
        <v>2049</v>
      </c>
      <c r="AH5" s="563">
        <v>2099</v>
      </c>
      <c r="AI5" s="564">
        <v>2149</v>
      </c>
      <c r="AK5" s="12" t="s">
        <v>281</v>
      </c>
      <c r="AL5" s="503">
        <v>2149.98</v>
      </c>
      <c r="AM5" s="6">
        <v>2099</v>
      </c>
      <c r="AN5" s="6">
        <v>2149</v>
      </c>
      <c r="AO5" s="496">
        <v>2199</v>
      </c>
      <c r="AQ5" s="12" t="s">
        <v>281</v>
      </c>
      <c r="AR5" s="503">
        <v>2249.98</v>
      </c>
      <c r="AS5" s="6">
        <v>2199.98</v>
      </c>
      <c r="AT5" s="6">
        <v>2249.98</v>
      </c>
      <c r="AU5" s="496">
        <v>2299.98</v>
      </c>
      <c r="AW5" s="12" t="s">
        <v>281</v>
      </c>
      <c r="AX5" s="503">
        <v>2050</v>
      </c>
      <c r="AY5" s="6">
        <v>2000</v>
      </c>
      <c r="AZ5" s="6">
        <v>2050</v>
      </c>
      <c r="BA5" s="496">
        <v>2100</v>
      </c>
    </row>
    <row r="6" spans="1:53" x14ac:dyDescent="0.2">
      <c r="A6" s="12" t="s">
        <v>302</v>
      </c>
      <c r="B6" s="503">
        <v>499.99</v>
      </c>
      <c r="C6" s="6">
        <v>469.99</v>
      </c>
      <c r="D6" s="6">
        <v>469.99</v>
      </c>
      <c r="E6" s="496">
        <v>499.99</v>
      </c>
      <c r="G6" s="12" t="s">
        <v>302</v>
      </c>
      <c r="H6" s="503">
        <v>1550</v>
      </c>
      <c r="I6" s="6">
        <v>1499</v>
      </c>
      <c r="J6" s="6">
        <v>1499</v>
      </c>
      <c r="K6" s="496">
        <v>1550</v>
      </c>
      <c r="M6" s="12" t="s">
        <v>302</v>
      </c>
      <c r="N6" s="503">
        <v>2099</v>
      </c>
      <c r="O6" s="6">
        <v>1999</v>
      </c>
      <c r="P6" s="6">
        <v>1999</v>
      </c>
      <c r="Q6" s="496">
        <v>2099</v>
      </c>
      <c r="S6" s="12" t="s">
        <v>302</v>
      </c>
      <c r="T6" s="503">
        <v>2099</v>
      </c>
      <c r="U6" s="6">
        <v>1999</v>
      </c>
      <c r="V6" s="6">
        <v>1999</v>
      </c>
      <c r="W6" s="496">
        <v>2099</v>
      </c>
      <c r="Y6" s="12" t="s">
        <v>302</v>
      </c>
      <c r="Z6" s="503">
        <v>2299</v>
      </c>
      <c r="AA6" s="6">
        <v>2199</v>
      </c>
      <c r="AB6" s="6">
        <v>2299</v>
      </c>
      <c r="AC6" s="496">
        <v>2299</v>
      </c>
      <c r="AE6" s="466" t="s">
        <v>302</v>
      </c>
      <c r="AF6" s="562">
        <v>2699</v>
      </c>
      <c r="AG6" s="563">
        <v>2599</v>
      </c>
      <c r="AH6" s="563">
        <v>2599</v>
      </c>
      <c r="AI6" s="564">
        <v>2699</v>
      </c>
      <c r="AK6" s="12" t="s">
        <v>302</v>
      </c>
      <c r="AL6" s="503">
        <v>2799</v>
      </c>
      <c r="AM6" s="6">
        <v>2699</v>
      </c>
      <c r="AN6" s="6">
        <v>2699</v>
      </c>
      <c r="AO6" s="496">
        <v>2799</v>
      </c>
      <c r="AQ6" s="12" t="s">
        <v>302</v>
      </c>
      <c r="AR6" s="503">
        <v>2399</v>
      </c>
      <c r="AS6" s="6">
        <v>2299</v>
      </c>
      <c r="AT6" s="6">
        <v>2299</v>
      </c>
      <c r="AU6" s="496">
        <v>2399</v>
      </c>
      <c r="AW6" s="12" t="s">
        <v>302</v>
      </c>
      <c r="AX6" s="503">
        <v>2399</v>
      </c>
      <c r="AY6" s="6">
        <v>2299</v>
      </c>
      <c r="AZ6" s="6">
        <v>2299</v>
      </c>
      <c r="BA6" s="496">
        <v>2399</v>
      </c>
    </row>
    <row r="7" spans="1:53" x14ac:dyDescent="0.2">
      <c r="A7" s="14" t="s">
        <v>287</v>
      </c>
      <c r="B7" s="504">
        <v>999.99</v>
      </c>
      <c r="C7" s="499">
        <v>999.99</v>
      </c>
      <c r="D7" s="499">
        <v>949.99</v>
      </c>
      <c r="E7" s="500">
        <v>999.99</v>
      </c>
      <c r="G7" s="14" t="s">
        <v>287</v>
      </c>
      <c r="H7" s="504">
        <v>1429.99</v>
      </c>
      <c r="I7" s="499">
        <v>1399</v>
      </c>
      <c r="J7" s="499">
        <v>1379.99</v>
      </c>
      <c r="K7" s="500">
        <v>1429.99</v>
      </c>
      <c r="M7" s="14" t="s">
        <v>287</v>
      </c>
      <c r="N7" s="504">
        <v>1949</v>
      </c>
      <c r="O7" s="499">
        <v>1949</v>
      </c>
      <c r="P7" s="499">
        <v>1899</v>
      </c>
      <c r="Q7" s="500">
        <v>1949</v>
      </c>
      <c r="S7" s="14" t="s">
        <v>287</v>
      </c>
      <c r="T7" s="504">
        <v>2299</v>
      </c>
      <c r="U7" s="499">
        <v>2299</v>
      </c>
      <c r="V7" s="499">
        <v>2269</v>
      </c>
      <c r="W7" s="500">
        <v>2299</v>
      </c>
      <c r="Y7" s="14" t="s">
        <v>287</v>
      </c>
      <c r="Z7" s="504">
        <v>2599</v>
      </c>
      <c r="AA7" s="499">
        <v>2599</v>
      </c>
      <c r="AB7" s="499">
        <v>2599</v>
      </c>
      <c r="AC7" s="500">
        <v>2599</v>
      </c>
      <c r="AE7" s="467" t="s">
        <v>287</v>
      </c>
      <c r="AF7" s="565">
        <v>2249</v>
      </c>
      <c r="AG7" s="566">
        <v>2249</v>
      </c>
      <c r="AH7" s="566">
        <v>2229</v>
      </c>
      <c r="AI7" s="567">
        <v>2249</v>
      </c>
      <c r="AK7" s="14" t="s">
        <v>287</v>
      </c>
      <c r="AL7" s="504">
        <v>2399</v>
      </c>
      <c r="AM7" s="499">
        <v>2399</v>
      </c>
      <c r="AN7" s="499">
        <v>2359</v>
      </c>
      <c r="AO7" s="500">
        <v>2399</v>
      </c>
      <c r="AQ7" s="14" t="s">
        <v>287</v>
      </c>
      <c r="AR7" s="504">
        <v>2579</v>
      </c>
      <c r="AS7" s="499">
        <v>2579</v>
      </c>
      <c r="AT7" s="499">
        <v>2549</v>
      </c>
      <c r="AU7" s="500">
        <v>2579</v>
      </c>
      <c r="AW7" s="14" t="s">
        <v>287</v>
      </c>
      <c r="AX7" s="504">
        <v>2799</v>
      </c>
      <c r="AY7" s="499">
        <v>2799</v>
      </c>
      <c r="AZ7" s="499">
        <v>2799</v>
      </c>
      <c r="BA7" s="500">
        <v>2799</v>
      </c>
    </row>
    <row r="8" spans="1:53" x14ac:dyDescent="0.2">
      <c r="B8" s="6"/>
      <c r="C8" s="6"/>
      <c r="D8" s="6"/>
      <c r="E8" s="6"/>
    </row>
    <row r="9" spans="1:53" x14ac:dyDescent="0.2">
      <c r="B9" s="6"/>
      <c r="C9" s="6"/>
      <c r="D9" s="6"/>
      <c r="E9" s="6"/>
      <c r="Z9" s="6"/>
      <c r="AA9" s="6"/>
      <c r="AB9" s="6"/>
      <c r="AC9" s="6"/>
    </row>
    <row r="10" spans="1:53" x14ac:dyDescent="0.2">
      <c r="B10" s="6"/>
      <c r="C10" s="6"/>
      <c r="D10" s="6"/>
      <c r="E10" s="6"/>
    </row>
    <row r="11" spans="1:53" x14ac:dyDescent="0.2">
      <c r="B11" s="6"/>
      <c r="C11" s="6"/>
      <c r="D11" s="6"/>
      <c r="E11" s="6"/>
    </row>
    <row r="12" spans="1:53" x14ac:dyDescent="0.2">
      <c r="B12" s="6"/>
      <c r="C12" s="6"/>
      <c r="D12" s="6"/>
      <c r="E12" s="6"/>
    </row>
    <row r="13" spans="1:53" x14ac:dyDescent="0.2">
      <c r="B13" s="6"/>
      <c r="C13" s="6"/>
      <c r="D13" s="6"/>
      <c r="E13" s="6"/>
    </row>
    <row r="14" spans="1:53" x14ac:dyDescent="0.2">
      <c r="B14" s="6"/>
      <c r="C14" s="6"/>
      <c r="D14" s="6"/>
      <c r="E14" s="6"/>
    </row>
    <row r="15" spans="1:53" x14ac:dyDescent="0.2">
      <c r="B15" s="6"/>
      <c r="C15" s="6"/>
      <c r="D15" s="6"/>
      <c r="E15" s="6"/>
    </row>
    <row r="23" spans="1:1" x14ac:dyDescent="0.2">
      <c r="A23" s="199" t="s">
        <v>368</v>
      </c>
    </row>
    <row r="57" spans="17:20" x14ac:dyDescent="0.2">
      <c r="Q57" s="6"/>
      <c r="R57" s="6"/>
      <c r="S57" s="6"/>
      <c r="T57" s="6"/>
    </row>
    <row r="58" spans="17:20" x14ac:dyDescent="0.2">
      <c r="Q58" s="6"/>
      <c r="R58" s="6"/>
      <c r="S58" s="6"/>
      <c r="T58" s="6"/>
    </row>
    <row r="59" spans="17:20" x14ac:dyDescent="0.2">
      <c r="Q59" s="6"/>
      <c r="R59" s="6"/>
      <c r="S59" s="6"/>
      <c r="T59" s="6"/>
    </row>
    <row r="60" spans="17:20" x14ac:dyDescent="0.2">
      <c r="Q60" s="6"/>
      <c r="R60" s="6"/>
      <c r="S60" s="6"/>
      <c r="T60" s="6"/>
    </row>
    <row r="61" spans="17:20" x14ac:dyDescent="0.2">
      <c r="Q61" s="6"/>
      <c r="R61" s="6"/>
      <c r="S61" s="6"/>
      <c r="T61" s="6"/>
    </row>
    <row r="62" spans="17:20" x14ac:dyDescent="0.2">
      <c r="Q62" s="6"/>
      <c r="R62" s="6"/>
      <c r="S62" s="6"/>
      <c r="T62" s="6"/>
    </row>
    <row r="74" spans="17:20" x14ac:dyDescent="0.2">
      <c r="Q74" s="6"/>
      <c r="R74" s="6"/>
      <c r="S74" s="6"/>
      <c r="T74" s="6"/>
    </row>
    <row r="75" spans="17:20" x14ac:dyDescent="0.2">
      <c r="Q75" s="6"/>
      <c r="R75" s="6"/>
      <c r="S75" s="6"/>
      <c r="T75" s="6"/>
    </row>
    <row r="82" spans="17:20" x14ac:dyDescent="0.2">
      <c r="Q82" s="6"/>
      <c r="R82" s="6"/>
      <c r="S82" s="6"/>
      <c r="T82" s="6"/>
    </row>
    <row r="83" spans="17:20" x14ac:dyDescent="0.2">
      <c r="Q83" s="6"/>
      <c r="R83" s="6"/>
      <c r="S83" s="6"/>
      <c r="T83" s="6"/>
    </row>
    <row r="84" spans="17:20" x14ac:dyDescent="0.2">
      <c r="Q84" s="6"/>
      <c r="R84" s="6"/>
      <c r="S84" s="6"/>
      <c r="T84" s="6"/>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6008-E62D-7A49-829F-3C33CA9998A6}">
  <sheetPr codeName="Sheet32">
    <tabColor theme="3" tint="0.749992370372631"/>
  </sheetPr>
  <dimension ref="B2:S26"/>
  <sheetViews>
    <sheetView zoomScale="68" workbookViewId="0">
      <selection activeCell="G20" sqref="G20"/>
    </sheetView>
  </sheetViews>
  <sheetFormatPr baseColWidth="10" defaultColWidth="11" defaultRowHeight="16" x14ac:dyDescent="0.2"/>
  <cols>
    <col min="1" max="16384" width="11" style="4"/>
  </cols>
  <sheetData>
    <row r="2" spans="2:19" x14ac:dyDescent="0.2">
      <c r="B2" s="9" t="s">
        <v>263</v>
      </c>
      <c r="C2" s="10"/>
      <c r="D2" s="10"/>
      <c r="E2" s="10"/>
      <c r="F2" s="10"/>
      <c r="G2" s="10"/>
      <c r="H2" s="10"/>
      <c r="I2" s="10"/>
      <c r="J2" s="10"/>
      <c r="K2" s="10"/>
      <c r="L2" s="10"/>
      <c r="M2" s="10"/>
      <c r="N2" s="11"/>
    </row>
    <row r="3" spans="2:19" x14ac:dyDescent="0.2">
      <c r="B3" s="12" t="s">
        <v>369</v>
      </c>
      <c r="C3" s="4">
        <v>1</v>
      </c>
      <c r="D3" s="4">
        <v>2</v>
      </c>
      <c r="E3" s="4">
        <v>3</v>
      </c>
      <c r="F3" s="4">
        <v>4</v>
      </c>
      <c r="G3" s="4">
        <v>5</v>
      </c>
      <c r="H3" s="4">
        <v>6</v>
      </c>
      <c r="I3" s="4">
        <v>7</v>
      </c>
      <c r="J3" s="4">
        <v>8</v>
      </c>
      <c r="K3" s="4">
        <v>9</v>
      </c>
      <c r="L3" s="4">
        <v>10</v>
      </c>
      <c r="M3" s="4">
        <v>11</v>
      </c>
      <c r="N3" s="13">
        <v>12</v>
      </c>
    </row>
    <row r="4" spans="2:19" x14ac:dyDescent="0.2">
      <c r="B4" s="12">
        <v>1</v>
      </c>
      <c r="C4" s="9">
        <v>0</v>
      </c>
      <c r="D4" s="10">
        <v>50</v>
      </c>
      <c r="E4" s="10">
        <v>99</v>
      </c>
      <c r="F4" s="10">
        <v>210</v>
      </c>
      <c r="G4" s="10">
        <v>292</v>
      </c>
      <c r="H4" s="10">
        <v>150</v>
      </c>
      <c r="I4" s="10">
        <v>359</v>
      </c>
      <c r="J4" s="10">
        <v>264</v>
      </c>
      <c r="K4" s="10">
        <v>427</v>
      </c>
      <c r="L4" s="10">
        <v>484</v>
      </c>
      <c r="M4" s="10">
        <v>577</v>
      </c>
      <c r="N4" s="11">
        <v>403</v>
      </c>
    </row>
    <row r="5" spans="2:19" x14ac:dyDescent="0.2">
      <c r="B5" s="12">
        <v>2</v>
      </c>
      <c r="C5" s="12">
        <v>0</v>
      </c>
      <c r="D5" s="4">
        <v>103</v>
      </c>
      <c r="E5" s="4">
        <v>216</v>
      </c>
      <c r="F5" s="4">
        <v>79</v>
      </c>
      <c r="G5" s="4">
        <v>297</v>
      </c>
      <c r="H5" s="4">
        <v>301</v>
      </c>
      <c r="I5" s="4">
        <v>212</v>
      </c>
      <c r="J5" s="4">
        <v>198</v>
      </c>
      <c r="K5" s="4">
        <v>271</v>
      </c>
      <c r="L5" s="4">
        <v>302</v>
      </c>
      <c r="M5" s="4">
        <v>327</v>
      </c>
      <c r="N5" s="13">
        <v>210</v>
      </c>
    </row>
    <row r="6" spans="2:19" x14ac:dyDescent="0.2">
      <c r="B6" s="12">
        <v>3</v>
      </c>
      <c r="C6" s="12">
        <v>0</v>
      </c>
      <c r="D6" s="4">
        <v>66</v>
      </c>
      <c r="E6" s="4">
        <v>207</v>
      </c>
      <c r="F6" s="4">
        <v>121</v>
      </c>
      <c r="G6" s="4">
        <v>117</v>
      </c>
      <c r="H6" s="4">
        <v>25</v>
      </c>
      <c r="I6" s="4">
        <v>39</v>
      </c>
      <c r="J6" s="4">
        <v>50</v>
      </c>
      <c r="K6" s="4">
        <v>48</v>
      </c>
      <c r="L6" s="4">
        <v>151</v>
      </c>
      <c r="M6" s="4">
        <v>57</v>
      </c>
      <c r="N6" s="13">
        <v>40</v>
      </c>
    </row>
    <row r="7" spans="2:19" x14ac:dyDescent="0.2">
      <c r="B7" s="12">
        <v>4</v>
      </c>
      <c r="C7" s="14">
        <v>0</v>
      </c>
      <c r="D7" s="15">
        <v>325</v>
      </c>
      <c r="E7" s="15">
        <v>616</v>
      </c>
      <c r="F7" s="15">
        <v>485</v>
      </c>
      <c r="G7" s="15">
        <v>785</v>
      </c>
      <c r="H7" s="15">
        <v>501</v>
      </c>
      <c r="I7" s="15">
        <v>674</v>
      </c>
      <c r="J7" s="15">
        <v>452</v>
      </c>
      <c r="K7" s="15">
        <v>759</v>
      </c>
      <c r="L7" s="15">
        <v>668</v>
      </c>
      <c r="M7" s="15">
        <v>889</v>
      </c>
      <c r="N7" s="16">
        <v>655</v>
      </c>
    </row>
    <row r="8" spans="2:19" x14ac:dyDescent="0.2">
      <c r="B8" s="71" t="s">
        <v>289</v>
      </c>
      <c r="C8" s="491">
        <v>0</v>
      </c>
      <c r="D8" s="491">
        <v>23490</v>
      </c>
      <c r="E8" s="491">
        <v>47968</v>
      </c>
      <c r="F8" s="491">
        <v>41370</v>
      </c>
      <c r="G8" s="491">
        <v>61890</v>
      </c>
      <c r="H8" s="491">
        <v>36058</v>
      </c>
      <c r="I8" s="72">
        <v>55012</v>
      </c>
      <c r="J8" s="72">
        <v>38776</v>
      </c>
      <c r="K8" s="72">
        <v>63022</v>
      </c>
      <c r="L8" s="72">
        <v>64144</v>
      </c>
      <c r="M8" s="72">
        <v>76922</v>
      </c>
      <c r="N8" s="73">
        <v>55710</v>
      </c>
    </row>
    <row r="10" spans="2:19" x14ac:dyDescent="0.2">
      <c r="D10" s="4">
        <f>SUM(D4:D7)</f>
        <v>544</v>
      </c>
      <c r="E10" s="4">
        <f t="shared" ref="E10:K10" si="0">SUM(E4:E7)</f>
        <v>1138</v>
      </c>
      <c r="F10" s="4">
        <f t="shared" si="0"/>
        <v>895</v>
      </c>
      <c r="G10" s="4">
        <f t="shared" si="0"/>
        <v>1491</v>
      </c>
      <c r="H10" s="4">
        <f t="shared" si="0"/>
        <v>977</v>
      </c>
      <c r="I10" s="4">
        <f t="shared" si="0"/>
        <v>1284</v>
      </c>
      <c r="J10" s="4">
        <f t="shared" si="0"/>
        <v>964</v>
      </c>
      <c r="K10" s="4">
        <f t="shared" si="0"/>
        <v>1505</v>
      </c>
    </row>
    <row r="11" spans="2:19" x14ac:dyDescent="0.2">
      <c r="P11" s="355"/>
      <c r="Q11" s="355"/>
      <c r="R11" s="355"/>
      <c r="S11" s="355"/>
    </row>
    <row r="12" spans="2:19" x14ac:dyDescent="0.2">
      <c r="G12" s="286"/>
      <c r="P12" s="355"/>
      <c r="Q12" s="355"/>
      <c r="R12" s="355"/>
      <c r="S12" s="355"/>
    </row>
    <row r="13" spans="2:19" x14ac:dyDescent="0.2">
      <c r="G13" s="286"/>
      <c r="P13" s="355"/>
      <c r="Q13" s="355"/>
      <c r="R13" s="355"/>
      <c r="S13" s="355"/>
    </row>
    <row r="14" spans="2:19" x14ac:dyDescent="0.2">
      <c r="B14" s="9" t="s">
        <v>370</v>
      </c>
      <c r="C14" s="10"/>
      <c r="D14" s="10"/>
      <c r="E14" s="10"/>
      <c r="F14" s="10"/>
      <c r="G14" s="10"/>
      <c r="H14" s="10"/>
      <c r="I14" s="10"/>
      <c r="J14" s="10"/>
      <c r="K14" s="10"/>
      <c r="L14" s="10"/>
      <c r="M14" s="10"/>
      <c r="N14" s="11"/>
      <c r="P14" s="355"/>
      <c r="Q14" s="355"/>
      <c r="R14" s="355"/>
      <c r="S14" s="355"/>
    </row>
    <row r="15" spans="2:19" x14ac:dyDescent="0.2">
      <c r="B15" s="12" t="s">
        <v>369</v>
      </c>
      <c r="C15" s="4">
        <v>1</v>
      </c>
      <c r="D15" s="4">
        <v>2</v>
      </c>
      <c r="E15" s="4">
        <v>3</v>
      </c>
      <c r="F15" s="4">
        <v>4</v>
      </c>
      <c r="G15" s="4">
        <v>5</v>
      </c>
      <c r="H15" s="4">
        <v>6</v>
      </c>
      <c r="I15" s="4">
        <v>7</v>
      </c>
      <c r="J15" s="4">
        <v>8</v>
      </c>
      <c r="K15" s="4">
        <v>9</v>
      </c>
      <c r="L15" s="4">
        <v>10</v>
      </c>
      <c r="M15" s="4">
        <v>11</v>
      </c>
      <c r="N15" s="13">
        <v>12</v>
      </c>
    </row>
    <row r="16" spans="2:19" x14ac:dyDescent="0.2">
      <c r="B16" s="12">
        <v>1</v>
      </c>
      <c r="C16" s="9">
        <v>0</v>
      </c>
      <c r="D16" s="10">
        <v>1344</v>
      </c>
      <c r="E16" s="10">
        <v>1142</v>
      </c>
      <c r="F16" s="10">
        <v>941</v>
      </c>
      <c r="G16" s="10"/>
      <c r="H16" s="10"/>
      <c r="I16" s="10"/>
      <c r="J16" s="10"/>
      <c r="K16" s="10"/>
      <c r="L16" s="10"/>
      <c r="M16" s="10"/>
      <c r="N16" s="11"/>
    </row>
    <row r="17" spans="2:14" x14ac:dyDescent="0.2">
      <c r="B17" s="12">
        <v>2</v>
      </c>
      <c r="C17" s="12">
        <v>0</v>
      </c>
      <c r="D17" s="4">
        <v>912</v>
      </c>
      <c r="E17" s="4">
        <v>775</v>
      </c>
      <c r="F17" s="4">
        <v>638</v>
      </c>
      <c r="N17" s="13"/>
    </row>
    <row r="18" spans="2:14" x14ac:dyDescent="0.2">
      <c r="B18" s="12">
        <v>3</v>
      </c>
      <c r="C18" s="12">
        <v>0</v>
      </c>
      <c r="D18" s="4">
        <v>1008</v>
      </c>
      <c r="E18" s="4">
        <v>857</v>
      </c>
      <c r="F18" s="4">
        <v>706</v>
      </c>
      <c r="N18" s="13"/>
    </row>
    <row r="19" spans="2:14" x14ac:dyDescent="0.2">
      <c r="B19" s="14">
        <v>4</v>
      </c>
      <c r="C19" s="14">
        <v>0</v>
      </c>
      <c r="D19" s="15">
        <v>1536</v>
      </c>
      <c r="E19" s="15">
        <v>1306</v>
      </c>
      <c r="F19" s="15">
        <v>1075</v>
      </c>
      <c r="G19" s="15"/>
      <c r="H19" s="15"/>
      <c r="I19" s="15"/>
      <c r="J19" s="15"/>
      <c r="K19" s="15"/>
      <c r="L19" s="15"/>
      <c r="M19" s="15"/>
      <c r="N19" s="16"/>
    </row>
    <row r="20" spans="2:14" x14ac:dyDescent="0.2">
      <c r="G20" s="286"/>
    </row>
    <row r="21" spans="2:14" x14ac:dyDescent="0.2">
      <c r="B21" s="9" t="s">
        <v>275</v>
      </c>
      <c r="C21" s="10"/>
      <c r="D21" s="10"/>
      <c r="E21" s="10"/>
      <c r="F21" s="10"/>
      <c r="G21" s="10"/>
      <c r="H21" s="10"/>
      <c r="I21" s="10"/>
      <c r="J21" s="10"/>
      <c r="K21" s="10"/>
      <c r="L21" s="10"/>
      <c r="M21" s="10"/>
      <c r="N21" s="11"/>
    </row>
    <row r="22" spans="2:14" x14ac:dyDescent="0.2">
      <c r="B22" s="12" t="s">
        <v>369</v>
      </c>
      <c r="C22" s="4">
        <v>1</v>
      </c>
      <c r="D22" s="4">
        <v>2</v>
      </c>
      <c r="E22" s="4">
        <v>3</v>
      </c>
      <c r="F22" s="4">
        <v>4</v>
      </c>
      <c r="G22" s="4">
        <v>5</v>
      </c>
      <c r="H22" s="4">
        <v>6</v>
      </c>
      <c r="I22" s="4">
        <v>7</v>
      </c>
      <c r="J22" s="4">
        <v>8</v>
      </c>
      <c r="K22" s="4">
        <v>9</v>
      </c>
      <c r="L22" s="4">
        <v>10</v>
      </c>
      <c r="M22" s="4">
        <v>11</v>
      </c>
      <c r="N22" s="13">
        <v>12</v>
      </c>
    </row>
    <row r="23" spans="2:14" x14ac:dyDescent="0.2">
      <c r="B23" s="12">
        <v>1</v>
      </c>
      <c r="C23" s="9">
        <v>0</v>
      </c>
      <c r="D23" s="10"/>
      <c r="E23" s="531">
        <v>0.1134</v>
      </c>
      <c r="F23" s="10"/>
      <c r="G23" s="10"/>
      <c r="H23" s="10"/>
      <c r="I23" s="10"/>
      <c r="J23" s="10"/>
      <c r="K23" s="531">
        <v>0.35439999999999999</v>
      </c>
      <c r="L23" s="10"/>
      <c r="M23" s="10"/>
      <c r="N23" s="11"/>
    </row>
    <row r="24" spans="2:14" x14ac:dyDescent="0.2">
      <c r="B24" s="12">
        <v>2</v>
      </c>
      <c r="C24" s="12">
        <v>0</v>
      </c>
      <c r="E24" s="220">
        <v>0.35010000000000002</v>
      </c>
      <c r="K24" s="220">
        <v>0.33289999999999997</v>
      </c>
      <c r="N24" s="13"/>
    </row>
    <row r="25" spans="2:14" x14ac:dyDescent="0.2">
      <c r="B25" s="12">
        <v>3</v>
      </c>
      <c r="C25" s="12">
        <v>0</v>
      </c>
      <c r="E25" s="220">
        <v>0.31030000000000002</v>
      </c>
      <c r="K25" s="220">
        <v>5.3600000000000002E-2</v>
      </c>
      <c r="N25" s="13"/>
    </row>
    <row r="26" spans="2:14" x14ac:dyDescent="0.2">
      <c r="B26" s="14">
        <v>4</v>
      </c>
      <c r="C26" s="14">
        <v>0</v>
      </c>
      <c r="D26" s="15"/>
      <c r="E26" s="490">
        <v>0.58330000000000004</v>
      </c>
      <c r="F26" s="15"/>
      <c r="G26" s="15"/>
      <c r="H26" s="15"/>
      <c r="I26" s="15"/>
      <c r="J26" s="15"/>
      <c r="K26" s="490">
        <v>0.5524</v>
      </c>
      <c r="L26" s="15"/>
      <c r="M26" s="15"/>
      <c r="N26" s="16"/>
    </row>
  </sheetData>
  <phoneticPr fontId="1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5B827-BB3E-1443-9D12-DE6BB1ED9C51}">
  <sheetPr codeName="Sheet13">
    <tabColor theme="3" tint="0.749992370372631"/>
  </sheetPr>
  <dimension ref="A1:M31"/>
  <sheetViews>
    <sheetView showGridLines="0" zoomScale="33" workbookViewId="0">
      <selection activeCell="K70" sqref="K70"/>
    </sheetView>
  </sheetViews>
  <sheetFormatPr baseColWidth="10" defaultColWidth="11" defaultRowHeight="16" x14ac:dyDescent="0.2"/>
  <cols>
    <col min="1" max="1" width="27.83203125" customWidth="1"/>
    <col min="2" max="2" width="17.33203125" customWidth="1"/>
    <col min="3" max="3" width="15.33203125" customWidth="1"/>
    <col min="4" max="5" width="17.5" customWidth="1"/>
    <col min="6" max="6" width="13.6640625" bestFit="1" customWidth="1"/>
    <col min="7" max="7" width="14" bestFit="1" customWidth="1"/>
    <col min="8" max="9" width="12.83203125" bestFit="1" customWidth="1"/>
    <col min="10" max="10" width="11.1640625" bestFit="1" customWidth="1"/>
    <col min="11" max="12" width="12.83203125" bestFit="1" customWidth="1"/>
    <col min="13" max="13" width="12.5" bestFit="1" customWidth="1"/>
  </cols>
  <sheetData>
    <row r="1" spans="1:13" ht="17" thickBot="1" x14ac:dyDescent="0.25"/>
    <row r="2" spans="1:13" x14ac:dyDescent="0.2">
      <c r="A2" s="505" t="s">
        <v>371</v>
      </c>
      <c r="B2" s="514">
        <v>1</v>
      </c>
      <c r="C2" s="514">
        <v>2</v>
      </c>
      <c r="D2" s="514">
        <v>3</v>
      </c>
      <c r="E2" s="514">
        <v>4</v>
      </c>
      <c r="F2" s="515">
        <v>5</v>
      </c>
      <c r="G2" s="516">
        <v>6</v>
      </c>
      <c r="H2" s="514">
        <v>7</v>
      </c>
      <c r="I2" s="513">
        <v>8</v>
      </c>
      <c r="J2" s="514">
        <v>9</v>
      </c>
      <c r="K2" s="514">
        <v>10</v>
      </c>
      <c r="L2" s="514">
        <v>11</v>
      </c>
      <c r="M2" s="517">
        <v>12</v>
      </c>
    </row>
    <row r="3" spans="1:13" x14ac:dyDescent="0.2">
      <c r="A3" s="506" t="s">
        <v>372</v>
      </c>
      <c r="B3" s="520">
        <v>3200000</v>
      </c>
      <c r="C3" s="520">
        <v>437085.64</v>
      </c>
      <c r="D3" s="520">
        <v>100000</v>
      </c>
      <c r="E3" s="520">
        <v>100000</v>
      </c>
      <c r="F3" s="520">
        <v>100000</v>
      </c>
      <c r="G3" s="521">
        <v>214828.04</v>
      </c>
      <c r="H3" s="522">
        <v>348702.4</v>
      </c>
      <c r="I3" s="522">
        <v>592772.49</v>
      </c>
      <c r="J3" s="522">
        <v>215682.39</v>
      </c>
      <c r="K3" s="522">
        <v>660900.91</v>
      </c>
      <c r="L3" s="522">
        <v>1412002.73</v>
      </c>
      <c r="M3" s="523">
        <v>2884721.66</v>
      </c>
    </row>
    <row r="4" spans="1:13" x14ac:dyDescent="0.2">
      <c r="A4" s="506"/>
      <c r="B4" s="508"/>
      <c r="C4" s="508"/>
      <c r="D4" s="508"/>
      <c r="E4" s="508"/>
      <c r="F4" s="508"/>
      <c r="G4" s="508"/>
      <c r="H4" s="512"/>
      <c r="I4" s="512"/>
      <c r="J4" s="512"/>
      <c r="K4" s="512"/>
      <c r="L4" s="512"/>
      <c r="M4" s="518"/>
    </row>
    <row r="5" spans="1:13" x14ac:dyDescent="0.2">
      <c r="A5" s="506" t="s">
        <v>373</v>
      </c>
      <c r="B5" s="508"/>
      <c r="C5" s="508">
        <v>798556</v>
      </c>
      <c r="D5" s="508">
        <v>1923112</v>
      </c>
      <c r="E5" s="508">
        <v>1686105</v>
      </c>
      <c r="F5" s="508">
        <v>3489303</v>
      </c>
      <c r="G5" s="508">
        <v>2554023</v>
      </c>
      <c r="H5" s="512">
        <v>3616316</v>
      </c>
      <c r="I5" s="512">
        <v>2792036</v>
      </c>
      <c r="J5" s="512">
        <v>4158295</v>
      </c>
      <c r="K5" s="512">
        <v>4562295</v>
      </c>
      <c r="L5" s="512">
        <v>5265050</v>
      </c>
      <c r="M5" s="518">
        <v>3728892</v>
      </c>
    </row>
    <row r="6" spans="1:13" x14ac:dyDescent="0.2">
      <c r="A6" s="506" t="s">
        <v>374</v>
      </c>
      <c r="B6" s="508">
        <v>0</v>
      </c>
      <c r="C6" s="508">
        <v>0</v>
      </c>
      <c r="D6" s="508">
        <v>0</v>
      </c>
      <c r="E6" s="508">
        <v>0</v>
      </c>
      <c r="F6" s="508">
        <v>0</v>
      </c>
      <c r="G6" s="508">
        <v>0</v>
      </c>
      <c r="H6" s="512">
        <v>0</v>
      </c>
      <c r="I6" s="512">
        <v>0</v>
      </c>
      <c r="J6" s="512">
        <v>0</v>
      </c>
      <c r="K6" s="512">
        <v>0</v>
      </c>
      <c r="L6" s="512">
        <v>0</v>
      </c>
      <c r="M6" s="518">
        <v>0</v>
      </c>
    </row>
    <row r="7" spans="1:13" x14ac:dyDescent="0.2">
      <c r="A7" s="506" t="s">
        <v>375</v>
      </c>
      <c r="B7" s="508">
        <v>0</v>
      </c>
      <c r="C7" s="508">
        <v>0</v>
      </c>
      <c r="D7" s="508">
        <v>0</v>
      </c>
      <c r="E7" s="508">
        <v>0</v>
      </c>
      <c r="F7" s="508">
        <v>0</v>
      </c>
      <c r="G7" s="508">
        <v>0</v>
      </c>
      <c r="H7" s="512">
        <v>0</v>
      </c>
      <c r="I7" s="512">
        <v>0</v>
      </c>
      <c r="J7" s="512">
        <v>0</v>
      </c>
      <c r="K7" s="512">
        <v>0</v>
      </c>
      <c r="L7" s="512">
        <v>0</v>
      </c>
      <c r="M7" s="518">
        <v>0</v>
      </c>
    </row>
    <row r="8" spans="1:13" x14ac:dyDescent="0.2">
      <c r="A8" s="506" t="s">
        <v>376</v>
      </c>
      <c r="B8" s="508">
        <v>0</v>
      </c>
      <c r="C8" s="508">
        <v>310000</v>
      </c>
      <c r="D8" s="508">
        <v>300000</v>
      </c>
      <c r="E8" s="508">
        <v>0</v>
      </c>
      <c r="F8" s="508">
        <v>0</v>
      </c>
      <c r="G8" s="508">
        <v>0</v>
      </c>
      <c r="H8" s="512">
        <v>0</v>
      </c>
      <c r="I8" s="512">
        <v>0</v>
      </c>
      <c r="J8" s="512">
        <v>0</v>
      </c>
      <c r="K8" s="512">
        <v>0</v>
      </c>
      <c r="L8" s="512">
        <v>0</v>
      </c>
      <c r="M8" s="518">
        <v>0</v>
      </c>
    </row>
    <row r="9" spans="1:13" x14ac:dyDescent="0.2">
      <c r="A9" s="506" t="s">
        <v>377</v>
      </c>
      <c r="B9" s="508">
        <v>0</v>
      </c>
      <c r="C9" s="508">
        <v>0</v>
      </c>
      <c r="D9" s="508">
        <v>0</v>
      </c>
      <c r="E9" s="508">
        <v>0</v>
      </c>
      <c r="F9" s="508">
        <v>0</v>
      </c>
      <c r="G9" s="508">
        <v>0</v>
      </c>
      <c r="H9" s="512">
        <v>0</v>
      </c>
      <c r="I9" s="512">
        <v>0</v>
      </c>
      <c r="J9" s="512">
        <v>0</v>
      </c>
      <c r="K9" s="512">
        <v>0</v>
      </c>
      <c r="L9" s="512">
        <v>0</v>
      </c>
      <c r="M9" s="518">
        <v>0</v>
      </c>
    </row>
    <row r="10" spans="1:13" x14ac:dyDescent="0.2">
      <c r="A10" s="506" t="s">
        <v>378</v>
      </c>
      <c r="B10" s="508">
        <v>0</v>
      </c>
      <c r="C10" s="508">
        <v>0</v>
      </c>
      <c r="D10" s="508">
        <v>0</v>
      </c>
      <c r="E10" s="508">
        <v>0</v>
      </c>
      <c r="F10" s="508">
        <v>0</v>
      </c>
      <c r="G10" s="508">
        <v>0</v>
      </c>
      <c r="H10" s="512">
        <v>0</v>
      </c>
      <c r="I10" s="512">
        <v>0</v>
      </c>
      <c r="J10" s="512">
        <v>0</v>
      </c>
      <c r="K10" s="512">
        <v>0</v>
      </c>
      <c r="L10" s="512">
        <v>0</v>
      </c>
      <c r="M10" s="518">
        <v>0</v>
      </c>
    </row>
    <row r="11" spans="1:13" x14ac:dyDescent="0.2">
      <c r="A11" s="506" t="s">
        <v>379</v>
      </c>
      <c r="B11" s="508">
        <v>0</v>
      </c>
      <c r="C11" s="508">
        <v>0</v>
      </c>
      <c r="D11" s="508">
        <v>0</v>
      </c>
      <c r="E11" s="508">
        <v>0</v>
      </c>
      <c r="F11" s="508">
        <v>0</v>
      </c>
      <c r="G11" s="508">
        <v>0</v>
      </c>
      <c r="H11" s="512">
        <v>0</v>
      </c>
      <c r="I11" s="512">
        <v>0</v>
      </c>
      <c r="J11" s="512">
        <v>0</v>
      </c>
      <c r="K11" s="512">
        <v>0</v>
      </c>
      <c r="L11" s="512">
        <v>0</v>
      </c>
      <c r="M11" s="518">
        <v>0</v>
      </c>
    </row>
    <row r="12" spans="1:13" x14ac:dyDescent="0.2">
      <c r="A12" s="506" t="s">
        <v>380</v>
      </c>
      <c r="B12" s="508">
        <v>0</v>
      </c>
      <c r="C12" s="508">
        <f>SUM(C5:C11)+C3</f>
        <v>1545641.6400000001</v>
      </c>
      <c r="D12" s="508">
        <f>SUM(D5:D11) +D3</f>
        <v>2323112</v>
      </c>
      <c r="E12" s="508">
        <f>SUM(E5:E11) +E3</f>
        <v>1786105</v>
      </c>
      <c r="F12" s="508">
        <f>SUM(F5:F11) +F3</f>
        <v>3589303</v>
      </c>
      <c r="G12" s="508">
        <f>SUM(G5:G11) +G3</f>
        <v>2768851.04</v>
      </c>
      <c r="H12" s="512">
        <v>3616316</v>
      </c>
      <c r="I12" s="512">
        <v>2792036</v>
      </c>
      <c r="J12" s="512">
        <v>4158295</v>
      </c>
      <c r="K12" s="512">
        <v>4562295</v>
      </c>
      <c r="L12" s="512">
        <v>5265050</v>
      </c>
      <c r="M12" s="518">
        <v>3728892</v>
      </c>
    </row>
    <row r="13" spans="1:13" x14ac:dyDescent="0.2">
      <c r="A13" s="506"/>
      <c r="B13" s="508"/>
      <c r="C13" s="508"/>
      <c r="D13" s="508"/>
      <c r="E13" s="508"/>
      <c r="F13" s="508"/>
      <c r="G13" s="508"/>
      <c r="H13" s="512"/>
      <c r="I13" s="512"/>
      <c r="J13" s="512"/>
      <c r="K13" s="512"/>
      <c r="L13" s="512"/>
      <c r="M13" s="518"/>
    </row>
    <row r="14" spans="1:13" x14ac:dyDescent="0.2">
      <c r="A14" s="506" t="s">
        <v>381</v>
      </c>
      <c r="B14" s="508">
        <v>706786.36</v>
      </c>
      <c r="C14" s="508">
        <v>875115.86</v>
      </c>
      <c r="D14" s="508">
        <v>1053653.56</v>
      </c>
      <c r="E14" s="508">
        <v>1087995.49</v>
      </c>
      <c r="F14" s="508">
        <v>1314655.52</v>
      </c>
      <c r="G14" s="508">
        <v>1130314.46</v>
      </c>
      <c r="H14" s="512">
        <v>1876807.34</v>
      </c>
      <c r="I14" s="512">
        <v>1848764.44</v>
      </c>
      <c r="J14" s="512">
        <v>2029148.38</v>
      </c>
      <c r="K14" s="512">
        <v>1947665.48</v>
      </c>
      <c r="L14" s="512">
        <v>2019182.22</v>
      </c>
      <c r="M14" s="518">
        <v>1974334.91</v>
      </c>
    </row>
    <row r="15" spans="1:13" x14ac:dyDescent="0.2">
      <c r="A15" s="506" t="s">
        <v>382</v>
      </c>
      <c r="B15" s="508">
        <v>1500000</v>
      </c>
      <c r="C15" s="508">
        <v>0</v>
      </c>
      <c r="D15" s="508">
        <v>0</v>
      </c>
      <c r="E15" s="508">
        <v>0</v>
      </c>
      <c r="F15" s="508">
        <v>0</v>
      </c>
      <c r="G15" s="508">
        <v>0</v>
      </c>
      <c r="H15" s="512">
        <v>0</v>
      </c>
      <c r="I15" s="512">
        <v>0</v>
      </c>
      <c r="J15" s="512">
        <v>0</v>
      </c>
      <c r="K15" s="512">
        <v>0</v>
      </c>
      <c r="L15" s="512">
        <v>0</v>
      </c>
      <c r="M15" s="518">
        <v>0</v>
      </c>
    </row>
    <row r="16" spans="1:13" x14ac:dyDescent="0.2">
      <c r="A16" s="506" t="s">
        <v>383</v>
      </c>
      <c r="B16" s="508">
        <v>0</v>
      </c>
      <c r="C16" s="508">
        <v>131761.74</v>
      </c>
      <c r="D16" s="508">
        <v>435205.96</v>
      </c>
      <c r="E16" s="508">
        <v>311929.42</v>
      </c>
      <c r="F16" s="508">
        <v>645521.06000000006</v>
      </c>
      <c r="G16" s="508">
        <v>472494.27</v>
      </c>
      <c r="H16" s="512">
        <v>669018.44999999995</v>
      </c>
      <c r="I16" s="512">
        <v>516526.66</v>
      </c>
      <c r="J16" s="512">
        <v>769284.56</v>
      </c>
      <c r="K16" s="512">
        <v>901804.57</v>
      </c>
      <c r="L16" s="512">
        <v>974034.26</v>
      </c>
      <c r="M16" s="518">
        <v>689845.01</v>
      </c>
    </row>
    <row r="17" spans="1:13" x14ac:dyDescent="0.2">
      <c r="A17" s="506" t="s">
        <v>384</v>
      </c>
      <c r="B17" s="508">
        <v>0</v>
      </c>
      <c r="C17" s="508">
        <v>0</v>
      </c>
      <c r="D17" s="508">
        <v>0</v>
      </c>
      <c r="E17" s="508">
        <v>0</v>
      </c>
      <c r="F17" s="508">
        <v>109517.16</v>
      </c>
      <c r="G17" s="508">
        <v>64147.46</v>
      </c>
      <c r="H17" s="512">
        <v>57361.120000000003</v>
      </c>
      <c r="I17" s="512">
        <v>0</v>
      </c>
      <c r="J17" s="512">
        <v>83002.14</v>
      </c>
      <c r="K17" s="512">
        <v>127908.23</v>
      </c>
      <c r="L17" s="512">
        <v>192065.55</v>
      </c>
      <c r="M17" s="518">
        <v>54565.19</v>
      </c>
    </row>
    <row r="18" spans="1:13" x14ac:dyDescent="0.2">
      <c r="A18" s="506" t="s">
        <v>385</v>
      </c>
      <c r="B18" s="508">
        <v>556128</v>
      </c>
      <c r="C18" s="508">
        <v>599598</v>
      </c>
      <c r="D18" s="508">
        <v>643068</v>
      </c>
      <c r="E18" s="508">
        <v>579113.28</v>
      </c>
      <c r="F18" s="508">
        <v>332198.55</v>
      </c>
      <c r="G18" s="508">
        <v>753192.45</v>
      </c>
      <c r="H18" s="512">
        <v>769059</v>
      </c>
      <c r="I18" s="512">
        <v>803835</v>
      </c>
      <c r="J18" s="512">
        <v>831641.4</v>
      </c>
      <c r="K18" s="512">
        <v>833814.9</v>
      </c>
      <c r="L18" s="512">
        <v>607049.04</v>
      </c>
      <c r="M18" s="518">
        <v>95126.85</v>
      </c>
    </row>
    <row r="19" spans="1:13" x14ac:dyDescent="0.2">
      <c r="A19" s="506" t="s">
        <v>386</v>
      </c>
      <c r="B19" s="508">
        <v>0</v>
      </c>
      <c r="C19" s="508">
        <v>0</v>
      </c>
      <c r="D19" s="508">
        <v>470833.96</v>
      </c>
      <c r="E19" s="508">
        <v>679649.48</v>
      </c>
      <c r="F19" s="508">
        <v>972582.67</v>
      </c>
      <c r="G19" s="508">
        <v>0</v>
      </c>
      <c r="H19" s="512">
        <v>0</v>
      </c>
      <c r="I19" s="512">
        <v>0</v>
      </c>
      <c r="J19" s="512">
        <v>0</v>
      </c>
      <c r="K19" s="512">
        <v>0</v>
      </c>
      <c r="L19" s="512">
        <v>0</v>
      </c>
      <c r="M19" s="518">
        <v>0</v>
      </c>
    </row>
    <row r="20" spans="1:13" x14ac:dyDescent="0.2">
      <c r="A20" s="506" t="s">
        <v>387</v>
      </c>
      <c r="B20" s="508">
        <v>0</v>
      </c>
      <c r="C20" s="508">
        <v>0</v>
      </c>
      <c r="D20" s="508">
        <v>0</v>
      </c>
      <c r="E20" s="508">
        <v>0</v>
      </c>
      <c r="F20" s="508">
        <v>0</v>
      </c>
      <c r="G20" s="508">
        <v>0</v>
      </c>
      <c r="H20" s="512">
        <v>0</v>
      </c>
      <c r="I20" s="512">
        <v>0</v>
      </c>
      <c r="J20" s="512">
        <v>0</v>
      </c>
      <c r="K20" s="512">
        <v>0</v>
      </c>
      <c r="L20" s="512">
        <v>0</v>
      </c>
      <c r="M20" s="518">
        <v>0</v>
      </c>
    </row>
    <row r="21" spans="1:13" x14ac:dyDescent="0.2">
      <c r="A21" s="506" t="s">
        <v>388</v>
      </c>
      <c r="B21" s="508">
        <v>0</v>
      </c>
      <c r="C21" s="508">
        <v>0</v>
      </c>
      <c r="D21" s="508">
        <v>0</v>
      </c>
      <c r="E21" s="508">
        <v>0</v>
      </c>
      <c r="F21" s="508">
        <v>0</v>
      </c>
      <c r="G21" s="508">
        <v>0</v>
      </c>
      <c r="H21" s="512">
        <v>0</v>
      </c>
      <c r="I21" s="512">
        <v>0</v>
      </c>
      <c r="J21" s="512">
        <v>0</v>
      </c>
      <c r="K21" s="512">
        <v>0</v>
      </c>
      <c r="L21" s="512">
        <v>0</v>
      </c>
      <c r="M21" s="518">
        <v>0</v>
      </c>
    </row>
    <row r="22" spans="1:13" x14ac:dyDescent="0.2">
      <c r="A22" s="506" t="s">
        <v>389</v>
      </c>
      <c r="B22" s="509">
        <f t="shared" ref="B22:G22" si="0">SUM(B14:B21)</f>
        <v>2762914.36</v>
      </c>
      <c r="C22" s="509">
        <f t="shared" si="0"/>
        <v>1606475.6</v>
      </c>
      <c r="D22" s="509">
        <f t="shared" si="0"/>
        <v>2602761.48</v>
      </c>
      <c r="E22" s="509">
        <f t="shared" si="0"/>
        <v>2658687.67</v>
      </c>
      <c r="F22" s="509">
        <f t="shared" si="0"/>
        <v>3374474.96</v>
      </c>
      <c r="G22" s="509">
        <f t="shared" si="0"/>
        <v>2420148.6399999997</v>
      </c>
      <c r="H22" s="512">
        <v>3372245.91</v>
      </c>
      <c r="I22" s="512">
        <v>3169126.1</v>
      </c>
      <c r="J22" s="512">
        <v>3713076.48</v>
      </c>
      <c r="K22" s="512">
        <v>3811193.18</v>
      </c>
      <c r="L22" s="512">
        <v>3792331.07</v>
      </c>
      <c r="M22" s="518">
        <v>2813871.96</v>
      </c>
    </row>
    <row r="23" spans="1:13" x14ac:dyDescent="0.2">
      <c r="A23" s="506"/>
      <c r="B23" s="508"/>
      <c r="C23" s="508"/>
      <c r="D23" s="508"/>
      <c r="E23" s="508"/>
      <c r="F23" s="508"/>
      <c r="G23" s="508"/>
      <c r="H23" s="512"/>
      <c r="I23" s="512"/>
      <c r="J23" s="512"/>
      <c r="K23" s="512"/>
      <c r="L23" s="512"/>
      <c r="M23" s="518"/>
    </row>
    <row r="24" spans="1:13" x14ac:dyDescent="0.2">
      <c r="A24" s="506" t="s">
        <v>390</v>
      </c>
      <c r="B24" s="508">
        <f>B3-B22</f>
        <v>437085.64000000013</v>
      </c>
      <c r="C24" s="509">
        <f>C12-C22</f>
        <v>-60833.959999999963</v>
      </c>
      <c r="D24" s="509">
        <f>D12-D22</f>
        <v>-279649.48</v>
      </c>
      <c r="E24" s="509">
        <f>E12-E22</f>
        <v>-872582.66999999993</v>
      </c>
      <c r="F24" s="510">
        <f>F12-F22</f>
        <v>214828.04000000004</v>
      </c>
      <c r="G24" s="510">
        <f>G12-G22</f>
        <v>348702.40000000037</v>
      </c>
      <c r="H24" s="512">
        <v>592772.49</v>
      </c>
      <c r="I24" s="512">
        <v>215682.39</v>
      </c>
      <c r="J24" s="512">
        <v>660900.91</v>
      </c>
      <c r="K24" s="512">
        <v>1412002.73</v>
      </c>
      <c r="L24" s="512">
        <v>2884721.66</v>
      </c>
      <c r="M24" s="518">
        <v>3799741.7</v>
      </c>
    </row>
    <row r="25" spans="1:13" x14ac:dyDescent="0.2">
      <c r="A25" s="506" t="s">
        <v>391</v>
      </c>
      <c r="B25" s="508">
        <v>0</v>
      </c>
      <c r="C25" s="508">
        <v>160833.96</v>
      </c>
      <c r="D25" s="508">
        <v>379649.48</v>
      </c>
      <c r="E25" s="508">
        <v>972582.67</v>
      </c>
      <c r="F25" s="508">
        <v>0</v>
      </c>
      <c r="G25" s="508">
        <v>0</v>
      </c>
      <c r="H25" s="512">
        <v>0</v>
      </c>
      <c r="I25" s="512">
        <v>0</v>
      </c>
      <c r="J25" s="512">
        <v>0</v>
      </c>
      <c r="K25" s="512">
        <v>0</v>
      </c>
      <c r="L25" s="512">
        <v>0</v>
      </c>
      <c r="M25" s="518">
        <v>0</v>
      </c>
    </row>
    <row r="26" spans="1:13" x14ac:dyDescent="0.2">
      <c r="A26" s="506" t="s">
        <v>392</v>
      </c>
      <c r="B26" s="508">
        <f t="shared" ref="B26:G26" si="1">SUM(B24:B25)</f>
        <v>437085.64000000013</v>
      </c>
      <c r="C26" s="508">
        <f t="shared" si="1"/>
        <v>100000.00000000003</v>
      </c>
      <c r="D26" s="508">
        <f t="shared" si="1"/>
        <v>100000</v>
      </c>
      <c r="E26" s="508">
        <f t="shared" si="1"/>
        <v>100000.00000000012</v>
      </c>
      <c r="F26" s="508">
        <f t="shared" si="1"/>
        <v>214828.04000000004</v>
      </c>
      <c r="G26" s="508">
        <f t="shared" si="1"/>
        <v>348702.40000000037</v>
      </c>
      <c r="H26" s="512">
        <v>592772.49</v>
      </c>
      <c r="I26" s="512">
        <v>215682.39</v>
      </c>
      <c r="J26" s="512">
        <v>660900.91</v>
      </c>
      <c r="K26" s="512">
        <v>1412002.73</v>
      </c>
      <c r="L26" s="512">
        <v>2884721.66</v>
      </c>
      <c r="M26" s="518">
        <v>3799741.7</v>
      </c>
    </row>
    <row r="27" spans="1:13" x14ac:dyDescent="0.2">
      <c r="A27" s="506"/>
      <c r="B27" s="508"/>
      <c r="C27" s="508"/>
      <c r="D27" s="508"/>
      <c r="E27" s="508"/>
      <c r="F27" s="508"/>
      <c r="G27" s="508"/>
      <c r="H27" s="508"/>
      <c r="I27" s="508"/>
      <c r="J27" s="508"/>
      <c r="K27" s="508"/>
      <c r="L27" s="508"/>
      <c r="M27" s="518"/>
    </row>
    <row r="28" spans="1:13" x14ac:dyDescent="0.2">
      <c r="A28" s="128"/>
      <c r="B28" s="511"/>
      <c r="C28" s="511"/>
      <c r="D28" s="511"/>
      <c r="E28" s="511"/>
      <c r="F28" s="508"/>
      <c r="G28" s="508"/>
      <c r="H28" s="511"/>
      <c r="I28" s="511"/>
      <c r="J28" s="511"/>
      <c r="K28" s="511"/>
      <c r="L28" s="511"/>
      <c r="M28" s="518"/>
    </row>
    <row r="29" spans="1:13" x14ac:dyDescent="0.2">
      <c r="A29" s="506" t="s">
        <v>372</v>
      </c>
      <c r="B29" s="508">
        <v>3200000</v>
      </c>
      <c r="C29" s="508">
        <v>437085.64</v>
      </c>
      <c r="D29" s="508">
        <v>100000</v>
      </c>
      <c r="E29" s="508">
        <v>100000</v>
      </c>
      <c r="F29" s="508">
        <v>100000</v>
      </c>
      <c r="G29" s="508">
        <v>214828.04</v>
      </c>
      <c r="H29" s="508">
        <f t="shared" ref="H29:M29" si="2">H3</f>
        <v>348702.4</v>
      </c>
      <c r="I29" s="508">
        <f t="shared" si="2"/>
        <v>592772.49</v>
      </c>
      <c r="J29" s="508">
        <f t="shared" si="2"/>
        <v>215682.39</v>
      </c>
      <c r="K29" s="508">
        <f t="shared" si="2"/>
        <v>660900.91</v>
      </c>
      <c r="L29" s="508">
        <f t="shared" si="2"/>
        <v>1412002.73</v>
      </c>
      <c r="M29" s="518">
        <f t="shared" si="2"/>
        <v>2884721.66</v>
      </c>
    </row>
    <row r="30" spans="1:13" ht="17" thickBot="1" x14ac:dyDescent="0.25">
      <c r="A30" s="507" t="s">
        <v>390</v>
      </c>
      <c r="B30" s="524">
        <v>437085.64000000013</v>
      </c>
      <c r="C30" s="525">
        <v>-60833.959999999963</v>
      </c>
      <c r="D30" s="525">
        <v>-279649.48</v>
      </c>
      <c r="E30" s="525">
        <v>-872582.67</v>
      </c>
      <c r="F30" s="524">
        <v>214828.04</v>
      </c>
      <c r="G30" s="524">
        <v>348702.4</v>
      </c>
      <c r="H30" s="524">
        <f t="shared" ref="H30:M30" si="3">H26</f>
        <v>592772.49</v>
      </c>
      <c r="I30" s="524">
        <f t="shared" si="3"/>
        <v>215682.39</v>
      </c>
      <c r="J30" s="524">
        <f t="shared" si="3"/>
        <v>660900.91</v>
      </c>
      <c r="K30" s="524">
        <f t="shared" si="3"/>
        <v>1412002.73</v>
      </c>
      <c r="L30" s="524">
        <f t="shared" si="3"/>
        <v>2884721.66</v>
      </c>
      <c r="M30" s="526">
        <f t="shared" si="3"/>
        <v>3799741.7</v>
      </c>
    </row>
    <row r="31" spans="1:13" x14ac:dyDescent="0.2">
      <c r="M31" s="519"/>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F5CE-F946-1348-9928-14CCA3517BC2}">
  <sheetPr codeName="Sheet15">
    <tabColor theme="3" tint="0.749992370372631"/>
  </sheetPr>
  <dimension ref="A1:N13"/>
  <sheetViews>
    <sheetView topLeftCell="D1" workbookViewId="0">
      <selection activeCell="L28" sqref="L28"/>
    </sheetView>
  </sheetViews>
  <sheetFormatPr baseColWidth="10" defaultColWidth="11" defaultRowHeight="16" x14ac:dyDescent="0.2"/>
  <cols>
    <col min="1" max="1" width="11" style="4"/>
    <col min="2" max="2" width="16.33203125" style="4" bestFit="1" customWidth="1"/>
    <col min="3" max="16384" width="11" style="4"/>
  </cols>
  <sheetData>
    <row r="1" spans="1:14" x14ac:dyDescent="0.2">
      <c r="A1" s="4" t="s">
        <v>264</v>
      </c>
    </row>
    <row r="2" spans="1:14" x14ac:dyDescent="0.2">
      <c r="B2" s="71" t="s">
        <v>393</v>
      </c>
      <c r="C2" s="72">
        <v>1</v>
      </c>
      <c r="D2" s="72">
        <v>2</v>
      </c>
      <c r="E2" s="72">
        <v>3</v>
      </c>
      <c r="F2" s="72">
        <v>4</v>
      </c>
      <c r="G2" s="72">
        <v>5</v>
      </c>
      <c r="H2" s="72">
        <v>6</v>
      </c>
      <c r="I2" s="72">
        <v>7</v>
      </c>
      <c r="J2" s="72">
        <v>8</v>
      </c>
      <c r="K2" s="72">
        <v>9</v>
      </c>
      <c r="L2" s="72">
        <v>10</v>
      </c>
      <c r="M2" s="72">
        <v>11</v>
      </c>
      <c r="N2" s="73">
        <v>12</v>
      </c>
    </row>
    <row r="3" spans="1:14" x14ac:dyDescent="0.2">
      <c r="B3" s="12" t="s">
        <v>18</v>
      </c>
      <c r="C3" s="5"/>
      <c r="D3" s="5"/>
      <c r="E3" s="5"/>
      <c r="F3" s="5"/>
      <c r="N3" s="13"/>
    </row>
    <row r="4" spans="1:14" x14ac:dyDescent="0.2">
      <c r="B4" s="12" t="s">
        <v>282</v>
      </c>
      <c r="C4" s="280">
        <v>0</v>
      </c>
      <c r="D4" s="532">
        <v>1128</v>
      </c>
      <c r="E4" s="532">
        <v>1134</v>
      </c>
      <c r="F4" s="532">
        <v>1134</v>
      </c>
      <c r="G4" s="10">
        <v>750</v>
      </c>
      <c r="H4" s="532">
        <v>924</v>
      </c>
      <c r="I4" s="532">
        <v>1382</v>
      </c>
      <c r="J4" s="532">
        <v>1382</v>
      </c>
      <c r="K4" s="532">
        <v>1498</v>
      </c>
      <c r="L4" s="532">
        <v>1498</v>
      </c>
      <c r="M4" s="532">
        <v>1513</v>
      </c>
      <c r="N4" s="533">
        <v>1439</v>
      </c>
    </row>
    <row r="5" spans="1:14" x14ac:dyDescent="0.2">
      <c r="B5" s="12" t="s">
        <v>284</v>
      </c>
      <c r="C5" s="67">
        <v>1200</v>
      </c>
      <c r="D5" s="5">
        <v>1200</v>
      </c>
      <c r="E5" s="5">
        <v>1200</v>
      </c>
      <c r="F5" s="5">
        <v>1062</v>
      </c>
      <c r="G5" s="4">
        <v>675</v>
      </c>
      <c r="H5" s="5">
        <v>1500</v>
      </c>
      <c r="I5" s="5">
        <v>1500</v>
      </c>
      <c r="J5" s="5">
        <v>1500</v>
      </c>
      <c r="K5" s="5">
        <v>1560</v>
      </c>
      <c r="L5" s="5">
        <v>1560</v>
      </c>
      <c r="M5" s="199">
        <v>1066</v>
      </c>
      <c r="N5" s="13">
        <v>0</v>
      </c>
    </row>
    <row r="6" spans="1:14" x14ac:dyDescent="0.2">
      <c r="B6" s="275" t="s">
        <v>286</v>
      </c>
      <c r="C6" s="534">
        <v>1200</v>
      </c>
      <c r="D6" s="492">
        <f>D5+C6-D4</f>
        <v>1272</v>
      </c>
      <c r="E6" s="492">
        <f>E5+D6-E4</f>
        <v>1338</v>
      </c>
      <c r="F6" s="492">
        <f>F5+E6-F4</f>
        <v>1266</v>
      </c>
      <c r="G6" s="493">
        <v>1056</v>
      </c>
      <c r="H6" s="199">
        <f t="shared" ref="H6:N6" si="0">G6+H5-H4</f>
        <v>1632</v>
      </c>
      <c r="I6" s="199">
        <f t="shared" si="0"/>
        <v>1750</v>
      </c>
      <c r="J6" s="199">
        <f t="shared" si="0"/>
        <v>1868</v>
      </c>
      <c r="K6" s="199">
        <f t="shared" si="0"/>
        <v>1930</v>
      </c>
      <c r="L6" s="199">
        <f t="shared" si="0"/>
        <v>1992</v>
      </c>
      <c r="M6" s="199">
        <f t="shared" si="0"/>
        <v>1545</v>
      </c>
      <c r="N6" s="459">
        <f t="shared" si="0"/>
        <v>106</v>
      </c>
    </row>
    <row r="7" spans="1:14" x14ac:dyDescent="0.2">
      <c r="B7" s="12" t="s">
        <v>288</v>
      </c>
      <c r="C7" s="12"/>
      <c r="N7" s="13"/>
    </row>
    <row r="8" spans="1:14" x14ac:dyDescent="0.2">
      <c r="B8" s="12" t="s">
        <v>290</v>
      </c>
      <c r="C8" s="12">
        <f>C4</f>
        <v>0</v>
      </c>
      <c r="D8" s="4">
        <f t="shared" ref="D8:F8" si="1">D4</f>
        <v>1128</v>
      </c>
      <c r="E8" s="4">
        <f>E4</f>
        <v>1134</v>
      </c>
      <c r="F8" s="4">
        <f t="shared" si="1"/>
        <v>1134</v>
      </c>
      <c r="G8" s="4">
        <f>G4</f>
        <v>750</v>
      </c>
      <c r="H8" s="4">
        <f>H4</f>
        <v>924</v>
      </c>
      <c r="I8" s="4">
        <v>1382</v>
      </c>
      <c r="J8" s="4">
        <v>1382</v>
      </c>
      <c r="K8" s="4">
        <v>1498</v>
      </c>
      <c r="L8" s="4">
        <f>L4</f>
        <v>1498</v>
      </c>
      <c r="M8" s="4">
        <v>1513</v>
      </c>
      <c r="N8" s="13">
        <f>N4</f>
        <v>1439</v>
      </c>
    </row>
    <row r="9" spans="1:14" x14ac:dyDescent="0.2">
      <c r="B9" s="12" t="s">
        <v>291</v>
      </c>
      <c r="C9" s="12">
        <v>0</v>
      </c>
      <c r="D9" s="4">
        <f>C11+D8</f>
        <v>1128</v>
      </c>
      <c r="E9" s="4">
        <f>D11+E8</f>
        <v>1718</v>
      </c>
      <c r="F9" s="4">
        <f>E11+F8</f>
        <v>1714</v>
      </c>
      <c r="G9" s="4">
        <v>1569</v>
      </c>
      <c r="H9" s="4">
        <f t="shared" ref="H9:M9" si="2">G11+H8</f>
        <v>1002</v>
      </c>
      <c r="I9" s="4">
        <f t="shared" si="2"/>
        <v>1407</v>
      </c>
      <c r="J9" s="4">
        <f t="shared" si="2"/>
        <v>1505</v>
      </c>
      <c r="K9" s="4">
        <f t="shared" si="2"/>
        <v>2039</v>
      </c>
      <c r="L9" s="4">
        <f t="shared" si="2"/>
        <v>2032</v>
      </c>
      <c r="M9" s="4">
        <f t="shared" si="2"/>
        <v>1940</v>
      </c>
      <c r="N9" s="13">
        <f>M11+N8</f>
        <v>1529</v>
      </c>
    </row>
    <row r="10" spans="1:14" x14ac:dyDescent="0.2">
      <c r="B10" s="12" t="s">
        <v>292</v>
      </c>
      <c r="C10" s="12">
        <v>0</v>
      </c>
      <c r="D10" s="4">
        <v>544</v>
      </c>
      <c r="E10" s="4">
        <v>1138</v>
      </c>
      <c r="F10" s="4">
        <v>895</v>
      </c>
      <c r="G10" s="4">
        <v>1491</v>
      </c>
      <c r="H10" s="4">
        <v>977</v>
      </c>
      <c r="I10" s="4">
        <v>1284</v>
      </c>
      <c r="J10" s="4">
        <v>964</v>
      </c>
      <c r="K10" s="4">
        <v>1505</v>
      </c>
      <c r="L10" s="4">
        <v>1605</v>
      </c>
      <c r="M10" s="4">
        <v>1850</v>
      </c>
      <c r="N10" s="13">
        <v>1308</v>
      </c>
    </row>
    <row r="11" spans="1:14" x14ac:dyDescent="0.2">
      <c r="B11" s="276" t="s">
        <v>293</v>
      </c>
      <c r="C11" s="276">
        <f>C9-C10</f>
        <v>0</v>
      </c>
      <c r="D11" s="382">
        <f>D9-D10</f>
        <v>584</v>
      </c>
      <c r="E11" s="382">
        <f t="shared" ref="E11" si="3">E9-E10</f>
        <v>580</v>
      </c>
      <c r="F11" s="382">
        <f t="shared" ref="F11:N11" si="4">F9-F10</f>
        <v>819</v>
      </c>
      <c r="G11" s="382">
        <f t="shared" si="4"/>
        <v>78</v>
      </c>
      <c r="H11" s="15">
        <f t="shared" si="4"/>
        <v>25</v>
      </c>
      <c r="I11" s="15">
        <f t="shared" si="4"/>
        <v>123</v>
      </c>
      <c r="J11" s="15">
        <f t="shared" si="4"/>
        <v>541</v>
      </c>
      <c r="K11" s="15">
        <f t="shared" si="4"/>
        <v>534</v>
      </c>
      <c r="L11" s="15">
        <f t="shared" si="4"/>
        <v>427</v>
      </c>
      <c r="M11" s="15">
        <f t="shared" si="4"/>
        <v>90</v>
      </c>
      <c r="N11" s="535">
        <f t="shared" si="4"/>
        <v>221</v>
      </c>
    </row>
    <row r="13" spans="1:14" x14ac:dyDescent="0.2">
      <c r="B13" s="4" t="s">
        <v>394</v>
      </c>
      <c r="C13" s="4" t="s">
        <v>395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35F03-F1F2-E148-87FF-4B4B79621E0A}">
  <sheetPr codeName="Sheet14">
    <tabColor theme="3" tint="0.749992370372631"/>
  </sheetPr>
  <dimension ref="A1:M33"/>
  <sheetViews>
    <sheetView zoomScale="44" workbookViewId="0">
      <selection activeCell="L101" sqref="L101"/>
    </sheetView>
  </sheetViews>
  <sheetFormatPr baseColWidth="10" defaultColWidth="11" defaultRowHeight="16" x14ac:dyDescent="0.2"/>
  <cols>
    <col min="1" max="1" width="33.1640625" style="4" bestFit="1" customWidth="1"/>
    <col min="2" max="2" width="12.83203125" style="4" bestFit="1" customWidth="1"/>
    <col min="3" max="3" width="14.6640625" style="4" bestFit="1" customWidth="1"/>
    <col min="4" max="4" width="19.33203125" style="4" customWidth="1"/>
    <col min="5" max="5" width="14.5" style="4" bestFit="1" customWidth="1"/>
    <col min="6" max="6" width="14.6640625" style="4" bestFit="1" customWidth="1"/>
    <col min="7" max="8" width="12.5" style="4" bestFit="1" customWidth="1"/>
    <col min="9" max="9" width="12.6640625" style="4" customWidth="1"/>
    <col min="10" max="10" width="12.5" style="4" bestFit="1" customWidth="1"/>
    <col min="11" max="11" width="12.83203125" style="4" bestFit="1" customWidth="1"/>
    <col min="12" max="12" width="13" style="4" bestFit="1" customWidth="1"/>
    <col min="13" max="13" width="12.83203125" style="4" bestFit="1" customWidth="1"/>
    <col min="14" max="21" width="10.83203125" style="4"/>
    <col min="22" max="16384" width="11" style="4"/>
  </cols>
  <sheetData>
    <row r="1" spans="1:13" x14ac:dyDescent="0.2">
      <c r="A1" s="141" t="s">
        <v>164</v>
      </c>
      <c r="B1" s="142">
        <v>1</v>
      </c>
      <c r="C1" s="142">
        <v>2</v>
      </c>
      <c r="D1" s="142">
        <v>3</v>
      </c>
      <c r="E1" s="142">
        <v>4</v>
      </c>
      <c r="F1" s="142">
        <v>5</v>
      </c>
      <c r="G1" s="142">
        <v>6</v>
      </c>
      <c r="H1" s="142">
        <v>7</v>
      </c>
      <c r="I1" s="142">
        <v>8</v>
      </c>
      <c r="J1" s="142">
        <v>9</v>
      </c>
      <c r="K1" s="142">
        <v>10</v>
      </c>
      <c r="L1" s="142">
        <v>11</v>
      </c>
      <c r="M1" s="143">
        <v>12</v>
      </c>
    </row>
    <row r="2" spans="1:13" x14ac:dyDescent="0.2">
      <c r="A2" s="63" t="s">
        <v>60</v>
      </c>
      <c r="B2" s="483">
        <f>'Q1'!B90</f>
        <v>0</v>
      </c>
      <c r="C2" s="483">
        <f>'Q2'!B111</f>
        <v>798556</v>
      </c>
      <c r="D2" s="483">
        <f>'Q3-Validation'!C123</f>
        <v>1923112</v>
      </c>
      <c r="E2" s="483">
        <f>'Q4-Validation'!C123</f>
        <v>1686105</v>
      </c>
      <c r="F2" s="483">
        <v>3489303</v>
      </c>
      <c r="G2" s="330">
        <f>'Q6-Validation'!C123</f>
        <v>2554023</v>
      </c>
      <c r="H2" s="330">
        <f ca="1">'Q7-Validation'!C123</f>
        <v>3616316</v>
      </c>
      <c r="I2" s="330">
        <f ca="1">'Q8-Validation'!C123</f>
        <v>2792036</v>
      </c>
      <c r="J2" s="330">
        <f ca="1">'Q9-Validation'!C123</f>
        <v>4158295</v>
      </c>
      <c r="K2" s="330">
        <f ca="1">'Q10-Validation'!C123</f>
        <v>4562295</v>
      </c>
      <c r="L2" s="330">
        <f ca="1">'Q11-Validation'!C123</f>
        <v>5265050</v>
      </c>
      <c r="M2" s="336">
        <f ca="1">'Q12-Validation'!C123</f>
        <v>3728892</v>
      </c>
    </row>
    <row r="3" spans="1:13" x14ac:dyDescent="0.2">
      <c r="A3" s="63" t="s">
        <v>120</v>
      </c>
      <c r="B3" s="483">
        <f>'Q1'!B91</f>
        <v>0</v>
      </c>
      <c r="C3" s="484">
        <f>'Q2'!B112</f>
        <v>423285.9</v>
      </c>
      <c r="D3" s="484">
        <f>'Q3-Validation'!C124</f>
        <v>1045048.78</v>
      </c>
      <c r="E3" s="484">
        <f>'Q4-Validation'!C124</f>
        <v>791550.97</v>
      </c>
      <c r="F3" s="484">
        <v>1444533.05</v>
      </c>
      <c r="G3" s="330">
        <f>'Q6-Validation'!C124</f>
        <v>996058.8</v>
      </c>
      <c r="H3" s="330">
        <f>'Q7-Validation'!C124</f>
        <v>1357101.21</v>
      </c>
      <c r="I3" s="330">
        <f>'Q8-Validation'!C124</f>
        <v>1033124.62</v>
      </c>
      <c r="J3" s="330">
        <f>'Q9-Validation'!C124</f>
        <v>1575799.01</v>
      </c>
      <c r="K3" s="330">
        <f ca="1">'Q10-Validation'!C124</f>
        <v>1761908.0250000001</v>
      </c>
      <c r="L3" s="330">
        <f>'Q11-Validation'!C124</f>
        <v>1965430.76</v>
      </c>
      <c r="M3" s="336">
        <f>'Q12-Validation'!C124</f>
        <v>1390789.13</v>
      </c>
    </row>
    <row r="4" spans="1:13" x14ac:dyDescent="0.2">
      <c r="A4" s="63" t="s">
        <v>123</v>
      </c>
      <c r="B4" s="483">
        <f>'Q1'!B92</f>
        <v>0</v>
      </c>
      <c r="C4" s="483">
        <f>'Q2'!B113</f>
        <v>375270.1</v>
      </c>
      <c r="D4" s="483">
        <f>'Q3-Validation'!C125</f>
        <v>878063.22</v>
      </c>
      <c r="E4" s="483">
        <f>'Q4-Validation'!C125</f>
        <v>894554.03</v>
      </c>
      <c r="F4" s="483">
        <v>2044769.95</v>
      </c>
      <c r="G4" s="330">
        <f>'Q6-Validation'!C125</f>
        <v>1557964.2</v>
      </c>
      <c r="H4" s="330">
        <f ca="1">'Q7-Validation'!C125</f>
        <v>2259214.79</v>
      </c>
      <c r="I4" s="330">
        <f ca="1">'Q8-Validation'!C125</f>
        <v>1758911.38</v>
      </c>
      <c r="J4" s="330">
        <f ca="1">'Q9-Validation'!C125</f>
        <v>2582495.9900000002</v>
      </c>
      <c r="K4" s="330">
        <f ca="1">'Q10-Validation'!C125</f>
        <v>2800386.9749999996</v>
      </c>
      <c r="L4" s="330">
        <f ca="1">'Q11-Validation'!C125</f>
        <v>3299619.24</v>
      </c>
      <c r="M4" s="336">
        <f ca="1">'Q12-Validation'!C125</f>
        <v>2338102.87</v>
      </c>
    </row>
    <row r="5" spans="1:13" x14ac:dyDescent="0.2">
      <c r="A5" s="63" t="s">
        <v>125</v>
      </c>
      <c r="B5" s="483"/>
      <c r="C5" s="483"/>
      <c r="D5" s="483"/>
      <c r="E5" s="483"/>
      <c r="F5" s="483"/>
      <c r="G5" s="330">
        <f>'Q6-Validation'!C126</f>
        <v>0</v>
      </c>
      <c r="H5" s="330">
        <f>'Q7-Validation'!C126</f>
        <v>0</v>
      </c>
      <c r="I5" s="330">
        <f>'Q8-Validation'!C126</f>
        <v>0</v>
      </c>
      <c r="J5" s="330">
        <f>'Q9-Validation'!C126</f>
        <v>0</v>
      </c>
      <c r="K5" s="330">
        <f>'Q10-Validation'!C126</f>
        <v>0</v>
      </c>
      <c r="L5" s="330">
        <f>'Q11-Validation'!C126</f>
        <v>0</v>
      </c>
      <c r="M5" s="336">
        <f>'Q12-Validation'!C126</f>
        <v>0</v>
      </c>
    </row>
    <row r="6" spans="1:13" x14ac:dyDescent="0.2">
      <c r="A6" s="486" t="s">
        <v>27</v>
      </c>
      <c r="B6" s="483">
        <f>'Q1'!B94</f>
        <v>280000</v>
      </c>
      <c r="C6" s="483">
        <f>'Q2'!B115</f>
        <v>280000</v>
      </c>
      <c r="D6" s="483">
        <f>'Q3-Validation'!C127</f>
        <v>280000</v>
      </c>
      <c r="E6" s="483">
        <f>'Q4-Validation'!C127</f>
        <v>280000</v>
      </c>
      <c r="F6" s="483">
        <v>280000</v>
      </c>
      <c r="G6" s="330">
        <f>'Q6-Validation'!C127</f>
        <v>280000</v>
      </c>
      <c r="H6" s="330">
        <f>'Q7-Validation'!C127</f>
        <v>560000</v>
      </c>
      <c r="I6" s="330">
        <f>'Q8-Validation'!C127</f>
        <v>560000</v>
      </c>
      <c r="J6" s="330">
        <f ca="1">'Q9-Validation'!C127</f>
        <v>560000</v>
      </c>
      <c r="K6" s="330">
        <f ca="1">'Q10-Validation'!C127</f>
        <v>560000</v>
      </c>
      <c r="L6" s="330">
        <f ca="1">'Q11-Validation'!C127</f>
        <v>560000</v>
      </c>
      <c r="M6" s="336">
        <f ca="1">'Q12-Validation'!C127</f>
        <v>560000</v>
      </c>
    </row>
    <row r="7" spans="1:13" x14ac:dyDescent="0.2">
      <c r="A7" s="63" t="s">
        <v>81</v>
      </c>
      <c r="B7" s="483">
        <f>'Q1'!B95</f>
        <v>267500</v>
      </c>
      <c r="C7" s="483">
        <f>'Q2'!B116</f>
        <v>272500</v>
      </c>
      <c r="D7" s="483">
        <f>'Q3-Validation'!C128</f>
        <v>282500</v>
      </c>
      <c r="E7" s="483">
        <f>'Q4-Validation'!C128</f>
        <v>287500</v>
      </c>
      <c r="F7" s="483">
        <v>304200</v>
      </c>
      <c r="G7" s="330">
        <f>'Q6-Validation'!C128</f>
        <v>304200</v>
      </c>
      <c r="H7" s="330">
        <f ca="1">'Q7-Validation'!C128</f>
        <v>608400</v>
      </c>
      <c r="I7" s="330">
        <f ca="1">'Q8-Validation'!C128</f>
        <v>608400</v>
      </c>
      <c r="J7" s="330">
        <f ca="1">'Q9-Validation'!C128</f>
        <v>608400</v>
      </c>
      <c r="K7" s="330">
        <f ca="1">'Q10-Validation'!C128</f>
        <v>608400</v>
      </c>
      <c r="L7" s="330">
        <f ca="1">'Q11-Validation'!C128</f>
        <v>608400</v>
      </c>
      <c r="M7" s="336">
        <f ca="1">'Q12-Validation'!C128</f>
        <v>608400</v>
      </c>
    </row>
    <row r="8" spans="1:13" x14ac:dyDescent="0.2">
      <c r="A8" s="63" t="s">
        <v>87</v>
      </c>
      <c r="B8" s="483">
        <f>'Q1'!B96</f>
        <v>20000</v>
      </c>
      <c r="C8" s="483">
        <f>'Q2'!B117</f>
        <v>30000</v>
      </c>
      <c r="D8" s="483">
        <f>'Q3-Validation'!C129</f>
        <v>40000</v>
      </c>
      <c r="E8" s="483">
        <f>'Q4-Validation'!C129</f>
        <v>40000</v>
      </c>
      <c r="F8" s="483">
        <v>70000</v>
      </c>
      <c r="G8" s="330">
        <f>'Q6-Validation'!C129</f>
        <v>70000</v>
      </c>
      <c r="H8" s="330">
        <f ca="1">'Q7-Validation'!C129</f>
        <v>70000</v>
      </c>
      <c r="I8" s="330">
        <f ca="1">'Q8-Validation'!C129</f>
        <v>70000</v>
      </c>
      <c r="J8" s="330">
        <f ca="1">'Q9-Validation'!C129</f>
        <v>70000</v>
      </c>
      <c r="K8" s="330">
        <f ca="1">'Q10-Validation'!C129</f>
        <v>70000</v>
      </c>
      <c r="L8" s="330">
        <f ca="1">'Q11-Validation'!C129</f>
        <v>50000</v>
      </c>
      <c r="M8" s="336">
        <f ca="1">'Q12-Validation'!C129</f>
        <v>50000</v>
      </c>
    </row>
    <row r="9" spans="1:13" x14ac:dyDescent="0.2">
      <c r="A9" s="63" t="s">
        <v>92</v>
      </c>
      <c r="B9" s="483">
        <f>'Q1'!B97</f>
        <v>52425</v>
      </c>
      <c r="C9" s="483">
        <f>'Q2'!B118</f>
        <v>53590</v>
      </c>
      <c r="D9" s="483">
        <f>'Q3-Validation'!C130</f>
        <v>55920</v>
      </c>
      <c r="E9" s="483">
        <f>'Q4-Validation'!C130</f>
        <v>57085</v>
      </c>
      <c r="F9" s="483">
        <v>47000</v>
      </c>
      <c r="G9" s="330">
        <f>'Q6-Validation'!C130</f>
        <v>47000</v>
      </c>
      <c r="H9" s="330">
        <f ca="1">'Q7-Validation'!C130</f>
        <v>47000</v>
      </c>
      <c r="I9" s="330">
        <f ca="1">'Q8-Validation'!C130</f>
        <v>47000</v>
      </c>
      <c r="J9" s="330">
        <f ca="1">'Q9-Validation'!C130</f>
        <v>47000</v>
      </c>
      <c r="K9" s="330">
        <f ca="1">'Q10-Validation'!C130</f>
        <v>47000</v>
      </c>
      <c r="L9" s="330">
        <f ca="1">'Q11-Validation'!C130</f>
        <v>47000</v>
      </c>
      <c r="M9" s="336">
        <f ca="1">'Q12-Validation'!C130</f>
        <v>47000</v>
      </c>
    </row>
    <row r="10" spans="1:13" x14ac:dyDescent="0.2">
      <c r="A10" s="63" t="s">
        <v>89</v>
      </c>
      <c r="B10" s="483">
        <f>'Q1'!B98</f>
        <v>4000</v>
      </c>
      <c r="C10" s="483">
        <f>'Q2'!B119</f>
        <v>4000</v>
      </c>
      <c r="D10" s="483">
        <f>'Q3-Validation'!C131</f>
        <v>8000</v>
      </c>
      <c r="E10" s="483">
        <f>'Q4-Validation'!C131</f>
        <v>8000</v>
      </c>
      <c r="F10" s="483">
        <v>10000</v>
      </c>
      <c r="G10" s="330">
        <f>'Q6-Validation'!C131</f>
        <v>10000</v>
      </c>
      <c r="H10" s="330">
        <f ca="1">'Q7-Validation'!C131</f>
        <v>10000</v>
      </c>
      <c r="I10" s="330">
        <f ca="1">'Q8-Validation'!C131</f>
        <v>10000</v>
      </c>
      <c r="J10" s="330">
        <f ca="1">'Q9-Validation'!C131</f>
        <v>18000</v>
      </c>
      <c r="K10" s="330">
        <f ca="1">'Q10-Validation'!C131</f>
        <v>18000</v>
      </c>
      <c r="L10" s="330">
        <f ca="1">'Q11-Validation'!C131</f>
        <v>18000</v>
      </c>
      <c r="M10" s="336">
        <f ca="1">'Q12-Validation'!C131</f>
        <v>18000</v>
      </c>
    </row>
    <row r="11" spans="1:13" x14ac:dyDescent="0.2">
      <c r="A11" s="63" t="s">
        <v>131</v>
      </c>
      <c r="B11" s="483">
        <f>'Q1'!B99</f>
        <v>0</v>
      </c>
      <c r="C11" s="483">
        <f>'Q2'!B120</f>
        <v>0</v>
      </c>
      <c r="D11" s="483">
        <f>'Q3-Validation'!C132</f>
        <v>0</v>
      </c>
      <c r="E11" s="483">
        <f>'Q4-Validation'!C132</f>
        <v>0</v>
      </c>
      <c r="F11" s="483">
        <v>0</v>
      </c>
      <c r="G11" s="330">
        <f>'Q6-Validation'!C132</f>
        <v>0</v>
      </c>
      <c r="H11" s="330">
        <f>'Q7-Validation'!C132</f>
        <v>0</v>
      </c>
      <c r="I11" s="330">
        <f>'Q8-Validation'!C132</f>
        <v>0</v>
      </c>
      <c r="J11" s="330">
        <f>'Q9-Validation'!C132</f>
        <v>0</v>
      </c>
      <c r="K11" s="330">
        <f>'Q10-Validation'!C132</f>
        <v>0</v>
      </c>
      <c r="L11" s="330">
        <f>'Q11-Validation'!C132</f>
        <v>0</v>
      </c>
      <c r="M11" s="336">
        <f>'Q12-Validation'!C132</f>
        <v>0</v>
      </c>
    </row>
    <row r="12" spans="1:13" x14ac:dyDescent="0.2">
      <c r="A12" s="63" t="s">
        <v>11</v>
      </c>
      <c r="B12" s="483">
        <f>'Q1'!B100</f>
        <v>30000</v>
      </c>
      <c r="C12" s="483">
        <f>'Q2'!B121</f>
        <v>45000</v>
      </c>
      <c r="D12" s="483">
        <f>'Q3-Validation'!C133</f>
        <v>75000</v>
      </c>
      <c r="E12" s="483">
        <f>'Q4-Validation'!C133</f>
        <v>75000</v>
      </c>
      <c r="F12" s="483">
        <v>135000</v>
      </c>
      <c r="G12" s="330">
        <f>'Q6-Validation'!C133</f>
        <v>135000</v>
      </c>
      <c r="H12" s="330">
        <f ca="1">'Q7-Validation'!C133</f>
        <v>135000</v>
      </c>
      <c r="I12" s="330">
        <f ca="1">'Q8-Validation'!C133</f>
        <v>135000</v>
      </c>
      <c r="J12" s="330">
        <f ca="1">'Q9-Validation'!C133</f>
        <v>135000</v>
      </c>
      <c r="K12" s="330">
        <f ca="1">'Q10-Validation'!C133</f>
        <v>135000</v>
      </c>
      <c r="L12" s="330">
        <f ca="1">'Q11-Validation'!C133</f>
        <v>135000</v>
      </c>
      <c r="M12" s="336">
        <f ca="1">'Q12-Validation'!C133</f>
        <v>135000</v>
      </c>
    </row>
    <row r="13" spans="1:13" x14ac:dyDescent="0.2">
      <c r="A13" s="63" t="s">
        <v>61</v>
      </c>
      <c r="B13" s="483">
        <f>'Q1'!B101</f>
        <v>0</v>
      </c>
      <c r="C13" s="483">
        <f>'Q2'!B122</f>
        <v>72902.820000000007</v>
      </c>
      <c r="D13" s="483">
        <f>'Q3-Validation'!C134</f>
        <v>145921.76</v>
      </c>
      <c r="E13" s="483">
        <f>'Q4-Validation'!C134</f>
        <v>165218.4</v>
      </c>
      <c r="F13" s="483">
        <v>238537.60000000001</v>
      </c>
      <c r="G13" s="330">
        <f>'Q6-Validation'!C134</f>
        <v>190565.01</v>
      </c>
      <c r="H13" s="330">
        <f ca="1">'Q7-Validation'!C134</f>
        <v>292639.19</v>
      </c>
      <c r="I13" s="330">
        <f ca="1">'Q8-Validation'!C134</f>
        <v>319567.58999999997</v>
      </c>
      <c r="J13" s="330">
        <f ca="1">'Q9-Validation'!C134</f>
        <v>427041.03</v>
      </c>
      <c r="K13" s="330">
        <f ca="1">'Q10-Validation'!C134</f>
        <v>423771.62</v>
      </c>
      <c r="L13" s="330">
        <f ca="1">'Q11-Validation'!C134</f>
        <v>427301.22</v>
      </c>
      <c r="M13" s="336">
        <f ca="1">'Q12-Validation'!C134</f>
        <v>349088.82</v>
      </c>
    </row>
    <row r="14" spans="1:13" x14ac:dyDescent="0.2">
      <c r="A14" s="63" t="s">
        <v>23</v>
      </c>
      <c r="B14" s="483">
        <f>'Q1'!B102</f>
        <v>12861.360000000002</v>
      </c>
      <c r="C14" s="483">
        <f>'Q2'!B123</f>
        <v>13633.041600000002</v>
      </c>
      <c r="D14" s="483">
        <f>'Q3-Validation'!C135</f>
        <v>14340.416400000004</v>
      </c>
      <c r="E14" s="483">
        <f>'Q4-Validation'!C135</f>
        <v>13568.734800000002</v>
      </c>
      <c r="F14" s="483">
        <v>11318</v>
      </c>
      <c r="G14" s="330">
        <f>'Q6-Validation'!C135</f>
        <v>17491.449600000004</v>
      </c>
      <c r="H14" s="330">
        <f>'Q7-Validation'!C135</f>
        <v>18756.150000000005</v>
      </c>
      <c r="I14" s="330">
        <f>'Q8-Validation'!C135</f>
        <v>20020.850400000003</v>
      </c>
      <c r="J14" s="330">
        <f>'Q9-Validation'!C135</f>
        <v>20685.354000000003</v>
      </c>
      <c r="K14" s="330">
        <f>'Q10-Validation'!C135</f>
        <v>21349.857600000007</v>
      </c>
      <c r="L14" s="330">
        <f>'Q11-Validation'!C135</f>
        <v>16559.001000000004</v>
      </c>
      <c r="M14" s="336">
        <f>'Q12-Validation'!C135</f>
        <v>1136.0868000000003</v>
      </c>
    </row>
    <row r="15" spans="1:13" x14ac:dyDescent="0.2">
      <c r="A15" s="63" t="s">
        <v>117</v>
      </c>
      <c r="B15" s="483">
        <f>'Q1'!B103</f>
        <v>40000</v>
      </c>
      <c r="C15" s="483">
        <f>'Q2'!B124</f>
        <v>80000</v>
      </c>
      <c r="D15" s="483">
        <f>'Q3-Validation'!C136</f>
        <v>80000</v>
      </c>
      <c r="E15" s="483">
        <f>'Q4-Validation'!C136</f>
        <v>80000</v>
      </c>
      <c r="F15" s="483">
        <v>40000</v>
      </c>
      <c r="G15" s="330">
        <f>'Q6-Validation'!C136</f>
        <v>40000</v>
      </c>
      <c r="H15" s="330">
        <f ca="1">'Q7-Validation'!C136</f>
        <v>80000</v>
      </c>
      <c r="I15" s="330">
        <f>'Q8-Validation'!C136</f>
        <v>40000</v>
      </c>
      <c r="J15" s="330">
        <f ca="1">'Q9-Validation'!C136</f>
        <v>80000</v>
      </c>
      <c r="K15" s="330">
        <f ca="1">'Q10-Validation'!C136</f>
        <v>0</v>
      </c>
      <c r="L15" s="330">
        <f ca="1">'Q11-Validation'!C136</f>
        <v>80000</v>
      </c>
      <c r="M15" s="336">
        <f ca="1">'Q12-Validation'!C136</f>
        <v>150000</v>
      </c>
    </row>
    <row r="16" spans="1:13" x14ac:dyDescent="0.2">
      <c r="A16" s="63" t="s">
        <v>137</v>
      </c>
      <c r="B16" s="483">
        <f>'Q1'!B104</f>
        <v>0</v>
      </c>
      <c r="C16" s="483">
        <f>'Q2'!B125</f>
        <v>23490</v>
      </c>
      <c r="D16" s="483">
        <f>'Q3-Validation'!C137</f>
        <v>47968</v>
      </c>
      <c r="E16" s="483">
        <f>'Q4-Validation'!C137</f>
        <v>41370</v>
      </c>
      <c r="F16" s="483">
        <v>61890</v>
      </c>
      <c r="G16" s="330">
        <f>'Q6-Validation'!C137</f>
        <v>36058</v>
      </c>
      <c r="H16" s="330">
        <f>'Q7-Validation'!C137</f>
        <v>55012</v>
      </c>
      <c r="I16" s="330">
        <f>'Q8-Validation'!C137</f>
        <v>38776</v>
      </c>
      <c r="J16" s="330">
        <f>'Q9-Validation'!C137</f>
        <v>63022</v>
      </c>
      <c r="K16" s="330">
        <f>'Q10-Validation'!C137</f>
        <v>64144</v>
      </c>
      <c r="L16" s="330">
        <f>'Q11-Validation'!C137</f>
        <v>76922</v>
      </c>
      <c r="M16" s="336">
        <f>'Q12-Validation'!C137</f>
        <v>55710</v>
      </c>
    </row>
    <row r="17" spans="1:13" x14ac:dyDescent="0.2">
      <c r="A17" s="63" t="s">
        <v>139</v>
      </c>
      <c r="B17" s="483">
        <f>'Q1'!B105</f>
        <v>0</v>
      </c>
      <c r="C17" s="483">
        <f>'Q2'!B126</f>
        <v>0</v>
      </c>
      <c r="D17" s="483">
        <f>'Q3-Validation'!C138</f>
        <v>0</v>
      </c>
      <c r="E17" s="483">
        <f>'Q4-Validation'!C138</f>
        <v>0</v>
      </c>
      <c r="F17" s="483">
        <v>0</v>
      </c>
      <c r="G17" s="330">
        <f>'Q6-Validation'!C138</f>
        <v>0</v>
      </c>
      <c r="H17" s="330">
        <f>'Q7-Validation'!C138</f>
        <v>0</v>
      </c>
      <c r="I17" s="330">
        <f>'Q8-Validation'!C138</f>
        <v>0</v>
      </c>
      <c r="J17" s="330">
        <f>'Q9-Validation'!C138</f>
        <v>0</v>
      </c>
      <c r="K17" s="330">
        <f>'Q10-Validation'!C138</f>
        <v>0</v>
      </c>
      <c r="L17" s="330">
        <f>'Q11-Validation'!C138</f>
        <v>0</v>
      </c>
      <c r="M17" s="336">
        <f>'Q12-Validation'!C138</f>
        <v>0</v>
      </c>
    </row>
    <row r="18" spans="1:13" x14ac:dyDescent="0.2">
      <c r="A18" s="63" t="s">
        <v>140</v>
      </c>
      <c r="B18" s="483">
        <f>'Q1'!B106</f>
        <v>0</v>
      </c>
      <c r="C18" s="483">
        <f>'Q2'!B127</f>
        <v>0</v>
      </c>
      <c r="D18" s="483">
        <f>'Q3-Validation'!C139</f>
        <v>24003.38</v>
      </c>
      <c r="E18" s="483">
        <f>'Q4-Validation'!C139</f>
        <v>40253.360000000001</v>
      </c>
      <c r="F18" s="483">
        <v>116709.92</v>
      </c>
      <c r="G18" s="330">
        <f>'Q6-Validation'!C139</f>
        <v>0</v>
      </c>
      <c r="H18" s="330">
        <f ca="1">'Q7-Validation'!C139</f>
        <v>0</v>
      </c>
      <c r="I18" s="330">
        <f ca="1">'Q8-Validation'!C139</f>
        <v>0</v>
      </c>
      <c r="J18" s="330">
        <f ca="1">'Q9-Validation'!C139</f>
        <v>0</v>
      </c>
      <c r="K18" s="330">
        <f ca="1">'Q10-Validation'!C139</f>
        <v>0</v>
      </c>
      <c r="L18" s="330">
        <f ca="1">'Q11-Validation'!C139</f>
        <v>0</v>
      </c>
      <c r="M18" s="336">
        <f ca="1">'Q12-Validation'!C139</f>
        <v>0</v>
      </c>
    </row>
    <row r="19" spans="1:13" x14ac:dyDescent="0.2">
      <c r="A19" s="63" t="s">
        <v>141</v>
      </c>
      <c r="B19" s="483">
        <f>'Q1'!B107</f>
        <v>0</v>
      </c>
      <c r="C19" s="483">
        <f>'Q2'!B128</f>
        <v>0</v>
      </c>
      <c r="D19" s="483">
        <f>'Q3-Validation'!C140</f>
        <v>0</v>
      </c>
      <c r="E19" s="483">
        <f>'Q4-Validation'!C140</f>
        <v>0</v>
      </c>
      <c r="F19" s="483">
        <v>0</v>
      </c>
      <c r="G19" s="330">
        <f>'Q6-Validation'!C140</f>
        <v>0</v>
      </c>
      <c r="H19" s="330">
        <f>'Q7-Validation'!C140</f>
        <v>0</v>
      </c>
      <c r="I19" s="330">
        <f>'Q8-Validation'!C140</f>
        <v>0</v>
      </c>
      <c r="J19" s="330">
        <f>'Q9-Validation'!C140</f>
        <v>0</v>
      </c>
      <c r="K19" s="330">
        <f>'Q10-Validation'!C140</f>
        <v>0</v>
      </c>
      <c r="L19" s="330">
        <f>'Q11-Validation'!C140</f>
        <v>0</v>
      </c>
      <c r="M19" s="336">
        <f>'Q12-Validation'!C140</f>
        <v>0</v>
      </c>
    </row>
    <row r="20" spans="1:13" x14ac:dyDescent="0.2">
      <c r="A20" s="63" t="s">
        <v>142</v>
      </c>
      <c r="B20" s="483">
        <f>'Q1'!B108</f>
        <v>0</v>
      </c>
      <c r="C20" s="483">
        <f>'Q2'!B129</f>
        <v>0</v>
      </c>
      <c r="D20" s="483">
        <f>'Q3-Validation'!C141</f>
        <v>0</v>
      </c>
      <c r="E20" s="483">
        <f>'Q4-Validation'!C141</f>
        <v>0</v>
      </c>
      <c r="F20" s="483">
        <v>0</v>
      </c>
      <c r="G20" s="330">
        <f>'Q6-Validation'!C141</f>
        <v>0</v>
      </c>
      <c r="H20" s="330">
        <f>'Q7-Validation'!C141</f>
        <v>0</v>
      </c>
      <c r="I20" s="330">
        <f>'Q8-Validation'!C141</f>
        <v>0</v>
      </c>
      <c r="J20" s="330">
        <f>'Q9-Validation'!C141</f>
        <v>0</v>
      </c>
      <c r="K20" s="330">
        <f>'Q10-Validation'!C141</f>
        <v>0</v>
      </c>
      <c r="L20" s="330">
        <f>'Q11-Validation'!C141</f>
        <v>0</v>
      </c>
      <c r="M20" s="336">
        <f>'Q12-Validation'!C141</f>
        <v>0</v>
      </c>
    </row>
    <row r="21" spans="1:13" x14ac:dyDescent="0.2">
      <c r="A21" s="63" t="s">
        <v>143</v>
      </c>
      <c r="B21" s="484">
        <f>'Q1'!B109</f>
        <v>706786.36</v>
      </c>
      <c r="C21" s="484">
        <f>'Q2'!B130</f>
        <v>875115.86160000006</v>
      </c>
      <c r="D21" s="484">
        <f>'Q3-Validation'!C142</f>
        <v>1053653.5563999999</v>
      </c>
      <c r="E21" s="484">
        <f>'Q4-Validation'!C142</f>
        <v>1087995.4948</v>
      </c>
      <c r="F21" s="484">
        <v>1314655.52</v>
      </c>
      <c r="G21" s="330">
        <f>'Q6-Validation'!C142</f>
        <v>1130314.4595999999</v>
      </c>
      <c r="H21" s="330">
        <f ca="1">'Q7-Validation'!C142</f>
        <v>1876807.3399999999</v>
      </c>
      <c r="I21" s="330">
        <f ca="1">'Q8-Validation'!C142</f>
        <v>1848764.4404</v>
      </c>
      <c r="J21" s="330">
        <f ca="1">'Q9-Validation'!C142</f>
        <v>2029148.3840000001</v>
      </c>
      <c r="K21" s="330">
        <f ca="1">'Q10-Validation'!C142</f>
        <v>1947665.4776000001</v>
      </c>
      <c r="L21" s="330">
        <f ca="1">'Q11-Validation'!C142</f>
        <v>2019182.2209999999</v>
      </c>
      <c r="M21" s="336">
        <f ca="1">'Q12-Validation'!C142</f>
        <v>1974334.9068</v>
      </c>
    </row>
    <row r="22" spans="1:13" x14ac:dyDescent="0.2">
      <c r="A22" s="63" t="s">
        <v>125</v>
      </c>
      <c r="B22" s="483"/>
      <c r="C22" s="483"/>
      <c r="D22" s="483"/>
      <c r="E22" s="483"/>
      <c r="F22" s="483"/>
      <c r="G22" s="330">
        <f>'Q6-Validation'!C143</f>
        <v>0</v>
      </c>
      <c r="H22" s="330">
        <f>'Q7-Validation'!C143</f>
        <v>0</v>
      </c>
      <c r="I22" s="330">
        <f>'Q8-Validation'!C143</f>
        <v>0</v>
      </c>
      <c r="J22" s="330">
        <f>'Q9-Validation'!C143</f>
        <v>0</v>
      </c>
      <c r="K22" s="330">
        <f>'Q10-Validation'!C143</f>
        <v>0</v>
      </c>
      <c r="L22" s="330">
        <f>'Q11-Validation'!C143</f>
        <v>0</v>
      </c>
      <c r="M22" s="336">
        <f>'Q12-Validation'!C143</f>
        <v>0</v>
      </c>
    </row>
    <row r="23" spans="1:13" x14ac:dyDescent="0.2">
      <c r="A23" s="63" t="s">
        <v>144</v>
      </c>
      <c r="B23" s="483">
        <f>'Q1'!B111</f>
        <v>0</v>
      </c>
      <c r="C23" s="483">
        <f>'Q2'!B132</f>
        <v>0</v>
      </c>
      <c r="D23" s="483">
        <f>'Q3-Validation'!C144</f>
        <v>0</v>
      </c>
      <c r="E23" s="483">
        <f>'Q4-Validation'!C144</f>
        <v>0</v>
      </c>
      <c r="F23" s="483">
        <v>0</v>
      </c>
      <c r="G23" s="330">
        <f>'Q6-Validation'!C144</f>
        <v>0</v>
      </c>
      <c r="H23" s="330">
        <f>'Q7-Validation'!C144</f>
        <v>0</v>
      </c>
      <c r="I23" s="330">
        <f>'Q8-Validation'!C144</f>
        <v>0</v>
      </c>
      <c r="J23" s="330">
        <f>'Q9-Validation'!C144</f>
        <v>0</v>
      </c>
      <c r="K23" s="330">
        <f>'Q10-Validation'!C144</f>
        <v>0</v>
      </c>
      <c r="L23" s="330">
        <f>'Q11-Validation'!C144</f>
        <v>0</v>
      </c>
      <c r="M23" s="336">
        <f>'Q12-Validation'!C144</f>
        <v>0</v>
      </c>
    </row>
    <row r="24" spans="1:13" x14ac:dyDescent="0.2">
      <c r="A24" s="63" t="s">
        <v>145</v>
      </c>
      <c r="B24" s="483">
        <f>'Q1'!B112</f>
        <v>0</v>
      </c>
      <c r="C24" s="483">
        <f>'Q2'!B133</f>
        <v>0</v>
      </c>
      <c r="D24" s="483">
        <f>'Q3-Validation'!C145</f>
        <v>0</v>
      </c>
      <c r="E24" s="483">
        <f>'Q4-Validation'!C145</f>
        <v>0</v>
      </c>
      <c r="F24" s="483">
        <v>0</v>
      </c>
      <c r="G24" s="330">
        <f>'Q6-Validation'!C145</f>
        <v>0</v>
      </c>
      <c r="H24" s="330">
        <f>'Q7-Validation'!C145</f>
        <v>0</v>
      </c>
      <c r="I24" s="330">
        <f>'Q8-Validation'!C145</f>
        <v>0</v>
      </c>
      <c r="J24" s="330">
        <f>'Q9-Validation'!C145</f>
        <v>0</v>
      </c>
      <c r="K24" s="330">
        <f>'Q10-Validation'!C145</f>
        <v>0</v>
      </c>
      <c r="L24" s="330">
        <f>'Q11-Validation'!C145</f>
        <v>0</v>
      </c>
      <c r="M24" s="336">
        <f>'Q12-Validation'!C145</f>
        <v>0</v>
      </c>
    </row>
    <row r="25" spans="1:13" x14ac:dyDescent="0.2">
      <c r="A25" s="63" t="s">
        <v>125</v>
      </c>
      <c r="B25" s="483"/>
      <c r="C25" s="483"/>
      <c r="D25" s="483"/>
      <c r="E25" s="483"/>
      <c r="F25" s="483"/>
      <c r="G25" s="330">
        <f>'Q6-Validation'!C146</f>
        <v>0</v>
      </c>
      <c r="H25" s="330">
        <f>'Q7-Validation'!C146</f>
        <v>0</v>
      </c>
      <c r="I25" s="330">
        <f>'Q8-Validation'!C146</f>
        <v>0</v>
      </c>
      <c r="J25" s="330">
        <f>'Q9-Validation'!C146</f>
        <v>0</v>
      </c>
      <c r="K25" s="330">
        <f>'Q10-Validation'!C146</f>
        <v>0</v>
      </c>
      <c r="L25" s="330">
        <f>'Q11-Validation'!C146</f>
        <v>0</v>
      </c>
      <c r="M25" s="336">
        <f>'Q12-Validation'!C146</f>
        <v>0</v>
      </c>
    </row>
    <row r="26" spans="1:13" x14ac:dyDescent="0.2">
      <c r="A26" s="63" t="s">
        <v>146</v>
      </c>
      <c r="B26" s="484">
        <f>'Q1'!B114</f>
        <v>-706786.36</v>
      </c>
      <c r="C26" s="484">
        <f>'Q2'!B135</f>
        <v>-499845.76160000009</v>
      </c>
      <c r="D26" s="484">
        <f>'Q3-Validation'!C147</f>
        <v>-175590.33639999991</v>
      </c>
      <c r="E26" s="484">
        <f>'Q4-Validation'!C147</f>
        <v>-193441.46479999996</v>
      </c>
      <c r="F26" s="483">
        <v>730143.43</v>
      </c>
      <c r="G26" s="330">
        <f>'Q6-Validation'!C147</f>
        <v>427649.74040000001</v>
      </c>
      <c r="H26" s="330">
        <f ca="1">'Q7-Validation'!C147</f>
        <v>382407.45000000019</v>
      </c>
      <c r="I26" s="330">
        <f ca="1">'Q8-Validation'!C147</f>
        <v>-89853.060400000075</v>
      </c>
      <c r="J26" s="330">
        <f ca="1">'Q9-Validation'!C147</f>
        <v>553347.60600000015</v>
      </c>
      <c r="K26" s="330">
        <f ca="1">'Q10-Validation'!C147</f>
        <v>852721.49739999953</v>
      </c>
      <c r="L26" s="330">
        <f ca="1">'Q11-Validation'!C147</f>
        <v>1280437.0190000003</v>
      </c>
      <c r="M26" s="336">
        <f ca="1">'Q12-Validation'!C147</f>
        <v>363767.96320000011</v>
      </c>
    </row>
    <row r="27" spans="1:13" x14ac:dyDescent="0.2">
      <c r="A27" s="63" t="s">
        <v>147</v>
      </c>
      <c r="B27" s="483">
        <f>'Q1'!B115</f>
        <v>0</v>
      </c>
      <c r="C27" s="483">
        <f>'Q2'!B136</f>
        <v>0</v>
      </c>
      <c r="D27" s="483">
        <f>'Q3-Validation'!C148</f>
        <v>0</v>
      </c>
      <c r="E27" s="483">
        <f>'Q4-Validation'!C148</f>
        <v>0</v>
      </c>
      <c r="F27" s="483">
        <v>109517.16</v>
      </c>
      <c r="G27" s="330">
        <f>'Q6-Validation'!C148</f>
        <v>64147.461060000001</v>
      </c>
      <c r="H27" s="330">
        <f ca="1">'Q7-Validation'!C148</f>
        <v>57361.117500000029</v>
      </c>
      <c r="I27" s="330">
        <f ca="1">'Q8-Validation'!C148</f>
        <v>0</v>
      </c>
      <c r="J27" s="330">
        <f ca="1">'Q9-Validation'!C148</f>
        <v>83002.140900000013</v>
      </c>
      <c r="K27" s="330">
        <f ca="1">'Q10-Validation'!C148</f>
        <v>127908.22460999992</v>
      </c>
      <c r="L27" s="330">
        <f ca="1">'Q11-Validation'!C148</f>
        <v>192065.55285000004</v>
      </c>
      <c r="M27" s="336">
        <f ca="1">'Q12-Validation'!C148</f>
        <v>54565.194480000013</v>
      </c>
    </row>
    <row r="28" spans="1:13" x14ac:dyDescent="0.2">
      <c r="A28" s="63" t="s">
        <v>148</v>
      </c>
      <c r="B28" s="484">
        <f>'Q1'!B116</f>
        <v>-706786.36</v>
      </c>
      <c r="C28" s="484">
        <f>'Q2'!B137</f>
        <v>-499845.76160000009</v>
      </c>
      <c r="D28" s="484">
        <f>'Q3-Validation'!C149</f>
        <v>-175590.33639999991</v>
      </c>
      <c r="E28" s="484">
        <f>'Q4-Validation'!C149</f>
        <v>-193441.46479999996</v>
      </c>
      <c r="F28" s="483">
        <v>620597.27</v>
      </c>
      <c r="G28" s="330">
        <f>'Q6-Validation'!C149</f>
        <v>363502.27934000001</v>
      </c>
      <c r="H28" s="330">
        <f ca="1">'Q7-Validation'!C149</f>
        <v>325046.33250000014</v>
      </c>
      <c r="I28" s="330">
        <f ca="1">'Q8-Validation'!C149</f>
        <v>-89853.060400000075</v>
      </c>
      <c r="J28" s="330">
        <f ca="1">'Q9-Validation'!C149</f>
        <v>470345.46510000015</v>
      </c>
      <c r="K28" s="330">
        <f ca="1">'Q10-Validation'!C149</f>
        <v>724813.27278999961</v>
      </c>
      <c r="L28" s="330">
        <f ca="1">'Q11-Validation'!C149</f>
        <v>1088371.4661500002</v>
      </c>
      <c r="M28" s="336">
        <f ca="1">'Q12-Validation'!C149</f>
        <v>309202.76872000011</v>
      </c>
    </row>
    <row r="29" spans="1:13" x14ac:dyDescent="0.2">
      <c r="A29" s="63" t="s">
        <v>119</v>
      </c>
      <c r="B29" s="483"/>
      <c r="C29" s="483"/>
      <c r="D29" s="483"/>
      <c r="E29" s="483"/>
      <c r="F29" s="483"/>
      <c r="G29" s="330">
        <f>'Q6-Validation'!C150</f>
        <v>0</v>
      </c>
      <c r="H29" s="330">
        <f>'Q7-Validation'!C150</f>
        <v>0</v>
      </c>
      <c r="I29" s="330">
        <f>'Q8-Validation'!C150</f>
        <v>0</v>
      </c>
      <c r="J29" s="330">
        <f>'Q9-Validation'!C150</f>
        <v>0</v>
      </c>
      <c r="K29" s="330">
        <f>'Q10-Validation'!C150</f>
        <v>0</v>
      </c>
      <c r="L29" s="330">
        <f>'Q11-Validation'!C150</f>
        <v>0</v>
      </c>
      <c r="M29" s="336">
        <f>'Q12-Validation'!C150</f>
        <v>0</v>
      </c>
    </row>
    <row r="30" spans="1:13" x14ac:dyDescent="0.2">
      <c r="A30" s="63" t="s">
        <v>149</v>
      </c>
      <c r="B30" s="483">
        <f>'Q1'!B118</f>
        <v>0</v>
      </c>
      <c r="C30" s="484">
        <f>'Q2'!B139</f>
        <v>-706786.36</v>
      </c>
      <c r="D30" s="484">
        <f>'Q3-Validation'!C151</f>
        <v>-1206632.1216000002</v>
      </c>
      <c r="E30" s="484">
        <f>'Q4-Validation'!C151</f>
        <v>-1382222.4580000001</v>
      </c>
      <c r="F30" s="484">
        <v>-1575663.92</v>
      </c>
      <c r="G30" s="330">
        <f>'Q6-Validation'!C151</f>
        <v>-955066.65</v>
      </c>
      <c r="H30" s="330">
        <f>'Q7-Validation'!C151</f>
        <v>-591564.37066000002</v>
      </c>
      <c r="I30" s="330">
        <f ca="1">'Q8-Validation'!C151</f>
        <v>-266518.03815999988</v>
      </c>
      <c r="J30" s="330">
        <f ca="1">'Q9-Validation'!C151</f>
        <v>-356371.09855999995</v>
      </c>
      <c r="K30" s="330">
        <f ca="1">'Q10-Validation'!C151</f>
        <v>113974.36654000019</v>
      </c>
      <c r="L30" s="330">
        <f ca="1">'Q11-Validation'!C151</f>
        <v>838787.6393299998</v>
      </c>
      <c r="M30" s="336">
        <f ca="1">'Q12-Validation'!C151</f>
        <v>1927159.1054799999</v>
      </c>
    </row>
    <row r="31" spans="1:13" x14ac:dyDescent="0.2">
      <c r="A31" s="63" t="s">
        <v>148</v>
      </c>
      <c r="B31" s="484">
        <f>'Q1'!B119</f>
        <v>-706786.36</v>
      </c>
      <c r="C31" s="484">
        <f>'Q2'!B140</f>
        <v>-1206632.1216000002</v>
      </c>
      <c r="D31" s="484">
        <f>'Q3-Validation'!C152</f>
        <v>-1382222.4580000001</v>
      </c>
      <c r="E31" s="484">
        <f>'Q4-Validation'!C152</f>
        <v>-1575663.9228000001</v>
      </c>
      <c r="F31" s="483">
        <v>620597.27</v>
      </c>
      <c r="G31" s="330">
        <f>'Q6-Validation'!C152</f>
        <v>363502.27934000001</v>
      </c>
      <c r="H31" s="330">
        <f ca="1">'Q7-Validation'!C152</f>
        <v>325046.33250000014</v>
      </c>
      <c r="I31" s="330">
        <f ca="1">'Q8-Validation'!C152</f>
        <v>-89853.060400000075</v>
      </c>
      <c r="J31" s="330">
        <f ca="1">'Q9-Validation'!C152</f>
        <v>470345.46510000015</v>
      </c>
      <c r="K31" s="330">
        <f ca="1">'Q10-Validation'!C152</f>
        <v>724813.27278999961</v>
      </c>
      <c r="L31" s="330">
        <f ca="1">'Q11-Validation'!C152</f>
        <v>1088371.4661500002</v>
      </c>
      <c r="M31" s="336">
        <f ca="1">'Q12-Validation'!C152</f>
        <v>309202.76872000011</v>
      </c>
    </row>
    <row r="32" spans="1:13" x14ac:dyDescent="0.2">
      <c r="A32" s="63" t="s">
        <v>150</v>
      </c>
      <c r="B32" s="483">
        <f>'Q1'!B120</f>
        <v>0</v>
      </c>
      <c r="C32" s="483">
        <f>'Q2'!B141</f>
        <v>0</v>
      </c>
      <c r="D32" s="483">
        <f>'Q3-Validation'!C153</f>
        <v>0</v>
      </c>
      <c r="E32" s="483">
        <f>'Q4-Validation'!C153</f>
        <v>0</v>
      </c>
      <c r="F32" s="483">
        <v>0</v>
      </c>
      <c r="G32" s="330">
        <f>'Q6-Validation'!C153</f>
        <v>0</v>
      </c>
      <c r="H32" s="330">
        <f>'Q7-Validation'!C153</f>
        <v>0</v>
      </c>
      <c r="I32" s="330">
        <f>'Q8-Validation'!C153</f>
        <v>0</v>
      </c>
      <c r="J32" s="330">
        <f>'Q9-Validation'!C153</f>
        <v>0</v>
      </c>
      <c r="K32" s="330">
        <f>'Q10-Validation'!C153</f>
        <v>0</v>
      </c>
      <c r="L32" s="330">
        <f>'Q11-Validation'!C153</f>
        <v>0</v>
      </c>
      <c r="M32" s="336">
        <f>'Q12-Validation'!C153</f>
        <v>0</v>
      </c>
    </row>
    <row r="33" spans="1:13" x14ac:dyDescent="0.2">
      <c r="A33" s="66" t="s">
        <v>151</v>
      </c>
      <c r="B33" s="482">
        <f>'Q1'!B121</f>
        <v>-706786.36</v>
      </c>
      <c r="C33" s="482">
        <f>'Q2'!B142</f>
        <v>-1206632.1216000002</v>
      </c>
      <c r="D33" s="482">
        <f>'Q3-Validation'!C154</f>
        <v>-1382222.4580000001</v>
      </c>
      <c r="E33" s="482">
        <f>'Q4-Validation'!C154</f>
        <v>-1575663.9228000001</v>
      </c>
      <c r="F33" s="482">
        <v>-955066.65</v>
      </c>
      <c r="G33" s="485">
        <f>'Q6-Validation'!C154</f>
        <v>-591564.37066000002</v>
      </c>
      <c r="H33" s="485">
        <f ca="1">'Q7-Validation'!C154</f>
        <v>-266518.03815999988</v>
      </c>
      <c r="I33" s="485">
        <f ca="1">'Q8-Validation'!C154</f>
        <v>-356371.09855999995</v>
      </c>
      <c r="J33" s="485">
        <f ca="1">'Q9-Validation'!C154</f>
        <v>113974.36654000019</v>
      </c>
      <c r="K33" s="485">
        <f ca="1">'Q10-Validation'!C154</f>
        <v>838787.6393299998</v>
      </c>
      <c r="L33" s="485">
        <f ca="1">'Q11-Validation'!C154</f>
        <v>1927159.1054799999</v>
      </c>
      <c r="M33" s="337">
        <f ca="1">'Q12-Validation'!C154</f>
        <v>2236361.8742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56C5A-A038-B344-8FA0-DF1B0DF24E0A}">
  <sheetPr codeName="Sheet16">
    <tabColor theme="3" tint="0.749992370372631"/>
  </sheetPr>
  <dimension ref="A2:G16"/>
  <sheetViews>
    <sheetView zoomScale="142" workbookViewId="0">
      <selection activeCell="B20" sqref="B20"/>
    </sheetView>
  </sheetViews>
  <sheetFormatPr baseColWidth="10" defaultColWidth="11" defaultRowHeight="16" x14ac:dyDescent="0.2"/>
  <cols>
    <col min="1" max="1" width="18.6640625" customWidth="1"/>
  </cols>
  <sheetData>
    <row r="2" spans="1:7" x14ac:dyDescent="0.2">
      <c r="A2" t="s">
        <v>396</v>
      </c>
    </row>
    <row r="4" spans="1:7" x14ac:dyDescent="0.2">
      <c r="A4" s="407" t="s">
        <v>397</v>
      </c>
      <c r="B4" s="408">
        <v>1</v>
      </c>
      <c r="C4" s="408">
        <v>2</v>
      </c>
      <c r="D4" s="408">
        <v>3</v>
      </c>
      <c r="E4" s="409">
        <v>4</v>
      </c>
      <c r="F4" s="381" t="s">
        <v>64</v>
      </c>
    </row>
    <row r="5" spans="1:7" x14ac:dyDescent="0.2">
      <c r="A5" s="63">
        <v>1</v>
      </c>
      <c r="B5">
        <v>1</v>
      </c>
      <c r="C5">
        <v>2</v>
      </c>
      <c r="D5">
        <v>0</v>
      </c>
      <c r="E5" s="94">
        <v>3</v>
      </c>
      <c r="F5">
        <f>SUM(B5:E5)</f>
        <v>6</v>
      </c>
    </row>
    <row r="6" spans="1:7" x14ac:dyDescent="0.2">
      <c r="A6" s="63">
        <v>2</v>
      </c>
      <c r="B6">
        <v>1</v>
      </c>
      <c r="C6">
        <v>2</v>
      </c>
      <c r="D6">
        <v>1</v>
      </c>
      <c r="E6" s="94">
        <v>3</v>
      </c>
      <c r="F6">
        <f t="shared" ref="F6:F16" si="0">SUM(B6:E6)</f>
        <v>7</v>
      </c>
    </row>
    <row r="7" spans="1:7" x14ac:dyDescent="0.2">
      <c r="A7" s="63">
        <v>3</v>
      </c>
      <c r="B7">
        <v>1</v>
      </c>
      <c r="C7">
        <v>2</v>
      </c>
      <c r="D7">
        <v>2</v>
      </c>
      <c r="E7" s="94">
        <v>4</v>
      </c>
      <c r="F7">
        <f t="shared" si="0"/>
        <v>9</v>
      </c>
    </row>
    <row r="8" spans="1:7" x14ac:dyDescent="0.2">
      <c r="A8" s="63">
        <v>4</v>
      </c>
      <c r="B8">
        <v>2</v>
      </c>
      <c r="C8">
        <v>2</v>
      </c>
      <c r="D8">
        <v>2</v>
      </c>
      <c r="E8" s="94">
        <v>4</v>
      </c>
      <c r="F8">
        <f t="shared" si="0"/>
        <v>10</v>
      </c>
    </row>
    <row r="9" spans="1:7" x14ac:dyDescent="0.2">
      <c r="A9" s="63">
        <v>5</v>
      </c>
      <c r="B9">
        <v>2</v>
      </c>
      <c r="C9">
        <v>3</v>
      </c>
      <c r="D9">
        <v>2</v>
      </c>
      <c r="E9" s="94">
        <v>4</v>
      </c>
      <c r="F9">
        <f t="shared" si="0"/>
        <v>11</v>
      </c>
    </row>
    <row r="10" spans="1:7" x14ac:dyDescent="0.2">
      <c r="A10" s="63">
        <v>6</v>
      </c>
      <c r="B10">
        <v>2</v>
      </c>
      <c r="C10">
        <v>3</v>
      </c>
      <c r="D10">
        <v>2</v>
      </c>
      <c r="E10" s="94">
        <v>4</v>
      </c>
      <c r="F10">
        <f t="shared" si="0"/>
        <v>11</v>
      </c>
      <c r="G10" t="s">
        <v>398</v>
      </c>
    </row>
    <row r="11" spans="1:7" x14ac:dyDescent="0.2">
      <c r="A11" s="63">
        <v>7</v>
      </c>
      <c r="B11">
        <v>3</v>
      </c>
      <c r="C11">
        <v>3</v>
      </c>
      <c r="D11">
        <v>1</v>
      </c>
      <c r="E11" s="94">
        <v>4</v>
      </c>
      <c r="F11">
        <f t="shared" si="0"/>
        <v>11</v>
      </c>
    </row>
    <row r="12" spans="1:7" x14ac:dyDescent="0.2">
      <c r="A12" s="63">
        <v>8</v>
      </c>
      <c r="B12">
        <v>3</v>
      </c>
      <c r="C12">
        <v>3</v>
      </c>
      <c r="D12">
        <v>1</v>
      </c>
      <c r="E12" s="94">
        <v>4</v>
      </c>
      <c r="F12">
        <f t="shared" si="0"/>
        <v>11</v>
      </c>
    </row>
    <row r="13" spans="1:7" x14ac:dyDescent="0.2">
      <c r="A13" s="63">
        <v>9</v>
      </c>
      <c r="B13">
        <v>3</v>
      </c>
      <c r="C13">
        <v>3</v>
      </c>
      <c r="D13">
        <v>1</v>
      </c>
      <c r="E13" s="94">
        <v>4</v>
      </c>
      <c r="F13">
        <f t="shared" si="0"/>
        <v>11</v>
      </c>
    </row>
    <row r="14" spans="1:7" x14ac:dyDescent="0.2">
      <c r="A14" s="63">
        <v>10</v>
      </c>
      <c r="B14">
        <v>3</v>
      </c>
      <c r="C14">
        <v>3</v>
      </c>
      <c r="D14">
        <v>1</v>
      </c>
      <c r="E14" s="94">
        <v>4</v>
      </c>
      <c r="F14">
        <f t="shared" si="0"/>
        <v>11</v>
      </c>
    </row>
    <row r="15" spans="1:7" x14ac:dyDescent="0.2">
      <c r="A15" s="63">
        <v>11</v>
      </c>
      <c r="B15">
        <v>3</v>
      </c>
      <c r="C15">
        <v>3</v>
      </c>
      <c r="D15">
        <v>1</v>
      </c>
      <c r="E15" s="94">
        <v>4</v>
      </c>
      <c r="F15">
        <f t="shared" si="0"/>
        <v>11</v>
      </c>
    </row>
    <row r="16" spans="1:7" x14ac:dyDescent="0.2">
      <c r="A16" s="66">
        <v>12</v>
      </c>
      <c r="B16" s="91"/>
      <c r="C16" s="91"/>
      <c r="D16" s="91"/>
      <c r="E16" s="92"/>
      <c r="F16">
        <f t="shared" si="0"/>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6EF45-F256-F746-AE0C-589689150993}">
  <sheetPr codeName="Sheet34">
    <tabColor rgb="FFFFFF00"/>
  </sheetPr>
  <dimension ref="A1"/>
  <sheetViews>
    <sheetView topLeftCell="A3" zoomScale="125" workbookViewId="0">
      <selection activeCell="D14" sqref="D14"/>
    </sheetView>
  </sheetViews>
  <sheetFormatPr baseColWidth="10" defaultColWidth="11" defaultRowHeight="16" x14ac:dyDescent="0.2"/>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51C6B-7C12-4744-BFD1-08EEF1C80D7E}">
  <sheetPr>
    <tabColor theme="2" tint="-9.9978637043366805E-2"/>
  </sheetPr>
  <dimension ref="A1:V174"/>
  <sheetViews>
    <sheetView topLeftCell="A46" zoomScale="69" zoomScaleNormal="120" workbookViewId="0">
      <selection activeCell="G143" sqref="G143"/>
    </sheetView>
  </sheetViews>
  <sheetFormatPr baseColWidth="10" defaultColWidth="11" defaultRowHeight="16" x14ac:dyDescent="0.2"/>
  <cols>
    <col min="1" max="1" width="5.6640625" style="4" customWidth="1"/>
    <col min="2" max="2" width="33.33203125" bestFit="1" customWidth="1"/>
    <col min="3" max="3" width="14" bestFit="1" customWidth="1"/>
    <col min="4" max="4" width="17.83203125" bestFit="1" customWidth="1"/>
    <col min="5" max="5" width="19.5" customWidth="1"/>
    <col min="6" max="6" width="15.33203125" bestFit="1" customWidth="1"/>
    <col min="7" max="7" width="32.66406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178" t="s">
        <v>0</v>
      </c>
      <c r="C2" s="4"/>
      <c r="D2" s="4"/>
      <c r="E2" s="4"/>
      <c r="F2" s="4"/>
      <c r="G2" s="4"/>
      <c r="H2" s="4"/>
      <c r="I2" s="4"/>
      <c r="J2" s="4"/>
      <c r="K2" s="4"/>
      <c r="L2" s="4"/>
      <c r="M2" s="4"/>
      <c r="N2" s="4"/>
      <c r="O2" s="4"/>
      <c r="P2" s="4"/>
      <c r="Q2" s="4"/>
      <c r="R2" s="4"/>
      <c r="S2" s="4"/>
      <c r="T2" s="4"/>
      <c r="U2" s="4"/>
      <c r="V2" s="4"/>
    </row>
    <row r="3" spans="1:22" x14ac:dyDescent="0.2">
      <c r="B3" s="460">
        <v>12</v>
      </c>
      <c r="C3" s="4"/>
      <c r="D3" s="4"/>
      <c r="E3" s="4"/>
      <c r="F3" s="4"/>
      <c r="G3" s="4"/>
      <c r="H3" s="4"/>
      <c r="I3" s="4"/>
      <c r="J3" s="4"/>
      <c r="K3" s="4"/>
      <c r="L3" s="4"/>
      <c r="M3" s="4"/>
      <c r="N3" s="4"/>
      <c r="O3" s="4"/>
      <c r="P3" s="4"/>
      <c r="Q3" s="4"/>
      <c r="R3" s="4"/>
      <c r="S3" s="4"/>
      <c r="T3" s="4"/>
      <c r="U3" s="4"/>
      <c r="V3" s="4"/>
    </row>
    <row r="4" spans="1:22" s="4" customFormat="1" x14ac:dyDescent="0.2">
      <c r="B4" s="178" t="s">
        <v>1</v>
      </c>
    </row>
    <row r="5" spans="1:22" s="4" customFormat="1" x14ac:dyDescent="0.2">
      <c r="B5" s="460" t="s">
        <v>2</v>
      </c>
    </row>
    <row r="6" spans="1:22" s="4" customFormat="1" x14ac:dyDescent="0.2">
      <c r="B6" s="178" t="s">
        <v>3</v>
      </c>
    </row>
    <row r="7" spans="1:22" s="4" customFormat="1" x14ac:dyDescent="0.2">
      <c r="B7" s="461" t="str" cm="1">
        <f t="array" aca="1" ref="B7" ca="1">INDIRECT("'Input_Q"&amp;B3&amp;"-Predict'!C8")</f>
        <v>Overtime</v>
      </c>
    </row>
    <row r="8" spans="1:22" s="4" customFormat="1" x14ac:dyDescent="0.2"/>
    <row r="9" spans="1:22" s="4" customFormat="1" x14ac:dyDescent="0.2">
      <c r="B9" s="99" t="s">
        <v>4</v>
      </c>
    </row>
    <row r="10" spans="1:22" x14ac:dyDescent="0.2">
      <c r="B10" s="69" t="s">
        <v>5</v>
      </c>
      <c r="C10" s="4"/>
      <c r="D10" s="4"/>
      <c r="E10" s="4"/>
      <c r="F10" s="4"/>
      <c r="G10" s="4"/>
      <c r="H10" s="4"/>
      <c r="I10" s="4"/>
      <c r="J10" s="4"/>
      <c r="K10" s="4"/>
      <c r="L10" s="4"/>
      <c r="M10" s="4"/>
      <c r="N10" s="4"/>
      <c r="O10" s="4"/>
      <c r="P10" s="4"/>
      <c r="Q10" s="4"/>
      <c r="R10" s="4"/>
      <c r="S10" s="4"/>
      <c r="T10" s="4"/>
      <c r="U10" s="4"/>
      <c r="V10" s="4"/>
    </row>
    <row r="11" spans="1:22" x14ac:dyDescent="0.2">
      <c r="B11" s="268" t="s">
        <v>6</v>
      </c>
      <c r="C11" s="4"/>
      <c r="D11" s="4"/>
      <c r="E11" s="4"/>
      <c r="F11" s="4"/>
      <c r="G11" s="4"/>
      <c r="H11" s="4"/>
      <c r="I11" s="4"/>
      <c r="J11" s="4"/>
      <c r="K11" s="4"/>
      <c r="L11" s="4"/>
      <c r="M11" s="4"/>
      <c r="N11" s="4"/>
      <c r="O11" s="4"/>
      <c r="P11" s="4"/>
      <c r="Q11" s="4"/>
      <c r="R11" s="4"/>
      <c r="S11" s="4"/>
      <c r="T11" s="4"/>
      <c r="U11" s="4"/>
      <c r="V11" s="4"/>
    </row>
    <row r="12" spans="1:22" x14ac:dyDescent="0.2">
      <c r="B12" s="4"/>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 ca="1">F19*F20</f>
        <v>135000</v>
      </c>
      <c r="E18" s="576" t="s">
        <v>12</v>
      </c>
      <c r="F18" s="577"/>
      <c r="G18" s="578"/>
      <c r="I18" s="71" t="s">
        <v>13</v>
      </c>
      <c r="J18" s="72"/>
      <c r="K18" s="72" t="s">
        <v>14</v>
      </c>
      <c r="L18" s="72" t="s">
        <v>15</v>
      </c>
      <c r="M18" s="72" t="s">
        <v>16</v>
      </c>
      <c r="N18" s="73" t="s">
        <v>17</v>
      </c>
    </row>
    <row r="19" spans="2:22" s="4" customFormat="1" x14ac:dyDescent="0.2">
      <c r="B19" s="12" t="s">
        <v>18</v>
      </c>
      <c r="C19" s="217">
        <f ca="1">N23</f>
        <v>0</v>
      </c>
      <c r="E19" s="284" t="s">
        <v>19</v>
      </c>
      <c r="F19" s="285">
        <v>15000</v>
      </c>
      <c r="G19" s="11" t="s">
        <v>20</v>
      </c>
      <c r="I19" s="12"/>
      <c r="J19" s="4" t="s">
        <v>21</v>
      </c>
      <c r="K19" s="4" t="s">
        <v>22</v>
      </c>
      <c r="L19" s="4">
        <f>VLOOKUP($K$19,$E$24:F59,2,FALSE)</f>
        <v>36</v>
      </c>
      <c r="M19" s="4">
        <f>L19*$F$25</f>
        <v>36</v>
      </c>
      <c r="N19" s="13">
        <f ca="1">M19*$F$24</f>
        <v>0</v>
      </c>
    </row>
    <row r="20" spans="2:22" s="4" customFormat="1" x14ac:dyDescent="0.2">
      <c r="B20" s="12" t="s">
        <v>23</v>
      </c>
      <c r="C20" s="281">
        <f>C34*0.02*M24</f>
        <v>1136.0868000000003</v>
      </c>
      <c r="E20" s="68"/>
      <c r="F20" s="76" cm="1">
        <f t="array" aca="1" ref="F20" ca="1">INDIRECT("'Input_Q"&amp;B3&amp;"-Predict'!C38")</f>
        <v>9</v>
      </c>
      <c r="G20" s="16"/>
      <c r="I20" s="12" t="s">
        <v>24</v>
      </c>
      <c r="J20" s="19" t="s">
        <v>25</v>
      </c>
      <c r="K20" s="4" t="s">
        <v>26</v>
      </c>
      <c r="L20" s="4">
        <f>VLOOKUP($K$20,$E$25:F60,2,FALSE)</f>
        <v>44.52</v>
      </c>
      <c r="M20" s="4">
        <f>L20*$F$28</f>
        <v>89.04</v>
      </c>
      <c r="N20" s="13">
        <f ca="1">M20*$F$24</f>
        <v>0</v>
      </c>
    </row>
    <row r="21" spans="2:22" s="4" customFormat="1" x14ac:dyDescent="0.2">
      <c r="B21" s="14" t="s">
        <v>27</v>
      </c>
      <c r="C21" s="453">
        <v>280000</v>
      </c>
      <c r="E21" s="12" t="s">
        <v>28</v>
      </c>
      <c r="G21" s="103"/>
      <c r="I21" s="12"/>
      <c r="J21" s="20" t="s">
        <v>29</v>
      </c>
      <c r="K21" s="4" t="s">
        <v>30</v>
      </c>
      <c r="L21" s="4">
        <f>VLOOKUP($K$21,$E$26:F63,2,FALSE)</f>
        <v>187.20000000000002</v>
      </c>
      <c r="M21" s="4">
        <f>L21*$F$38</f>
        <v>374.40000000000003</v>
      </c>
      <c r="N21" s="13">
        <f ca="1">M21*$F$24</f>
        <v>0</v>
      </c>
      <c r="V21" s="19"/>
    </row>
    <row r="22" spans="2:22" s="4" customFormat="1" x14ac:dyDescent="0.2">
      <c r="B22" s="14"/>
      <c r="C22" s="278">
        <f ca="1">SUM(C17:C21)</f>
        <v>416136.08679999999</v>
      </c>
      <c r="E22" s="12" t="s">
        <v>31</v>
      </c>
      <c r="F22" s="214">
        <v>1300000</v>
      </c>
      <c r="G22" s="103"/>
      <c r="I22" s="12"/>
      <c r="J22" s="70" t="s">
        <v>32</v>
      </c>
      <c r="K22" s="4" t="s">
        <v>33</v>
      </c>
      <c r="L22" s="4">
        <f>VLOOKUP($K$22,$E$21:F60,2,FALSE)</f>
        <v>24.150000000000002</v>
      </c>
      <c r="M22" s="4">
        <f>L22*$F$51</f>
        <v>72.45</v>
      </c>
      <c r="N22" s="13">
        <f ca="1">M22*$F$24</f>
        <v>0</v>
      </c>
      <c r="V22" s="20"/>
    </row>
    <row r="23" spans="2:22" s="4" customFormat="1" x14ac:dyDescent="0.2">
      <c r="E23" s="12" t="s">
        <v>34</v>
      </c>
      <c r="F23" s="214">
        <v>1500000</v>
      </c>
      <c r="G23" s="103"/>
      <c r="I23" s="71" t="s">
        <v>35</v>
      </c>
      <c r="J23" s="72"/>
      <c r="K23" s="72"/>
      <c r="L23" s="72"/>
      <c r="M23" s="72">
        <f>SUM(M19:M22)</f>
        <v>571.8900000000001</v>
      </c>
      <c r="N23" s="73">
        <f ca="1">SUM(N19:N22)</f>
        <v>0</v>
      </c>
      <c r="V23" s="70"/>
    </row>
    <row r="24" spans="2:22" s="4" customFormat="1" x14ac:dyDescent="0.2">
      <c r="E24" s="14" t="s">
        <v>18</v>
      </c>
      <c r="F24" s="95" cm="1">
        <f t="array" aca="1" ref="F24" ca="1">INDIRECT("'Input_Q"&amp;B3&amp;"-Predict'!C36")</f>
        <v>0</v>
      </c>
      <c r="G24" s="103" t="s">
        <v>36</v>
      </c>
      <c r="I24" s="14" t="s">
        <v>37</v>
      </c>
      <c r="J24" s="15"/>
      <c r="K24" s="15"/>
      <c r="L24" s="15"/>
      <c r="M24" s="15">
        <f>M23-M19</f>
        <v>535.8900000000001</v>
      </c>
      <c r="N24" s="16">
        <f ca="1">M24*F24</f>
        <v>0</v>
      </c>
    </row>
    <row r="25" spans="2:22" s="4" customFormat="1" x14ac:dyDescent="0.2">
      <c r="B25" s="71" t="s">
        <v>38</v>
      </c>
      <c r="C25" s="454" cm="1">
        <f t="array" aca="1" ref="C25" ca="1">IF(B5="Validation",'Q12-Validation'!C30/'Q12-Validation'!C29,INDIRECT("'Input_Q"&amp;B3&amp;"-Predict'!C34"))</f>
        <v>0.97019956850053934</v>
      </c>
      <c r="E25" s="9" t="s">
        <v>21</v>
      </c>
      <c r="F25" s="10">
        <v>1</v>
      </c>
      <c r="G25" s="103" t="s">
        <v>39</v>
      </c>
    </row>
    <row r="26" spans="2:22" s="4" customFormat="1" x14ac:dyDescent="0.2">
      <c r="E26" s="12" t="s">
        <v>40</v>
      </c>
      <c r="F26" s="214">
        <v>20</v>
      </c>
      <c r="G26" s="103"/>
    </row>
    <row r="27" spans="2:22" s="4" customFormat="1" x14ac:dyDescent="0.2">
      <c r="B27" s="9" t="s">
        <v>41</v>
      </c>
      <c r="C27" s="289">
        <f>INDEX(Data_Stock!B2:N11,MATCH("Left Inventory",Data_Stock!B2:B11,0),MATCH(VALUE(B3-1),Data_Stock!B2:N2,0))</f>
        <v>90</v>
      </c>
      <c r="E27" s="14" t="s">
        <v>22</v>
      </c>
      <c r="F27" s="283">
        <v>36</v>
      </c>
      <c r="G27" s="98"/>
    </row>
    <row r="28" spans="2:22" s="4" customFormat="1" x14ac:dyDescent="0.2">
      <c r="B28" s="12" t="s">
        <v>42</v>
      </c>
      <c r="C28" s="290">
        <f>INDEX(Data_Stock!B2:N11,MATCH("Left",Data_Stock!B2:B11,0),MATCH(VALUE(B3-1),Data_Stock!B2:N2,0))</f>
        <v>1545</v>
      </c>
      <c r="E28" s="9" t="s">
        <v>25</v>
      </c>
      <c r="F28" s="11">
        <v>2</v>
      </c>
      <c r="G28" s="103" t="s">
        <v>39</v>
      </c>
      <c r="P28" s="214"/>
      <c r="V28" s="19"/>
    </row>
    <row r="29" spans="2:22" s="4" customFormat="1" x14ac:dyDescent="0.2">
      <c r="B29" s="12" t="s">
        <v>43</v>
      </c>
      <c r="C29" s="291" cm="1">
        <f t="array" aca="1" ref="C29" ca="1">INDIRECT("'Input_Q"&amp;B3&amp;"-Predict'!C33")</f>
        <v>1483.2</v>
      </c>
      <c r="E29" s="12" t="s">
        <v>44</v>
      </c>
      <c r="F29" s="13">
        <f>(1+F31)*F30</f>
        <v>43.2</v>
      </c>
      <c r="G29" s="103"/>
      <c r="V29" s="20"/>
    </row>
    <row r="30" spans="2:22" s="4" customFormat="1" x14ac:dyDescent="0.2">
      <c r="B30" s="12" t="str">
        <f>IF(B5="Validation","Actual Production","Predict Production")</f>
        <v>Actual Production</v>
      </c>
      <c r="C30" s="292">
        <f>INDEX(Data_Stock!B2:N11,MATCH("Produced",Data_Stock!B2:B11,0),MATCH(VALUE(B3),Data_Stock!B2:N2,0))</f>
        <v>1439</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 ca="1">F24</f>
        <v>0</v>
      </c>
      <c r="E33" s="67" t="s">
        <v>45</v>
      </c>
      <c r="F33" s="13">
        <v>42</v>
      </c>
      <c r="G33" s="103"/>
    </row>
    <row r="34" spans="2:14" s="4" customFormat="1" x14ac:dyDescent="0.2">
      <c r="B34" s="12" t="s">
        <v>49</v>
      </c>
      <c r="C34" s="222">
        <f>IF(B5="Validation",INDEX(Data_Stock!B2:N11,MATCH("Left",Data_Stock!B2:B11,0),MATCH('Q12-Validation'!B3,Data_Stock!B2:N2,0)),C28+F24-C30)</f>
        <v>106</v>
      </c>
      <c r="E34" s="67" t="s">
        <v>46</v>
      </c>
      <c r="F34" s="13">
        <v>0.06</v>
      </c>
      <c r="G34" s="103"/>
    </row>
    <row r="35" spans="2:14" s="4" customFormat="1" x14ac:dyDescent="0.2">
      <c r="B35" s="14" t="s">
        <v>50</v>
      </c>
      <c r="C35" s="288">
        <f>C34*M24</f>
        <v>56804.340000000011</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 ca="1">SUMPRODUCT(F73:I73,F71:I71)</f>
        <v>3728892</v>
      </c>
    </row>
    <row r="69" spans="2:11" s="4" customFormat="1" x14ac:dyDescent="0.2">
      <c r="B69" s="12" t="s">
        <v>61</v>
      </c>
      <c r="C69" s="221">
        <f ca="1">J75</f>
        <v>349088.82</v>
      </c>
      <c r="E69" s="9" t="str">
        <f>IF(B5="Validation","Actual S.C.R","Predict S.C.R")</f>
        <v>Actual S.C.R</v>
      </c>
      <c r="F69" s="311" cm="1">
        <f t="array" aca="1" ref="F69" ca="1">IF($B$5="Validation",F73/F72,INDIRECT("'Input_Q"&amp;$B$3&amp;"-Predict'!D29"))</f>
        <v>0.85562632696390661</v>
      </c>
      <c r="G69" s="311" cm="1">
        <f t="array" aca="1" ref="G69" ca="1">IF($B$5="Validation",G73/G72,INDIRECT("'Input_Q"&amp;$B$3&amp;"-Predict'!D30"))</f>
        <v>0.7865168539325843</v>
      </c>
      <c r="H69" s="311" cm="1">
        <f t="array" aca="1" ref="H69" ca="1">IF($B$5="Validation",H73/H72,INDIRECT("'Input_Q"&amp;$B$3&amp;"-Predict'!D31"))</f>
        <v>0.85106382978723405</v>
      </c>
      <c r="I69" s="311" cm="1">
        <f t="array" aca="1" ref="I69" ca="1">IF($B$5="Validation",I73/I72,INDIRECT("'Input_Q"&amp;$B$3&amp;"-Predict'!D32"))</f>
        <v>0.83121827411167515</v>
      </c>
      <c r="J69" s="11"/>
    </row>
    <row r="70" spans="2:11" s="4" customFormat="1" x14ac:dyDescent="0.2">
      <c r="B70" s="12" t="s">
        <v>62</v>
      </c>
      <c r="C70" s="318">
        <f ca="1">C68*C74</f>
        <v>223733.52</v>
      </c>
      <c r="E70" s="297" t="s">
        <v>63</v>
      </c>
      <c r="F70" s="298">
        <v>1</v>
      </c>
      <c r="G70" s="298">
        <v>2</v>
      </c>
      <c r="H70" s="298">
        <v>3</v>
      </c>
      <c r="I70" s="299">
        <v>4</v>
      </c>
      <c r="J70" s="299" t="s">
        <v>64</v>
      </c>
    </row>
    <row r="71" spans="2:11" s="4" customFormat="1" x14ac:dyDescent="0.2">
      <c r="B71" s="14"/>
      <c r="C71" s="319">
        <f ca="1">SUM(C68:C70)</f>
        <v>4301714.34</v>
      </c>
      <c r="E71" s="300" t="s">
        <v>65</v>
      </c>
      <c r="F71" s="358" cm="1">
        <f t="array" aca="1" ref="F71" ca="1">INDIRECT("'Input_Q"&amp;$B$3&amp;"-Predict'!C10")</f>
        <v>2899</v>
      </c>
      <c r="G71" s="358" cm="1">
        <f t="array" aca="1" ref="G71" ca="1">INDIRECT("'Input_Q"&amp;$B$3&amp;"-Predict'!C11")</f>
        <v>2599</v>
      </c>
      <c r="H71" s="358" cm="1">
        <f t="array" aca="1" ref="H71" ca="1">INDIRECT("'Input_Q"&amp;$B$3&amp;"-Predict'!C12")</f>
        <v>2899</v>
      </c>
      <c r="I71" s="358" cm="1">
        <f t="array" aca="1" ref="I71" ca="1">INDIRECT("'Input_Q"&amp;$B$3&amp;"-Predict'!C13")</f>
        <v>2899</v>
      </c>
      <c r="J71" s="301" t="s">
        <v>66</v>
      </c>
      <c r="K71" s="363"/>
    </row>
    <row r="72" spans="2:11" s="4" customFormat="1" x14ac:dyDescent="0.2">
      <c r="E72" s="300" t="s">
        <v>67</v>
      </c>
      <c r="F72" s="272" cm="1">
        <f t="array" aca="1" ref="F72" ca="1">INDIRECT("'Input_Q"&amp;$B$3&amp;"-Predict'!C24")</f>
        <v>471</v>
      </c>
      <c r="G72" s="272" cm="1">
        <f t="array" aca="1" ref="G72" ca="1">INDIRECT("'Input_Q"&amp;$B$3&amp;"-Predict'!C25")</f>
        <v>267</v>
      </c>
      <c r="H72" s="272" cm="1">
        <f t="array" aca="1" ref="H72" ca="1">INDIRECT("'Input_Q"&amp;$B$3&amp;"-Predict'!C26")</f>
        <v>47</v>
      </c>
      <c r="I72" s="272" cm="1">
        <f t="array" aca="1" ref="I72" ca="1">INDIRECT("'Input_Q"&amp;$B$3&amp;"-Predict'!C27")</f>
        <v>788</v>
      </c>
      <c r="J72" s="303">
        <f ca="1">SUM(F72:I72)</f>
        <v>1573</v>
      </c>
    </row>
    <row r="73" spans="2:11" s="4" customFormat="1" x14ac:dyDescent="0.2">
      <c r="D73" s="199"/>
      <c r="E73" s="300" t="str">
        <f>IF(B5="Validation","Actual Sale","Predict Sale")</f>
        <v>Actual Sale</v>
      </c>
      <c r="F73" s="353">
        <f>IF($E$73="Actual Sale",INDEX(Data_Sales!$B$3:$N$8,MATCH(F70,Data_Sales!$B$3:$B$8,0),MATCH($B$3,Data_Sales!$B$3:$N$3,0)),ROUNDDOWN(F69*F72,0))</f>
        <v>403</v>
      </c>
      <c r="G73" s="353">
        <f>IF($E$73="Actual Sale",INDEX(Data_Sales!$B$3:$N$8,MATCH(G70,Data_Sales!$B$3:$B$8,0),MATCH($B$3,Data_Sales!$B$3:$N$3,0)),ROUNDDOWN(G69*G72,0))</f>
        <v>210</v>
      </c>
      <c r="H73" s="353">
        <f>IF($E$73="Actual Sale",INDEX(Data_Sales!$B$3:$N$8,MATCH(H70,Data_Sales!$B$3:$B$8,0),MATCH($B$3,Data_Sales!$B$3:$N$3,0)),ROUNDDOWN(H69*H72,0))</f>
        <v>40</v>
      </c>
      <c r="I73" s="353">
        <f>IF($E$73="Actual Sale",INDEX(Data_Sales!$B$3:$N$8,MATCH(I70,Data_Sales!$B$3:$B$8,0),MATCH($B$3,Data_Sales!$B$3:$N$3,0)),ROUNDDOWN(I69*I72,0))</f>
        <v>655</v>
      </c>
      <c r="J73" s="383">
        <f>SUM(F73:I73)</f>
        <v>1308</v>
      </c>
    </row>
    <row r="74" spans="2:11" s="4" customFormat="1" x14ac:dyDescent="0.2">
      <c r="B74" s="9" t="s">
        <v>68</v>
      </c>
      <c r="C74" s="406" cm="1">
        <f t="array" aca="1" ref="C74" ca="1">INDIRECT("'Input_Q"&amp;B3&amp;"-Predict'!C39")</f>
        <v>0.06</v>
      </c>
      <c r="D74" s="199"/>
      <c r="E74" s="300" t="s">
        <v>69</v>
      </c>
      <c r="F74" s="256" cm="1">
        <f t="array" aca="1" ref="F74" ca="1">INDIRECT("'Input_Q"&amp;$B$3&amp;"-Predict'!C41")</f>
        <v>7</v>
      </c>
      <c r="G74" s="256" cm="1">
        <f t="array" aca="1" ref="G74" ca="1">INDIRECT("'Input_Q"&amp;$B$3&amp;"-Predict'!C42")</f>
        <v>10</v>
      </c>
      <c r="H74" s="256" cm="1">
        <f t="array" aca="1" ref="H74" ca="1">INDIRECT("'Input_Q"&amp;$B$3&amp;"-Predict'!C43")</f>
        <v>1</v>
      </c>
      <c r="I74" s="256" cm="1">
        <f t="array" aca="1" ref="I74" ca="1">INDIRECT("'Input_Q"&amp;$B$3&amp;"-Predict'!C44")</f>
        <v>8</v>
      </c>
      <c r="J74" s="301"/>
    </row>
    <row r="75" spans="2:11" s="4" customFormat="1" x14ac:dyDescent="0.2">
      <c r="B75" s="12" t="s">
        <v>70</v>
      </c>
      <c r="C75" s="221">
        <f ca="1">J72</f>
        <v>1573</v>
      </c>
      <c r="D75" s="357"/>
      <c r="E75" s="300" t="s">
        <v>71</v>
      </c>
      <c r="F75" s="312">
        <f ca="1">F72*F71*F74/100</f>
        <v>95580.03</v>
      </c>
      <c r="G75" s="312">
        <f ca="1">G72*G71*G74/100</f>
        <v>69393.3</v>
      </c>
      <c r="H75" s="312">
        <f ca="1">H72*H71*H74/100</f>
        <v>1362.53</v>
      </c>
      <c r="I75" s="304">
        <f ca="1">I72*I71*I74/100</f>
        <v>182752.96</v>
      </c>
      <c r="J75" s="304">
        <f ca="1">SUM(F75:I75)</f>
        <v>349088.82</v>
      </c>
    </row>
    <row r="76" spans="2:11" s="4" customFormat="1" x14ac:dyDescent="0.2">
      <c r="B76" s="12" t="s">
        <v>72</v>
      </c>
      <c r="C76" s="221">
        <f>J73</f>
        <v>1308</v>
      </c>
      <c r="D76" s="199"/>
      <c r="E76" s="300" t="s">
        <v>73</v>
      </c>
      <c r="F76" s="256" cm="1">
        <f t="array" aca="1" ref="F76" ca="1">INDIRECT("'Input_Q"&amp;$B$3&amp;"-Predict'!C46")</f>
        <v>0</v>
      </c>
      <c r="G76" s="256" cm="1">
        <f t="array" aca="1" ref="G76" ca="1">INDIRECT("'Input_Q"&amp;$B$3&amp;"-Predict'!C47")</f>
        <v>0</v>
      </c>
      <c r="H76" s="256" cm="1">
        <f t="array" aca="1" ref="H76" ca="1">INDIRECT("'Input_Q"&amp;$B$3&amp;"-Predict'!C48")</f>
        <v>0</v>
      </c>
      <c r="I76" s="256" cm="1">
        <f t="array" aca="1" ref="I76" ca="1">INDIRECT("'Input_Q"&amp;$B$3&amp;"-Predict'!C49")</f>
        <v>0</v>
      </c>
      <c r="J76" s="301" t="s">
        <v>66</v>
      </c>
    </row>
    <row r="77" spans="2:11" s="4" customFormat="1" x14ac:dyDescent="0.2">
      <c r="B77" s="14" t="s">
        <v>74</v>
      </c>
      <c r="C77" s="319">
        <f ca="1">C75-C76</f>
        <v>265</v>
      </c>
      <c r="D77" s="199"/>
      <c r="E77" s="305" t="s">
        <v>75</v>
      </c>
      <c r="F77" s="306">
        <f ca="1">INDEX(Data_EmployeeNumber!$A$4:$E$16,MATCH('Q12-Validation'!$B$3-1,Data_EmployeeNumber!$A$4:$A$16,0),MATCH('Q12-Validation'!F70,Data_EmployeeNumber!$A$4:$E$4,0))+'Q12-Validation'!F76</f>
        <v>3</v>
      </c>
      <c r="G77" s="306">
        <f ca="1">INDEX(Data_EmployeeNumber!$A$4:$E$16,MATCH('Q12-Validation'!$B$3-1,Data_EmployeeNumber!$A$4:$A$16,0),MATCH('Q12-Validation'!G70,Data_EmployeeNumber!$A$4:$E$4,0))+'Q12-Validation'!G76</f>
        <v>3</v>
      </c>
      <c r="H77" s="306">
        <f ca="1">INDEX(Data_EmployeeNumber!$A$4:$E$16,MATCH('Q12-Validation'!$B$3-1,Data_EmployeeNumber!$A$4:$A$16,0),MATCH('Q12-Validation'!H70,Data_EmployeeNumber!$A$4:$E$4,0))+'Q12-Validation'!H76</f>
        <v>1</v>
      </c>
      <c r="I77" s="306">
        <f ca="1">INDEX(Data_EmployeeNumber!$A$4:$E$16,MATCH('Q12-Validation'!$B$3-1,Data_EmployeeNumber!$A$4:$A$16,0),MATCH('Q12-Validation'!I70,Data_EmployeeNumber!$A$4:$E$4,0))+'Q12-Validation'!I76</f>
        <v>4</v>
      </c>
      <c r="J77" s="307">
        <f ca="1">SUM(F77:I77)</f>
        <v>11</v>
      </c>
    </row>
    <row r="78" spans="2:11" s="4" customFormat="1" x14ac:dyDescent="0.2">
      <c r="E78" s="300" t="s">
        <v>76</v>
      </c>
      <c r="F78" s="296"/>
      <c r="G78" s="296"/>
      <c r="H78" s="296"/>
      <c r="I78" s="301"/>
      <c r="J78" s="455" t="s">
        <v>77</v>
      </c>
    </row>
    <row r="79" spans="2:11" s="4" customFormat="1" x14ac:dyDescent="0.2">
      <c r="E79" s="305" t="s">
        <v>78</v>
      </c>
      <c r="F79" s="308"/>
      <c r="G79" s="308"/>
      <c r="H79" s="308"/>
      <c r="I79" s="317"/>
      <c r="J79" s="456" t="s">
        <v>77</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 ca="1">I98</f>
        <v>304200</v>
      </c>
      <c r="D92" s="214"/>
      <c r="E92" s="71" t="s">
        <v>82</v>
      </c>
      <c r="F92" s="329" cm="1">
        <f t="array" aca="1" ref="F92" ca="1">INDIRECT("'Input_Q"&amp;$B$3&amp;"-Predict'!C50")</f>
        <v>5200</v>
      </c>
      <c r="H92" s="71" t="s">
        <v>82</v>
      </c>
      <c r="I92" s="72" t="s">
        <v>83</v>
      </c>
      <c r="J92" s="72" t="s">
        <v>84</v>
      </c>
      <c r="K92" s="72" t="s">
        <v>85</v>
      </c>
      <c r="L92" s="73" t="s">
        <v>86</v>
      </c>
    </row>
    <row r="93" spans="1:12" s="4" customFormat="1" x14ac:dyDescent="0.2">
      <c r="B93" s="12" t="s">
        <v>87</v>
      </c>
      <c r="C93" s="217">
        <f ca="1">K103</f>
        <v>50000</v>
      </c>
      <c r="D93" s="214"/>
      <c r="H93" s="12" t="s">
        <v>88</v>
      </c>
      <c r="I93" s="214">
        <f ca="1">$F$92*K93</f>
        <v>26000</v>
      </c>
      <c r="J93" s="4">
        <v>1</v>
      </c>
      <c r="K93" s="4">
        <v>5</v>
      </c>
      <c r="L93" s="13">
        <f>J93*K93</f>
        <v>5</v>
      </c>
    </row>
    <row r="94" spans="1:12" s="4" customFormat="1" x14ac:dyDescent="0.2">
      <c r="B94" s="12" t="s">
        <v>89</v>
      </c>
      <c r="C94" s="217">
        <f ca="1">K104</f>
        <v>18000</v>
      </c>
      <c r="D94" s="321"/>
      <c r="E94" s="71" t="s">
        <v>90</v>
      </c>
      <c r="F94" s="73"/>
      <c r="H94" s="12" t="s">
        <v>91</v>
      </c>
      <c r="I94" s="214">
        <f ca="1">$F$92*K94</f>
        <v>5200</v>
      </c>
      <c r="J94" s="4">
        <v>35</v>
      </c>
      <c r="K94" s="4">
        <v>1</v>
      </c>
      <c r="L94" s="13">
        <f>J94*K94</f>
        <v>35</v>
      </c>
    </row>
    <row r="95" spans="1:12" s="4" customFormat="1" x14ac:dyDescent="0.2">
      <c r="B95" s="12" t="s">
        <v>92</v>
      </c>
      <c r="C95" s="217">
        <f ca="1">K105</f>
        <v>47000</v>
      </c>
      <c r="E95" s="12" t="s">
        <v>93</v>
      </c>
      <c r="F95" s="327">
        <v>10000</v>
      </c>
      <c r="H95" s="12" t="s">
        <v>94</v>
      </c>
      <c r="I95" s="214">
        <f ca="1">$F$92*K95</f>
        <v>13000</v>
      </c>
      <c r="J95" s="4">
        <v>3</v>
      </c>
      <c r="K95" s="4">
        <v>2.5</v>
      </c>
      <c r="L95" s="13">
        <f>J95*K95</f>
        <v>7.5</v>
      </c>
    </row>
    <row r="96" spans="1:12" s="4" customFormat="1" x14ac:dyDescent="0.2">
      <c r="B96" s="71"/>
      <c r="C96" s="324">
        <f ca="1">SUM(C92:C95)</f>
        <v>419200</v>
      </c>
      <c r="E96" s="12" t="s">
        <v>95</v>
      </c>
      <c r="F96" s="194" cm="1">
        <f t="array" aca="1" ref="F96" ca="1">INDIRECT("'Input_Q"&amp;$B$3&amp;"-Predict'!C51")</f>
        <v>5</v>
      </c>
      <c r="H96" s="12" t="s">
        <v>96</v>
      </c>
      <c r="I96" s="214">
        <f ca="1">$F$92*K96</f>
        <v>5200</v>
      </c>
      <c r="J96" s="4">
        <f ca="1">J77</f>
        <v>11</v>
      </c>
      <c r="K96" s="4">
        <v>1</v>
      </c>
      <c r="L96" s="13">
        <f ca="1">J96*K96</f>
        <v>11</v>
      </c>
    </row>
    <row r="97" spans="1:12" s="4" customFormat="1" x14ac:dyDescent="0.2">
      <c r="E97" s="12" t="s">
        <v>97</v>
      </c>
      <c r="F97" s="217">
        <v>2000</v>
      </c>
      <c r="H97" s="12" t="s">
        <v>64</v>
      </c>
      <c r="I97" s="4" t="s">
        <v>66</v>
      </c>
      <c r="J97" s="4">
        <f ca="1">SUM(J93:J96)</f>
        <v>50</v>
      </c>
      <c r="K97" s="4" t="s">
        <v>66</v>
      </c>
      <c r="L97" s="13">
        <f ca="1">SUM(L93:L96)</f>
        <v>58.5</v>
      </c>
    </row>
    <row r="98" spans="1:12" s="4" customFormat="1" x14ac:dyDescent="0.2">
      <c r="B98" s="71" t="s">
        <v>98</v>
      </c>
      <c r="C98" s="73"/>
      <c r="E98" s="14" t="s">
        <v>95</v>
      </c>
      <c r="F98" s="76" cm="1">
        <f t="array" aca="1" ref="F98" ca="1">INDIRECT("'Input_Q"&amp;$B$3&amp;"-Predict'!C52")</f>
        <v>9</v>
      </c>
      <c r="H98" s="14" t="s">
        <v>99</v>
      </c>
      <c r="I98" s="322">
        <f ca="1">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 ca="1">F92</f>
        <v>5200</v>
      </c>
      <c r="J102" s="4">
        <f ca="1">L97</f>
        <v>58.5</v>
      </c>
      <c r="K102" s="217">
        <f ca="1">I102*J102</f>
        <v>304200</v>
      </c>
    </row>
    <row r="103" spans="1:12" s="4" customFormat="1" x14ac:dyDescent="0.2">
      <c r="E103" s="12" t="s">
        <v>106</v>
      </c>
      <c r="F103" s="217">
        <v>175</v>
      </c>
      <c r="H103" s="12" t="s">
        <v>93</v>
      </c>
      <c r="I103" s="214">
        <f>F95</f>
        <v>10000</v>
      </c>
      <c r="J103" s="4">
        <f ca="1">F96</f>
        <v>5</v>
      </c>
      <c r="K103" s="217">
        <f ca="1">F95*J103</f>
        <v>50000</v>
      </c>
    </row>
    <row r="104" spans="1:12" s="4" customFormat="1" ht="17" customHeight="1" x14ac:dyDescent="0.2">
      <c r="E104" s="12" t="s">
        <v>107</v>
      </c>
      <c r="F104" s="217">
        <v>400</v>
      </c>
      <c r="H104" s="12" t="s">
        <v>97</v>
      </c>
      <c r="I104" s="214">
        <f>F97</f>
        <v>2000</v>
      </c>
      <c r="J104" s="4">
        <f ca="1">F98</f>
        <v>9</v>
      </c>
      <c r="K104" s="217">
        <f ca="1">F97*J104</f>
        <v>18000</v>
      </c>
    </row>
    <row r="105" spans="1:12" s="4" customFormat="1" x14ac:dyDescent="0.2">
      <c r="E105" s="12" t="s">
        <v>108</v>
      </c>
      <c r="F105" s="217">
        <v>280</v>
      </c>
      <c r="H105" s="12" t="s">
        <v>109</v>
      </c>
      <c r="I105" s="214">
        <f>F102+F106+F107+F108</f>
        <v>940</v>
      </c>
      <c r="J105" s="4">
        <f ca="1">J97</f>
        <v>50</v>
      </c>
      <c r="K105" s="217">
        <f ca="1">I105*J105</f>
        <v>47000</v>
      </c>
    </row>
    <row r="106" spans="1:12" s="4" customFormat="1" x14ac:dyDescent="0.2">
      <c r="E106" s="325" t="s">
        <v>110</v>
      </c>
      <c r="F106" s="217">
        <v>350</v>
      </c>
      <c r="H106" s="14"/>
      <c r="I106" s="15"/>
      <c r="J106" s="15"/>
      <c r="K106" s="278">
        <f ca="1">SUM(K102:K105)</f>
        <v>419200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457" t="s">
        <v>114</v>
      </c>
      <c r="C113" s="458">
        <v>0</v>
      </c>
    </row>
    <row r="114" spans="1:22" s="4" customFormat="1" x14ac:dyDescent="0.2">
      <c r="B114" s="275" t="s">
        <v>115</v>
      </c>
      <c r="C114" s="459">
        <v>0</v>
      </c>
    </row>
    <row r="115" spans="1:22" s="4" customFormat="1" x14ac:dyDescent="0.2">
      <c r="B115" s="275" t="s">
        <v>116</v>
      </c>
      <c r="C115" s="459">
        <f>C113*C114</f>
        <v>0</v>
      </c>
    </row>
    <row r="116" spans="1:22" s="4" customFormat="1" x14ac:dyDescent="0.2">
      <c r="B116" s="14" t="s">
        <v>117</v>
      </c>
      <c r="C116" s="76" cm="1">
        <f t="array" aca="1" ref="C116" ca="1">INDIRECT("'Input_Q"&amp;$B$3&amp;"-Predict'!C53")</f>
        <v>150000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118</v>
      </c>
    </row>
    <row r="121" spans="1:22" s="4" customFormat="1" x14ac:dyDescent="0.2"/>
    <row r="122" spans="1:22" s="4" customFormat="1" x14ac:dyDescent="0.2">
      <c r="B122" s="4" t="s">
        <v>119</v>
      </c>
    </row>
    <row r="123" spans="1:22" s="4" customFormat="1" x14ac:dyDescent="0.2">
      <c r="B123" s="9" t="s">
        <v>60</v>
      </c>
      <c r="C123" s="334">
        <f ca="1">IFERROR(VLOOKUP(B123,$B$14:$C$121,2,FALSE),0)</f>
        <v>3728892</v>
      </c>
      <c r="D123" s="286"/>
      <c r="E123" s="286"/>
    </row>
    <row r="124" spans="1:22" s="4" customFormat="1" x14ac:dyDescent="0.2">
      <c r="B124" s="275" t="s">
        <v>120</v>
      </c>
      <c r="C124" s="366">
        <f>IF(D124="Match",(C74+0.125)*C123+J73*M23,E124)</f>
        <v>1390789.13</v>
      </c>
      <c r="D124" s="302" t="s">
        <v>297</v>
      </c>
      <c r="E124" s="268">
        <v>1390789.13</v>
      </c>
      <c r="F124" s="9"/>
      <c r="G124" s="9" t="s">
        <v>122</v>
      </c>
      <c r="H124" s="331"/>
      <c r="I124" s="10">
        <f>H124/$H$128</f>
        <v>0</v>
      </c>
      <c r="J124" s="11"/>
    </row>
    <row r="125" spans="1:22" s="4" customFormat="1" x14ac:dyDescent="0.2">
      <c r="B125" s="12" t="s">
        <v>123</v>
      </c>
      <c r="C125" s="336">
        <f ca="1">C123-C124</f>
        <v>2338102.87</v>
      </c>
      <c r="E125" s="302"/>
      <c r="F125" s="12"/>
      <c r="G125" s="12" t="s">
        <v>124</v>
      </c>
      <c r="H125" s="279">
        <f ca="1">SUMIF(D127:D139,"FC",C127:C139)</f>
        <v>1871624.9068</v>
      </c>
      <c r="I125" s="4">
        <f ca="1">H125/$H$128</f>
        <v>1430.9058920489297</v>
      </c>
      <c r="J125" s="13"/>
    </row>
    <row r="126" spans="1:22" s="4" customFormat="1" x14ac:dyDescent="0.2">
      <c r="B126" s="12" t="s">
        <v>125</v>
      </c>
      <c r="C126" s="336"/>
      <c r="F126" s="12"/>
      <c r="G126" s="12" t="s">
        <v>120</v>
      </c>
      <c r="H126" s="279">
        <f>C124</f>
        <v>1390789.13</v>
      </c>
      <c r="I126" s="4">
        <f>H126/$H$128</f>
        <v>1063.2944418960244</v>
      </c>
      <c r="J126" s="13"/>
    </row>
    <row r="127" spans="1:22" s="4" customFormat="1" x14ac:dyDescent="0.2">
      <c r="B127" s="12" t="s">
        <v>126</v>
      </c>
      <c r="C127" s="336">
        <f ca="1">IF(B7="Overtime",560000,280000)</f>
        <v>560000</v>
      </c>
      <c r="D127" s="4" t="s">
        <v>124</v>
      </c>
      <c r="F127" s="12"/>
      <c r="G127" s="12" t="s">
        <v>127</v>
      </c>
      <c r="H127" s="279">
        <f ca="1">SUM(H124:H126)</f>
        <v>3262414.0367999999</v>
      </c>
      <c r="J127" s="13"/>
    </row>
    <row r="128" spans="1:22" s="4" customFormat="1" x14ac:dyDescent="0.2">
      <c r="B128" s="12" t="s">
        <v>81</v>
      </c>
      <c r="C128" s="336">
        <f ca="1">IF(B7="Overtime",VALUE(IFERROR(VLOOKUP(B128,$B$14:$C$121,2,FALSE),0))*2,VALUE(IFERROR(VLOOKUP(B128,$B$14:$C$121,2,FALSE),0)))</f>
        <v>608400</v>
      </c>
      <c r="D128" s="4" t="s">
        <v>124</v>
      </c>
      <c r="F128" s="12"/>
      <c r="G128" s="12" t="s">
        <v>128</v>
      </c>
      <c r="H128" s="302">
        <f>C76</f>
        <v>1308</v>
      </c>
      <c r="J128" s="13"/>
    </row>
    <row r="129" spans="2:10" s="4" customFormat="1" x14ac:dyDescent="0.2">
      <c r="B129" s="12" t="s">
        <v>87</v>
      </c>
      <c r="C129" s="336">
        <f t="shared" ref="C129:C136" ca="1" si="0">IFERROR(VLOOKUP(B129,$B$14:$C$121,2,FALSE),0)</f>
        <v>50000</v>
      </c>
      <c r="D129" s="4" t="s">
        <v>124</v>
      </c>
      <c r="F129" s="12"/>
      <c r="G129" s="12" t="s">
        <v>129</v>
      </c>
      <c r="H129" s="339">
        <f ca="1">H127/H128</f>
        <v>2494.2003339449539</v>
      </c>
      <c r="J129" s="13"/>
    </row>
    <row r="130" spans="2:10" s="4" customFormat="1" x14ac:dyDescent="0.2">
      <c r="B130" s="12" t="s">
        <v>92</v>
      </c>
      <c r="C130" s="336">
        <f t="shared" ca="1" si="0"/>
        <v>47000</v>
      </c>
      <c r="D130" s="4" t="s">
        <v>122</v>
      </c>
      <c r="F130" s="12"/>
      <c r="G130" s="12"/>
      <c r="J130" s="13"/>
    </row>
    <row r="131" spans="2:10" s="4" customFormat="1" x14ac:dyDescent="0.2">
      <c r="B131" s="12" t="s">
        <v>89</v>
      </c>
      <c r="C131" s="336">
        <f t="shared" ca="1" si="0"/>
        <v>18000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 ca="1">$H$129*(1+H131)</f>
        <v>2743.6203673394493</v>
      </c>
      <c r="I132" s="333">
        <f ca="1">$H$129*(1+I131)</f>
        <v>2993.0404007339444</v>
      </c>
      <c r="J132" s="341">
        <f ca="1">$H$129*(1+J131)</f>
        <v>3242.4604341284403</v>
      </c>
    </row>
    <row r="133" spans="2:10" s="4" customFormat="1" x14ac:dyDescent="0.2">
      <c r="B133" s="12" t="s">
        <v>11</v>
      </c>
      <c r="C133" s="336">
        <f t="shared" ca="1" si="0"/>
        <v>135000</v>
      </c>
      <c r="D133" s="4" t="s">
        <v>124</v>
      </c>
      <c r="F133" s="12"/>
      <c r="G133" s="4" t="s">
        <v>133</v>
      </c>
      <c r="H133" s="302">
        <f ca="1">H132-$H$129</f>
        <v>249.42003339449548</v>
      </c>
      <c r="I133" s="302">
        <f ca="1">I132-$H$129</f>
        <v>498.8400667889905</v>
      </c>
      <c r="J133" s="318">
        <f ca="1">J132-$H$129</f>
        <v>748.26010018348643</v>
      </c>
    </row>
    <row r="134" spans="2:10" s="4" customFormat="1" x14ac:dyDescent="0.2">
      <c r="B134" s="12" t="s">
        <v>61</v>
      </c>
      <c r="C134" s="336">
        <f t="shared" ca="1" si="0"/>
        <v>349088.82</v>
      </c>
      <c r="D134" s="4" t="s">
        <v>124</v>
      </c>
      <c r="F134" s="12"/>
      <c r="G134" s="4" t="s">
        <v>134</v>
      </c>
      <c r="H134" s="355">
        <f ca="1">H133/H132</f>
        <v>9.0909090909090939E-2</v>
      </c>
      <c r="I134" s="355">
        <f ca="1">I133/I132</f>
        <v>0.1666666666666666</v>
      </c>
      <c r="J134" s="326">
        <f ca="1">J133/J132</f>
        <v>0.23076923076923084</v>
      </c>
    </row>
    <row r="135" spans="2:10" s="4" customFormat="1" x14ac:dyDescent="0.2">
      <c r="B135" s="12" t="s">
        <v>23</v>
      </c>
      <c r="C135" s="336">
        <f t="shared" si="0"/>
        <v>1136.0868000000003</v>
      </c>
      <c r="D135" s="4" t="s">
        <v>124</v>
      </c>
      <c r="F135" s="12"/>
      <c r="G135" s="4" t="s">
        <v>135</v>
      </c>
      <c r="H135" s="279">
        <f ca="1">$H$125/H134</f>
        <v>20587873.974799994</v>
      </c>
      <c r="I135" s="279">
        <f ca="1">$H$125/I134</f>
        <v>11229749.440800004</v>
      </c>
      <c r="J135" s="281">
        <f ca="1">$H$125/J134</f>
        <v>8110374.5961333308</v>
      </c>
    </row>
    <row r="136" spans="2:10" s="4" customFormat="1" x14ac:dyDescent="0.2">
      <c r="B136" s="12" t="s">
        <v>117</v>
      </c>
      <c r="C136" s="336">
        <f t="shared" ca="1" si="0"/>
        <v>150000</v>
      </c>
      <c r="D136" s="4" t="s">
        <v>124</v>
      </c>
      <c r="F136" s="14"/>
      <c r="G136" s="15" t="s">
        <v>136</v>
      </c>
      <c r="H136" s="15">
        <f ca="1">H135/H132</f>
        <v>7503.9076906855453</v>
      </c>
      <c r="I136" s="15">
        <f ca="1">I135/I132</f>
        <v>3751.9538453427754</v>
      </c>
      <c r="J136" s="16">
        <f ca="1">J135/J132</f>
        <v>2501.3025635618483</v>
      </c>
    </row>
    <row r="137" spans="2:10" s="4" customFormat="1" x14ac:dyDescent="0.2">
      <c r="B137" s="275" t="s">
        <v>137</v>
      </c>
      <c r="C137" s="335" cm="1">
        <f t="array" ref="C137">IF(B5="Validation",E137,SUMPRODUCT(F80:I80*F73:I73))</f>
        <v>55710</v>
      </c>
      <c r="D137" s="380" t="s">
        <v>138</v>
      </c>
      <c r="E137" s="4">
        <f>INDEX(Data_Sales!B3:N8,MATCH("Freight Cost",Data_Sales!B3:B8,0),MATCH('Q12-Validation'!B3,Data_Sales!B3:N3,0))</f>
        <v>55710</v>
      </c>
    </row>
    <row r="138" spans="2:10" s="4" customFormat="1" x14ac:dyDescent="0.2">
      <c r="B138" s="12" t="s">
        <v>139</v>
      </c>
      <c r="C138" s="336">
        <f>IFERROR(VLOOKUP(B138,$B$14:$C$121,2,FALSE),0)</f>
        <v>0</v>
      </c>
    </row>
    <row r="139" spans="2:10" s="4" customFormat="1" x14ac:dyDescent="0.2">
      <c r="B139" s="365" t="s">
        <v>140</v>
      </c>
      <c r="C139" s="366" cm="1">
        <f t="array" aca="1" ref="C139" ca="1">INDIRECT("'Input_Q"&amp;$B$3&amp;"-Predict'!C18")</f>
        <v>0</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 ca="1">SUM(C127:C141)</f>
        <v>1974334.9068</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 ca="1">C125-C142</f>
        <v>363767.96320000011</v>
      </c>
    </row>
    <row r="148" spans="2:5" s="4" customFormat="1" x14ac:dyDescent="0.2">
      <c r="B148" s="12" t="s">
        <v>147</v>
      </c>
      <c r="C148" s="13">
        <f ca="1">IF(C147&gt;0,C147*0.15,0)</f>
        <v>54565.194480000013</v>
      </c>
    </row>
    <row r="149" spans="2:5" s="4" customFormat="1" x14ac:dyDescent="0.2">
      <c r="B149" s="12" t="s">
        <v>148</v>
      </c>
      <c r="C149" s="336">
        <f ca="1">C147-C148</f>
        <v>309202.76872000011</v>
      </c>
    </row>
    <row r="150" spans="2:5" s="4" customFormat="1" x14ac:dyDescent="0.2">
      <c r="B150" s="12" t="s">
        <v>119</v>
      </c>
      <c r="C150" s="13"/>
    </row>
    <row r="151" spans="2:5" s="4" customFormat="1" x14ac:dyDescent="0.2">
      <c r="B151" s="12" t="s">
        <v>149</v>
      </c>
      <c r="C151" s="368">
        <f ca="1">INDEX(Data_IncomeStatement!A1:M33,MATCH("PROFIT AND LOSS STATEMENT RESULTS",Data_IncomeStatement!A1:A33,0),MATCH(VALUE(B3-1),Data_IncomeStatement!A1:M1,0))</f>
        <v>1927159.1054799999</v>
      </c>
    </row>
    <row r="152" spans="2:5" s="4" customFormat="1" x14ac:dyDescent="0.2">
      <c r="B152" s="12" t="s">
        <v>148</v>
      </c>
      <c r="C152" s="336">
        <f ca="1">C149</f>
        <v>309202.76872000011</v>
      </c>
    </row>
    <row r="153" spans="2:5" s="4" customFormat="1" x14ac:dyDescent="0.2">
      <c r="B153" s="12" t="s">
        <v>150</v>
      </c>
      <c r="C153" s="13">
        <v>0</v>
      </c>
    </row>
    <row r="154" spans="2:5" s="4" customFormat="1" x14ac:dyDescent="0.2">
      <c r="B154" s="14" t="s">
        <v>151</v>
      </c>
      <c r="C154" s="337">
        <f ca="1">C152+C151</f>
        <v>2236361.8742</v>
      </c>
    </row>
    <row r="155" spans="2:5" s="4" customFormat="1" x14ac:dyDescent="0.2"/>
    <row r="156" spans="2:5" s="4" customFormat="1" x14ac:dyDescent="0.2">
      <c r="C156" s="330"/>
      <c r="D156" s="214"/>
      <c r="E156" s="279"/>
    </row>
    <row r="157" spans="2:5" s="4" customFormat="1" x14ac:dyDescent="0.2">
      <c r="B157" s="9" t="str">
        <f>B5</f>
        <v>Validation</v>
      </c>
      <c r="C157" s="11"/>
    </row>
    <row r="158" spans="2:5" s="4" customFormat="1" x14ac:dyDescent="0.2">
      <c r="B158" s="63" t="s">
        <v>152</v>
      </c>
      <c r="C158" s="64"/>
    </row>
    <row r="159" spans="2:5" s="4" customFormat="1" x14ac:dyDescent="0.2">
      <c r="B159" s="12" t="s">
        <v>153</v>
      </c>
      <c r="C159" s="336">
        <f ca="1">C142</f>
        <v>1974334.9068</v>
      </c>
    </row>
    <row r="160" spans="2:5" s="4" customFormat="1" x14ac:dyDescent="0.2">
      <c r="B160" s="12" t="s">
        <v>154</v>
      </c>
      <c r="C160" s="336">
        <f>C124</f>
        <v>1390789.13</v>
      </c>
    </row>
    <row r="161" spans="2:3" s="4" customFormat="1" x14ac:dyDescent="0.2">
      <c r="B161" s="12" t="s">
        <v>155</v>
      </c>
      <c r="C161" s="336">
        <f ca="1">C123</f>
        <v>3728892</v>
      </c>
    </row>
    <row r="162" spans="2:3" s="4" customFormat="1" x14ac:dyDescent="0.2">
      <c r="B162" s="12" t="s">
        <v>156</v>
      </c>
      <c r="C162" s="529">
        <f ca="1">C159/(1-C160/C161)</f>
        <v>3148741.54330398</v>
      </c>
    </row>
    <row r="163" spans="2:3" s="4" customFormat="1" x14ac:dyDescent="0.2">
      <c r="B163" s="12"/>
      <c r="C163" s="13"/>
    </row>
    <row r="164" spans="2:3" s="4" customFormat="1" x14ac:dyDescent="0.2">
      <c r="B164" s="12" t="s">
        <v>157</v>
      </c>
      <c r="C164" s="480">
        <f>J73</f>
        <v>1308</v>
      </c>
    </row>
    <row r="165" spans="2:3" s="4" customFormat="1" x14ac:dyDescent="0.2">
      <c r="B165" s="14" t="s">
        <v>158</v>
      </c>
      <c r="C165" s="530">
        <f ca="1">ROUNDUP(C162/(C161/C164),0)</f>
        <v>1105</v>
      </c>
    </row>
    <row r="166" spans="2:3" s="4" customFormat="1" x14ac:dyDescent="0.2"/>
    <row r="167" spans="2:3" s="4" customFormat="1" x14ac:dyDescent="0.2"/>
    <row r="168" spans="2:3" s="4" customFormat="1" x14ac:dyDescent="0.2"/>
    <row r="169" spans="2:3" s="4" customFormat="1" x14ac:dyDescent="0.2"/>
    <row r="170" spans="2:3" s="4" customFormat="1" x14ac:dyDescent="0.2"/>
    <row r="171" spans="2:3" s="4" customFormat="1" x14ac:dyDescent="0.2"/>
    <row r="172" spans="2:3" s="4" customFormat="1" x14ac:dyDescent="0.2"/>
    <row r="173" spans="2:3" s="4" customFormat="1" x14ac:dyDescent="0.2"/>
    <row r="174" spans="2:3"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4E89CAAD-BAE2-D04B-BDFF-CD89BEAC8EDC}">
          <x14:formula1>
            <xm:f>Reference!$A$14:$A$26</xm:f>
          </x14:formula1>
          <xm:sqref>B3</xm:sqref>
        </x14:dataValidation>
        <x14:dataValidation type="list" allowBlank="1" showInputMessage="1" showErrorMessage="1" xr:uid="{C19F99D8-3A4A-034B-B268-C7A1A11A1A78}">
          <x14:formula1>
            <xm:f>Reference!$A$10:$A$12</xm:f>
          </x14:formula1>
          <xm:sqref>D124</xm:sqref>
        </x14:dataValidation>
        <x14:dataValidation type="list" allowBlank="1" showInputMessage="1" showErrorMessage="1" xr:uid="{3B2B7623-AB5A-E04E-A6A4-834CDCCD5B16}">
          <x14:formula1>
            <xm:f>Reference!$A$6:$A$8</xm:f>
          </x14:formula1>
          <xm:sqref>B5</xm:sqref>
        </x14:dataValidation>
        <x14:dataValidation type="list" allowBlank="1" showInputMessage="1" showErrorMessage="1" xr:uid="{B3EAD2B4-1123-0742-8A5E-5104F0E195FC}">
          <x14:formula1>
            <xm:f>Reference!$C$1:$C$5</xm:f>
          </x14:formula1>
          <xm:sqref>W22 W29 K21</xm:sqref>
        </x14:dataValidation>
        <x14:dataValidation type="list" allowBlank="1" showInputMessage="1" showErrorMessage="1" xr:uid="{A414D84C-5C9B-0343-92D1-46FB85D417B9}">
          <x14:formula1>
            <xm:f>Reference!$A$1:$A$3</xm:f>
          </x14:formula1>
          <xm:sqref>W20 W27 K19</xm:sqref>
        </x14:dataValidation>
        <x14:dataValidation type="list" allowBlank="1" showInputMessage="1" showErrorMessage="1" xr:uid="{346EA8CD-72BE-3244-8A98-A71F85242E3C}">
          <x14:formula1>
            <xm:f>Reference!$D$1:$D$4</xm:f>
          </x14:formula1>
          <xm:sqref>W23 W30 K22</xm:sqref>
        </x14:dataValidation>
        <x14:dataValidation type="list" allowBlank="1" showInputMessage="1" showErrorMessage="1" xr:uid="{E87CE3D1-0877-5449-8EB7-10EACC7A55F4}">
          <x14:formula1>
            <xm:f>Reference!$B$1:$B$4</xm:f>
          </x14:formula1>
          <xm:sqref>W21 W28 K20</xm:sqref>
        </x14:dataValidation>
        <x14:dataValidation type="list" allowBlank="1" showInputMessage="1" showErrorMessage="1" xr:uid="{2CB08B2C-9E38-AF46-B8C0-F8782F3F21AF}">
          <x14:formula1>
            <xm:f>Reference!$A$31:$A$32</xm:f>
          </x14:formula1>
          <xm:sqref>B7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9F05-0F7B-1349-B089-EEA890829499}">
  <sheetPr>
    <tabColor theme="2" tint="-9.9978637043366805E-2"/>
  </sheetPr>
  <dimension ref="A1:V174"/>
  <sheetViews>
    <sheetView topLeftCell="D94" zoomScale="59" zoomScaleNormal="120" workbookViewId="0">
      <selection activeCell="D137" sqref="D137"/>
    </sheetView>
  </sheetViews>
  <sheetFormatPr baseColWidth="10" defaultColWidth="11" defaultRowHeight="16" x14ac:dyDescent="0.2"/>
  <cols>
    <col min="1" max="1" width="5.6640625" style="4" customWidth="1"/>
    <col min="2" max="2" width="33.33203125" bestFit="1" customWidth="1"/>
    <col min="3" max="3" width="14" bestFit="1" customWidth="1"/>
    <col min="4" max="4" width="17.83203125" bestFit="1" customWidth="1"/>
    <col min="5" max="5" width="19.5" customWidth="1"/>
    <col min="6" max="6" width="15.33203125" bestFit="1" customWidth="1"/>
    <col min="7" max="7" width="32.66406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178" t="s">
        <v>0</v>
      </c>
      <c r="C2" s="4"/>
      <c r="D2" s="4"/>
      <c r="E2" s="4"/>
      <c r="F2" s="4"/>
      <c r="G2" s="4"/>
      <c r="H2" s="4"/>
      <c r="I2" s="4"/>
      <c r="J2" s="4"/>
      <c r="K2" s="4"/>
      <c r="L2" s="4"/>
      <c r="M2" s="4"/>
      <c r="N2" s="4"/>
      <c r="O2" s="4"/>
      <c r="P2" s="4"/>
      <c r="Q2" s="4"/>
      <c r="R2" s="4"/>
      <c r="S2" s="4"/>
      <c r="T2" s="4"/>
      <c r="U2" s="4"/>
      <c r="V2" s="4"/>
    </row>
    <row r="3" spans="1:22" x14ac:dyDescent="0.2">
      <c r="B3" s="460">
        <v>12</v>
      </c>
      <c r="C3" s="4"/>
      <c r="D3" s="4"/>
      <c r="E3" s="4"/>
      <c r="F3" s="4"/>
      <c r="G3" s="4"/>
      <c r="H3" s="4"/>
      <c r="I3" s="4"/>
      <c r="J3" s="4"/>
      <c r="K3" s="4"/>
      <c r="L3" s="4"/>
      <c r="M3" s="4"/>
      <c r="N3" s="4"/>
      <c r="O3" s="4"/>
      <c r="P3" s="4"/>
      <c r="Q3" s="4"/>
      <c r="R3" s="4"/>
      <c r="S3" s="4"/>
      <c r="T3" s="4"/>
      <c r="U3" s="4"/>
      <c r="V3" s="4"/>
    </row>
    <row r="4" spans="1:22" s="4" customFormat="1" x14ac:dyDescent="0.2">
      <c r="B4" s="178" t="s">
        <v>1</v>
      </c>
    </row>
    <row r="5" spans="1:22" s="4" customFormat="1" x14ac:dyDescent="0.2">
      <c r="B5" s="460" t="s">
        <v>6</v>
      </c>
    </row>
    <row r="6" spans="1:22" s="4" customFormat="1" x14ac:dyDescent="0.2">
      <c r="B6" s="178" t="s">
        <v>3</v>
      </c>
    </row>
    <row r="7" spans="1:22" s="4" customFormat="1" x14ac:dyDescent="0.2">
      <c r="B7" s="461" t="str" cm="1">
        <f t="array" aca="1" ref="B7" ca="1">INDIRECT("'Input_Q"&amp;B3&amp;"-Predict'!C8")</f>
        <v>Overtime</v>
      </c>
    </row>
    <row r="8" spans="1:22" s="4" customFormat="1" x14ac:dyDescent="0.2"/>
    <row r="9" spans="1:22" s="4" customFormat="1" x14ac:dyDescent="0.2">
      <c r="B9" s="99" t="s">
        <v>4</v>
      </c>
    </row>
    <row r="10" spans="1:22" x14ac:dyDescent="0.2">
      <c r="B10" s="69" t="s">
        <v>5</v>
      </c>
      <c r="C10" s="4"/>
      <c r="D10" s="4"/>
      <c r="E10" s="4"/>
      <c r="F10" s="4"/>
      <c r="G10" s="4"/>
      <c r="H10" s="4"/>
      <c r="I10" s="4"/>
      <c r="J10" s="4"/>
      <c r="K10" s="4"/>
      <c r="L10" s="4"/>
      <c r="M10" s="4"/>
      <c r="N10" s="4"/>
      <c r="O10" s="4"/>
      <c r="P10" s="4"/>
      <c r="Q10" s="4"/>
      <c r="R10" s="4"/>
      <c r="S10" s="4"/>
      <c r="T10" s="4"/>
      <c r="U10" s="4"/>
      <c r="V10" s="4"/>
    </row>
    <row r="11" spans="1:22" x14ac:dyDescent="0.2">
      <c r="B11" s="268" t="s">
        <v>6</v>
      </c>
      <c r="C11" s="4"/>
      <c r="D11" s="4"/>
      <c r="E11" s="4"/>
      <c r="F11" s="4"/>
      <c r="G11" s="4"/>
      <c r="H11" s="4"/>
      <c r="I11" s="4"/>
      <c r="J11" s="4"/>
      <c r="K11" s="4"/>
      <c r="L11" s="4"/>
      <c r="M11" s="4"/>
      <c r="N11" s="4"/>
      <c r="O11" s="4"/>
      <c r="P11" s="4"/>
      <c r="Q11" s="4"/>
      <c r="R11" s="4"/>
      <c r="S11" s="4"/>
      <c r="T11" s="4"/>
      <c r="U11" s="4"/>
      <c r="V11" s="4"/>
    </row>
    <row r="12" spans="1:22" x14ac:dyDescent="0.2">
      <c r="B12" s="4"/>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 ca="1">F19*F20</f>
        <v>135000</v>
      </c>
      <c r="E18" s="576" t="s">
        <v>12</v>
      </c>
      <c r="F18" s="577"/>
      <c r="G18" s="578"/>
      <c r="I18" s="71" t="s">
        <v>13</v>
      </c>
      <c r="J18" s="72"/>
      <c r="K18" s="72" t="s">
        <v>14</v>
      </c>
      <c r="L18" s="72" t="s">
        <v>15</v>
      </c>
      <c r="M18" s="72" t="s">
        <v>16</v>
      </c>
      <c r="N18" s="73" t="s">
        <v>17</v>
      </c>
    </row>
    <row r="19" spans="2:22" s="4" customFormat="1" x14ac:dyDescent="0.2">
      <c r="B19" s="12" t="s">
        <v>18</v>
      </c>
      <c r="C19" s="217">
        <f ca="1">N23</f>
        <v>0</v>
      </c>
      <c r="E19" s="284" t="s">
        <v>19</v>
      </c>
      <c r="F19" s="285">
        <v>15000</v>
      </c>
      <c r="G19" s="11" t="s">
        <v>20</v>
      </c>
      <c r="I19" s="12"/>
      <c r="J19" s="4" t="s">
        <v>21</v>
      </c>
      <c r="K19" s="4" t="s">
        <v>22</v>
      </c>
      <c r="L19" s="4">
        <f>VLOOKUP($K$19,$E$24:F59,2,FALSE)</f>
        <v>36</v>
      </c>
      <c r="M19" s="4">
        <f>L19*$F$25</f>
        <v>36</v>
      </c>
      <c r="N19" s="13">
        <f ca="1">M19*$F$24</f>
        <v>0</v>
      </c>
    </row>
    <row r="20" spans="2:22" s="4" customFormat="1" x14ac:dyDescent="0.2">
      <c r="B20" s="12" t="s">
        <v>23</v>
      </c>
      <c r="C20" s="281">
        <f ca="1">C34*0.02*M24</f>
        <v>1136.0868000000003</v>
      </c>
      <c r="E20" s="68"/>
      <c r="F20" s="76" cm="1">
        <f t="array" aca="1" ref="F20" ca="1">INDIRECT("'Input_Q"&amp;B3&amp;"-Predict'!C38")</f>
        <v>9</v>
      </c>
      <c r="G20" s="16"/>
      <c r="I20" s="12" t="s">
        <v>24</v>
      </c>
      <c r="J20" s="19" t="s">
        <v>25</v>
      </c>
      <c r="K20" s="4" t="s">
        <v>26</v>
      </c>
      <c r="L20" s="4">
        <f>VLOOKUP($K$20,$E$25:F60,2,FALSE)</f>
        <v>44.52</v>
      </c>
      <c r="M20" s="4">
        <f>L20*$F$28</f>
        <v>89.04</v>
      </c>
      <c r="N20" s="13">
        <f ca="1">M20*$F$24</f>
        <v>0</v>
      </c>
    </row>
    <row r="21" spans="2:22" s="4" customFormat="1" x14ac:dyDescent="0.2">
      <c r="B21" s="14" t="s">
        <v>27</v>
      </c>
      <c r="C21" s="453">
        <v>280000</v>
      </c>
      <c r="E21" s="12" t="s">
        <v>28</v>
      </c>
      <c r="G21" s="103"/>
      <c r="I21" s="12"/>
      <c r="J21" s="20" t="s">
        <v>29</v>
      </c>
      <c r="K21" s="4" t="s">
        <v>30</v>
      </c>
      <c r="L21" s="4">
        <f>VLOOKUP($K$21,$E$26:F63,2,FALSE)</f>
        <v>187.20000000000002</v>
      </c>
      <c r="M21" s="4">
        <f>L21*$F$38</f>
        <v>374.40000000000003</v>
      </c>
      <c r="N21" s="13">
        <f ca="1">M21*$F$24</f>
        <v>0</v>
      </c>
      <c r="V21" s="19"/>
    </row>
    <row r="22" spans="2:22" s="4" customFormat="1" x14ac:dyDescent="0.2">
      <c r="B22" s="14"/>
      <c r="C22" s="278">
        <f ca="1">SUM(C17:C21)</f>
        <v>416136.08679999999</v>
      </c>
      <c r="E22" s="12" t="s">
        <v>31</v>
      </c>
      <c r="F22" s="214">
        <v>1300000</v>
      </c>
      <c r="G22" s="103"/>
      <c r="I22" s="12"/>
      <c r="J22" s="70" t="s">
        <v>32</v>
      </c>
      <c r="K22" s="4" t="s">
        <v>33</v>
      </c>
      <c r="L22" s="4">
        <f>VLOOKUP($K$22,$E$21:F60,2,FALSE)</f>
        <v>24.150000000000002</v>
      </c>
      <c r="M22" s="4">
        <f>L22*$F$51</f>
        <v>72.45</v>
      </c>
      <c r="N22" s="13">
        <f ca="1">M22*$F$24</f>
        <v>0</v>
      </c>
      <c r="V22" s="20"/>
    </row>
    <row r="23" spans="2:22" s="4" customFormat="1" x14ac:dyDescent="0.2">
      <c r="E23" s="12" t="s">
        <v>34</v>
      </c>
      <c r="F23" s="214">
        <v>1500000</v>
      </c>
      <c r="G23" s="103"/>
      <c r="I23" s="71" t="s">
        <v>35</v>
      </c>
      <c r="J23" s="72"/>
      <c r="K23" s="72"/>
      <c r="L23" s="72"/>
      <c r="M23" s="72">
        <f>SUM(M19:M22)</f>
        <v>571.8900000000001</v>
      </c>
      <c r="N23" s="73">
        <f ca="1">SUM(N19:N22)</f>
        <v>0</v>
      </c>
      <c r="V23" s="70"/>
    </row>
    <row r="24" spans="2:22" s="4" customFormat="1" x14ac:dyDescent="0.2">
      <c r="E24" s="14" t="s">
        <v>18</v>
      </c>
      <c r="F24" s="95" cm="1">
        <f t="array" aca="1" ref="F24" ca="1">INDIRECT("'Input_Q"&amp;B3&amp;"-Predict'!C36")</f>
        <v>0</v>
      </c>
      <c r="G24" s="103" t="s">
        <v>36</v>
      </c>
      <c r="I24" s="14" t="s">
        <v>37</v>
      </c>
      <c r="J24" s="15"/>
      <c r="K24" s="15"/>
      <c r="L24" s="15"/>
      <c r="M24" s="15">
        <f>M23-M19</f>
        <v>535.8900000000001</v>
      </c>
      <c r="N24" s="16">
        <f ca="1">M24*F24</f>
        <v>0</v>
      </c>
    </row>
    <row r="25" spans="2:22" s="4" customFormat="1" x14ac:dyDescent="0.2">
      <c r="B25" s="71" t="s">
        <v>38</v>
      </c>
      <c r="C25" s="454" cm="1">
        <f t="array" aca="1" ref="C25" ca="1">IF(B5="Validation",'Q12-Predict'!C30/'Q12-Predict'!C29,INDIRECT("'Input_Q"&amp;B3&amp;"-Predict'!C34"))</f>
        <v>0.96</v>
      </c>
      <c r="E25" s="9" t="s">
        <v>21</v>
      </c>
      <c r="F25" s="10">
        <v>1</v>
      </c>
      <c r="G25" s="103" t="s">
        <v>39</v>
      </c>
    </row>
    <row r="26" spans="2:22" s="4" customFormat="1" x14ac:dyDescent="0.2">
      <c r="E26" s="12" t="s">
        <v>40</v>
      </c>
      <c r="F26" s="214">
        <v>20</v>
      </c>
      <c r="G26" s="103"/>
    </row>
    <row r="27" spans="2:22" s="4" customFormat="1" x14ac:dyDescent="0.2">
      <c r="B27" s="9" t="s">
        <v>41</v>
      </c>
      <c r="C27" s="289">
        <f>INDEX(Data_Stock!B2:N11,MATCH("Left Inventory",Data_Stock!B2:B11,0),MATCH(VALUE(B3-1),Data_Stock!B2:N2,0))</f>
        <v>90</v>
      </c>
      <c r="E27" s="14" t="s">
        <v>22</v>
      </c>
      <c r="F27" s="283">
        <v>36</v>
      </c>
      <c r="G27" s="98"/>
    </row>
    <row r="28" spans="2:22" s="4" customFormat="1" x14ac:dyDescent="0.2">
      <c r="B28" s="12" t="s">
        <v>42</v>
      </c>
      <c r="C28" s="290">
        <f>INDEX(Data_Stock!B2:N11,MATCH("Left",Data_Stock!B2:B11,0),MATCH(VALUE(B3-1),Data_Stock!B2:N2,0))</f>
        <v>1545</v>
      </c>
      <c r="E28" s="9" t="s">
        <v>25</v>
      </c>
      <c r="F28" s="11">
        <v>2</v>
      </c>
      <c r="G28" s="103" t="s">
        <v>39</v>
      </c>
      <c r="P28" s="214"/>
      <c r="V28" s="19"/>
    </row>
    <row r="29" spans="2:22" s="4" customFormat="1" x14ac:dyDescent="0.2">
      <c r="B29" s="12" t="s">
        <v>43</v>
      </c>
      <c r="C29" s="291" cm="1">
        <f t="array" aca="1" ref="C29" ca="1">INDIRECT("'Input_Q"&amp;B3&amp;"-Predict'!C33")</f>
        <v>1483.2</v>
      </c>
      <c r="E29" s="12" t="s">
        <v>44</v>
      </c>
      <c r="F29" s="13">
        <f>(1+F31)*F30</f>
        <v>43.2</v>
      </c>
      <c r="G29" s="103"/>
      <c r="V29" s="20"/>
    </row>
    <row r="30" spans="2:22" s="4" customFormat="1" x14ac:dyDescent="0.2">
      <c r="B30" s="12" t="str">
        <f>IF(B5="Validation","Actual Production","Predict Production")</f>
        <v>Predict Production</v>
      </c>
      <c r="C30" s="292">
        <f>INDEX(Data_Stock!B2:N11,MATCH("Produced",Data_Stock!B2:B11,0),MATCH(VALUE(B3),Data_Stock!B2:N2,0))</f>
        <v>1439</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 ca="1">F24</f>
        <v>0</v>
      </c>
      <c r="E33" s="67" t="s">
        <v>45</v>
      </c>
      <c r="F33" s="13">
        <v>42</v>
      </c>
      <c r="G33" s="103"/>
    </row>
    <row r="34" spans="2:14" s="4" customFormat="1" x14ac:dyDescent="0.2">
      <c r="B34" s="12" t="s">
        <v>49</v>
      </c>
      <c r="C34" s="222">
        <f ca="1">IF(B5="Validation",INDEX(Data_Stock!B2:N11,MATCH("Left",Data_Stock!B2:B11,0),MATCH('Q12-Predict'!B3,Data_Stock!B2:N2,0)),C28+F24-C30)</f>
        <v>106</v>
      </c>
      <c r="E34" s="67" t="s">
        <v>46</v>
      </c>
      <c r="F34" s="13">
        <v>0.06</v>
      </c>
      <c r="G34" s="103"/>
    </row>
    <row r="35" spans="2:14" s="4" customFormat="1" x14ac:dyDescent="0.2">
      <c r="B35" s="14" t="s">
        <v>50</v>
      </c>
      <c r="C35" s="288">
        <f ca="1">C34*M24</f>
        <v>56804.340000000011</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 ca="1">SUMPRODUCT(F73:I73,F71:I71)</f>
        <v>4027186</v>
      </c>
    </row>
    <row r="69" spans="2:11" s="4" customFormat="1" x14ac:dyDescent="0.2">
      <c r="B69" s="12" t="s">
        <v>61</v>
      </c>
      <c r="C69" s="221">
        <f ca="1">J75</f>
        <v>349088.82</v>
      </c>
      <c r="E69" s="9" t="str">
        <f>IF(B5="Validation","Actual S.C.R","Predict S.C.R")</f>
        <v>Predict S.C.R</v>
      </c>
      <c r="F69" s="311" cm="1">
        <f t="array" aca="1" ref="F69" ca="1">IF($B$5="Validation",F73/F72,INDIRECT("'Input_Q"&amp;$B$3&amp;"-Predict'!D29"))</f>
        <v>0.9</v>
      </c>
      <c r="G69" s="311" cm="1">
        <f t="array" aca="1" ref="G69" ca="1">IF($B$5="Validation",G73/G72,INDIRECT("'Input_Q"&amp;$B$3&amp;"-Predict'!D30"))</f>
        <v>0.9</v>
      </c>
      <c r="H69" s="311" cm="1">
        <f t="array" aca="1" ref="H69" ca="1">IF($B$5="Validation",H73/H72,INDIRECT("'Input_Q"&amp;$B$3&amp;"-Predict'!D31"))</f>
        <v>0.9</v>
      </c>
      <c r="I69" s="311" cm="1">
        <f t="array" aca="1" ref="I69" ca="1">IF($B$5="Validation",I73/I72,INDIRECT("'Input_Q"&amp;$B$3&amp;"-Predict'!D32"))</f>
        <v>0.9</v>
      </c>
      <c r="J69" s="11"/>
    </row>
    <row r="70" spans="2:11" s="4" customFormat="1" x14ac:dyDescent="0.2">
      <c r="B70" s="12" t="s">
        <v>62</v>
      </c>
      <c r="C70" s="318">
        <f ca="1">C68*C74</f>
        <v>241631.16</v>
      </c>
      <c r="E70" s="297" t="s">
        <v>63</v>
      </c>
      <c r="F70" s="298">
        <v>1</v>
      </c>
      <c r="G70" s="298">
        <v>2</v>
      </c>
      <c r="H70" s="298">
        <v>3</v>
      </c>
      <c r="I70" s="299">
        <v>4</v>
      </c>
      <c r="J70" s="299" t="s">
        <v>64</v>
      </c>
    </row>
    <row r="71" spans="2:11" s="4" customFormat="1" x14ac:dyDescent="0.2">
      <c r="B71" s="14"/>
      <c r="C71" s="319">
        <f ca="1">SUM(C68:C70)</f>
        <v>4617905.9800000004</v>
      </c>
      <c r="E71" s="300" t="s">
        <v>65</v>
      </c>
      <c r="F71" s="358" cm="1">
        <f t="array" aca="1" ref="F71" ca="1">INDIRECT("'Input_Q"&amp;$B$3&amp;"-Predict'!C10")</f>
        <v>2899</v>
      </c>
      <c r="G71" s="358" cm="1">
        <f t="array" aca="1" ref="G71" ca="1">INDIRECT("'Input_Q"&amp;$B$3&amp;"-Predict'!C11")</f>
        <v>2599</v>
      </c>
      <c r="H71" s="358" cm="1">
        <f t="array" aca="1" ref="H71" ca="1">INDIRECT("'Input_Q"&amp;$B$3&amp;"-Predict'!C12")</f>
        <v>2899</v>
      </c>
      <c r="I71" s="358" cm="1">
        <f t="array" aca="1" ref="I71" ca="1">INDIRECT("'Input_Q"&amp;$B$3&amp;"-Predict'!C13")</f>
        <v>2899</v>
      </c>
      <c r="J71" s="301" t="s">
        <v>66</v>
      </c>
      <c r="K71" s="363"/>
    </row>
    <row r="72" spans="2:11" s="4" customFormat="1" x14ac:dyDescent="0.2">
      <c r="E72" s="300" t="s">
        <v>67</v>
      </c>
      <c r="F72" s="272" cm="1">
        <f t="array" aca="1" ref="F72" ca="1">INDIRECT("'Input_Q"&amp;$B$3&amp;"-Predict'!C24")</f>
        <v>471</v>
      </c>
      <c r="G72" s="272" cm="1">
        <f t="array" aca="1" ref="G72" ca="1">INDIRECT("'Input_Q"&amp;$B$3&amp;"-Predict'!C25")</f>
        <v>267</v>
      </c>
      <c r="H72" s="272" cm="1">
        <f t="array" aca="1" ref="H72" ca="1">INDIRECT("'Input_Q"&amp;$B$3&amp;"-Predict'!C26")</f>
        <v>47</v>
      </c>
      <c r="I72" s="272" cm="1">
        <f t="array" aca="1" ref="I72" ca="1">INDIRECT("'Input_Q"&amp;$B$3&amp;"-Predict'!C27")</f>
        <v>788</v>
      </c>
      <c r="J72" s="303">
        <f ca="1">SUM(F72:I72)</f>
        <v>1573</v>
      </c>
    </row>
    <row r="73" spans="2:11" s="4" customFormat="1" x14ac:dyDescent="0.2">
      <c r="D73" s="199"/>
      <c r="E73" s="300" t="str">
        <f>IF(B5="Validation","Actual Sale","Predict Sale")</f>
        <v>Predict Sale</v>
      </c>
      <c r="F73" s="353">
        <f ca="1">IF($E$73="Actual Sale",INDEX(Data_Sales!$B$3:$N$8,MATCH(F70,Data_Sales!$B$3:$B$8,0),MATCH($B$3,Data_Sales!$B$3:$N$3,0)),ROUNDDOWN(F69*F72,0))</f>
        <v>423</v>
      </c>
      <c r="G73" s="353">
        <f ca="1">IF($E$73="Actual Sale",INDEX(Data_Sales!$B$3:$N$8,MATCH(G70,Data_Sales!$B$3:$B$8,0),MATCH($B$3,Data_Sales!$B$3:$N$3,0)),ROUNDDOWN(G69*G72,0))</f>
        <v>240</v>
      </c>
      <c r="H73" s="353">
        <f ca="1">IF($E$73="Actual Sale",INDEX(Data_Sales!$B$3:$N$8,MATCH(H70,Data_Sales!$B$3:$B$8,0),MATCH($B$3,Data_Sales!$B$3:$N$3,0)),ROUNDDOWN(H69*H72,0))</f>
        <v>42</v>
      </c>
      <c r="I73" s="353">
        <f ca="1">IF($E$73="Actual Sale",INDEX(Data_Sales!$B$3:$N$8,MATCH(I70,Data_Sales!$B$3:$B$8,0),MATCH($B$3,Data_Sales!$B$3:$N$3,0)),ROUNDDOWN(I69*I72,0))</f>
        <v>709</v>
      </c>
      <c r="J73" s="383">
        <f ca="1">SUM(F73:I73)</f>
        <v>1414</v>
      </c>
    </row>
    <row r="74" spans="2:11" s="4" customFormat="1" x14ac:dyDescent="0.2">
      <c r="B74" s="9" t="s">
        <v>68</v>
      </c>
      <c r="C74" s="406" cm="1">
        <f t="array" aca="1" ref="C74" ca="1">INDIRECT("'Input_Q"&amp;B3&amp;"-Predict'!C39")</f>
        <v>0.06</v>
      </c>
      <c r="D74" s="199"/>
      <c r="E74" s="300" t="s">
        <v>69</v>
      </c>
      <c r="F74" s="256" cm="1">
        <f t="array" aca="1" ref="F74" ca="1">INDIRECT("'Input_Q"&amp;$B$3&amp;"-Predict'!C41")</f>
        <v>7</v>
      </c>
      <c r="G74" s="256" cm="1">
        <f t="array" aca="1" ref="G74" ca="1">INDIRECT("'Input_Q"&amp;$B$3&amp;"-Predict'!C42")</f>
        <v>10</v>
      </c>
      <c r="H74" s="256" cm="1">
        <f t="array" aca="1" ref="H74" ca="1">INDIRECT("'Input_Q"&amp;$B$3&amp;"-Predict'!C43")</f>
        <v>1</v>
      </c>
      <c r="I74" s="256" cm="1">
        <f t="array" aca="1" ref="I74" ca="1">INDIRECT("'Input_Q"&amp;$B$3&amp;"-Predict'!C44")</f>
        <v>8</v>
      </c>
      <c r="J74" s="301"/>
    </row>
    <row r="75" spans="2:11" s="4" customFormat="1" x14ac:dyDescent="0.2">
      <c r="B75" s="12" t="s">
        <v>70</v>
      </c>
      <c r="C75" s="221">
        <f ca="1">J72</f>
        <v>1573</v>
      </c>
      <c r="D75" s="357"/>
      <c r="E75" s="300" t="s">
        <v>71</v>
      </c>
      <c r="F75" s="312">
        <f ca="1">F72*F71*F74/100</f>
        <v>95580.03</v>
      </c>
      <c r="G75" s="312">
        <f ca="1">G72*G71*G74/100</f>
        <v>69393.3</v>
      </c>
      <c r="H75" s="312">
        <f ca="1">H72*H71*H74/100</f>
        <v>1362.53</v>
      </c>
      <c r="I75" s="304">
        <f ca="1">I72*I71*I74/100</f>
        <v>182752.96</v>
      </c>
      <c r="J75" s="304">
        <f ca="1">SUM(F75:I75)</f>
        <v>349088.82</v>
      </c>
    </row>
    <row r="76" spans="2:11" s="4" customFormat="1" x14ac:dyDescent="0.2">
      <c r="B76" s="12" t="s">
        <v>72</v>
      </c>
      <c r="C76" s="221">
        <f ca="1">J73</f>
        <v>1414</v>
      </c>
      <c r="D76" s="199"/>
      <c r="E76" s="300" t="s">
        <v>73</v>
      </c>
      <c r="F76" s="256" cm="1">
        <f t="array" aca="1" ref="F76" ca="1">INDIRECT("'Input_Q"&amp;$B$3&amp;"-Predict'!C46")</f>
        <v>0</v>
      </c>
      <c r="G76" s="256" cm="1">
        <f t="array" aca="1" ref="G76" ca="1">INDIRECT("'Input_Q"&amp;$B$3&amp;"-Predict'!C47")</f>
        <v>0</v>
      </c>
      <c r="H76" s="256" cm="1">
        <f t="array" aca="1" ref="H76" ca="1">INDIRECT("'Input_Q"&amp;$B$3&amp;"-Predict'!C48")</f>
        <v>0</v>
      </c>
      <c r="I76" s="256" cm="1">
        <f t="array" aca="1" ref="I76" ca="1">INDIRECT("'Input_Q"&amp;$B$3&amp;"-Predict'!C49")</f>
        <v>0</v>
      </c>
      <c r="J76" s="301" t="s">
        <v>66</v>
      </c>
    </row>
    <row r="77" spans="2:11" s="4" customFormat="1" x14ac:dyDescent="0.2">
      <c r="B77" s="14" t="s">
        <v>74</v>
      </c>
      <c r="C77" s="319">
        <f ca="1">C75-C76</f>
        <v>159</v>
      </c>
      <c r="D77" s="199"/>
      <c r="E77" s="305" t="s">
        <v>75</v>
      </c>
      <c r="F77" s="306">
        <f ca="1">INDEX(Data_EmployeeNumber!$A$4:$E$16,MATCH('Q12-Predict'!$B$3-1,Data_EmployeeNumber!$A$4:$A$16,0),MATCH('Q12-Predict'!F70,Data_EmployeeNumber!$A$4:$E$4,0))+'Q12-Predict'!F76</f>
        <v>3</v>
      </c>
      <c r="G77" s="306">
        <f ca="1">INDEX(Data_EmployeeNumber!$A$4:$E$16,MATCH('Q12-Predict'!$B$3-1,Data_EmployeeNumber!$A$4:$A$16,0),MATCH('Q12-Predict'!G70,Data_EmployeeNumber!$A$4:$E$4,0))+'Q12-Predict'!G76</f>
        <v>3</v>
      </c>
      <c r="H77" s="306">
        <f ca="1">INDEX(Data_EmployeeNumber!$A$4:$E$16,MATCH('Q12-Predict'!$B$3-1,Data_EmployeeNumber!$A$4:$A$16,0),MATCH('Q12-Predict'!H70,Data_EmployeeNumber!$A$4:$E$4,0))+'Q12-Predict'!H76</f>
        <v>1</v>
      </c>
      <c r="I77" s="306">
        <f ca="1">INDEX(Data_EmployeeNumber!$A$4:$E$16,MATCH('Q12-Predict'!$B$3-1,Data_EmployeeNumber!$A$4:$A$16,0),MATCH('Q12-Predict'!I70,Data_EmployeeNumber!$A$4:$E$4,0))+'Q12-Predict'!I76</f>
        <v>4</v>
      </c>
      <c r="J77" s="307">
        <f ca="1">SUM(F77:I77)</f>
        <v>11</v>
      </c>
    </row>
    <row r="78" spans="2:11" s="4" customFormat="1" x14ac:dyDescent="0.2">
      <c r="E78" s="300" t="s">
        <v>76</v>
      </c>
      <c r="F78" s="296"/>
      <c r="G78" s="296"/>
      <c r="H78" s="296"/>
      <c r="I78" s="301"/>
      <c r="J78" s="455" t="s">
        <v>77</v>
      </c>
    </row>
    <row r="79" spans="2:11" s="4" customFormat="1" x14ac:dyDescent="0.2">
      <c r="E79" s="305" t="s">
        <v>78</v>
      </c>
      <c r="F79" s="308"/>
      <c r="G79" s="308"/>
      <c r="H79" s="308"/>
      <c r="I79" s="317"/>
      <c r="J79" s="456" t="s">
        <v>77</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 ca="1">I98</f>
        <v>304200</v>
      </c>
      <c r="D92" s="214"/>
      <c r="E92" s="71" t="s">
        <v>82</v>
      </c>
      <c r="F92" s="329" cm="1">
        <f t="array" aca="1" ref="F92" ca="1">INDIRECT("'Input_Q"&amp;$B$3&amp;"-Predict'!C50")</f>
        <v>5200</v>
      </c>
      <c r="H92" s="71" t="s">
        <v>82</v>
      </c>
      <c r="I92" s="72" t="s">
        <v>83</v>
      </c>
      <c r="J92" s="72" t="s">
        <v>84</v>
      </c>
      <c r="K92" s="72" t="s">
        <v>85</v>
      </c>
      <c r="L92" s="73" t="s">
        <v>86</v>
      </c>
    </row>
    <row r="93" spans="1:12" s="4" customFormat="1" x14ac:dyDescent="0.2">
      <c r="B93" s="12" t="s">
        <v>87</v>
      </c>
      <c r="C93" s="217">
        <f ca="1">K103</f>
        <v>50000</v>
      </c>
      <c r="D93" s="214"/>
      <c r="H93" s="12" t="s">
        <v>88</v>
      </c>
      <c r="I93" s="214">
        <f ca="1">$F$92*K93</f>
        <v>26000</v>
      </c>
      <c r="J93" s="4">
        <v>1</v>
      </c>
      <c r="K93" s="4">
        <v>5</v>
      </c>
      <c r="L93" s="13">
        <f>J93*K93</f>
        <v>5</v>
      </c>
    </row>
    <row r="94" spans="1:12" s="4" customFormat="1" x14ac:dyDescent="0.2">
      <c r="B94" s="12" t="s">
        <v>89</v>
      </c>
      <c r="C94" s="217">
        <f ca="1">K104</f>
        <v>18000</v>
      </c>
      <c r="D94" s="321"/>
      <c r="E94" s="71" t="s">
        <v>90</v>
      </c>
      <c r="F94" s="73"/>
      <c r="H94" s="12" t="s">
        <v>91</v>
      </c>
      <c r="I94" s="214">
        <f ca="1">$F$92*K94</f>
        <v>5200</v>
      </c>
      <c r="J94" s="4">
        <v>35</v>
      </c>
      <c r="K94" s="4">
        <v>1</v>
      </c>
      <c r="L94" s="13">
        <f>J94*K94</f>
        <v>35</v>
      </c>
    </row>
    <row r="95" spans="1:12" s="4" customFormat="1" x14ac:dyDescent="0.2">
      <c r="B95" s="12" t="s">
        <v>92</v>
      </c>
      <c r="C95" s="217">
        <f ca="1">K105</f>
        <v>47000</v>
      </c>
      <c r="E95" s="12" t="s">
        <v>93</v>
      </c>
      <c r="F95" s="327">
        <v>10000</v>
      </c>
      <c r="H95" s="12" t="s">
        <v>94</v>
      </c>
      <c r="I95" s="214">
        <f ca="1">$F$92*K95</f>
        <v>13000</v>
      </c>
      <c r="J95" s="4">
        <v>3</v>
      </c>
      <c r="K95" s="4">
        <v>2.5</v>
      </c>
      <c r="L95" s="13">
        <f>J95*K95</f>
        <v>7.5</v>
      </c>
    </row>
    <row r="96" spans="1:12" s="4" customFormat="1" x14ac:dyDescent="0.2">
      <c r="B96" s="71"/>
      <c r="C96" s="324">
        <f ca="1">SUM(C92:C95)</f>
        <v>419200</v>
      </c>
      <c r="E96" s="12" t="s">
        <v>95</v>
      </c>
      <c r="F96" s="194" cm="1">
        <f t="array" aca="1" ref="F96" ca="1">INDIRECT("'Input_Q"&amp;$B$3&amp;"-Predict'!C51")</f>
        <v>5</v>
      </c>
      <c r="H96" s="12" t="s">
        <v>96</v>
      </c>
      <c r="I96" s="214">
        <f ca="1">$F$92*K96</f>
        <v>5200</v>
      </c>
      <c r="J96" s="4">
        <f ca="1">J77</f>
        <v>11</v>
      </c>
      <c r="K96" s="4">
        <v>1</v>
      </c>
      <c r="L96" s="13">
        <f ca="1">J96*K96</f>
        <v>11</v>
      </c>
    </row>
    <row r="97" spans="1:12" s="4" customFormat="1" x14ac:dyDescent="0.2">
      <c r="E97" s="12" t="s">
        <v>97</v>
      </c>
      <c r="F97" s="217">
        <v>2000</v>
      </c>
      <c r="H97" s="12" t="s">
        <v>64</v>
      </c>
      <c r="I97" s="4" t="s">
        <v>66</v>
      </c>
      <c r="J97" s="4">
        <f ca="1">SUM(J93:J96)</f>
        <v>50</v>
      </c>
      <c r="K97" s="4" t="s">
        <v>66</v>
      </c>
      <c r="L97" s="13">
        <f ca="1">SUM(L93:L96)</f>
        <v>58.5</v>
      </c>
    </row>
    <row r="98" spans="1:12" s="4" customFormat="1" x14ac:dyDescent="0.2">
      <c r="B98" s="71" t="s">
        <v>98</v>
      </c>
      <c r="C98" s="73"/>
      <c r="E98" s="14" t="s">
        <v>95</v>
      </c>
      <c r="F98" s="76" cm="1">
        <f t="array" aca="1" ref="F98" ca="1">INDIRECT("'Input_Q"&amp;$B$3&amp;"-Predict'!C52")</f>
        <v>9</v>
      </c>
      <c r="H98" s="14" t="s">
        <v>99</v>
      </c>
      <c r="I98" s="322">
        <f ca="1">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 ca="1">F92</f>
        <v>5200</v>
      </c>
      <c r="J102" s="4">
        <f ca="1">L97</f>
        <v>58.5</v>
      </c>
      <c r="K102" s="217">
        <f ca="1">I102*J102</f>
        <v>304200</v>
      </c>
    </row>
    <row r="103" spans="1:12" s="4" customFormat="1" x14ac:dyDescent="0.2">
      <c r="E103" s="12" t="s">
        <v>106</v>
      </c>
      <c r="F103" s="217">
        <v>175</v>
      </c>
      <c r="H103" s="12" t="s">
        <v>93</v>
      </c>
      <c r="I103" s="214">
        <f>F95</f>
        <v>10000</v>
      </c>
      <c r="J103" s="4">
        <f ca="1">F96</f>
        <v>5</v>
      </c>
      <c r="K103" s="217">
        <f ca="1">F95*J103</f>
        <v>50000</v>
      </c>
    </row>
    <row r="104" spans="1:12" s="4" customFormat="1" ht="17" customHeight="1" x14ac:dyDescent="0.2">
      <c r="E104" s="12" t="s">
        <v>107</v>
      </c>
      <c r="F104" s="217">
        <v>400</v>
      </c>
      <c r="H104" s="12" t="s">
        <v>97</v>
      </c>
      <c r="I104" s="214">
        <f>F97</f>
        <v>2000</v>
      </c>
      <c r="J104" s="4">
        <f ca="1">F98</f>
        <v>9</v>
      </c>
      <c r="K104" s="217">
        <f ca="1">F97*J104</f>
        <v>18000</v>
      </c>
    </row>
    <row r="105" spans="1:12" s="4" customFormat="1" x14ac:dyDescent="0.2">
      <c r="E105" s="12" t="s">
        <v>108</v>
      </c>
      <c r="F105" s="217">
        <v>280</v>
      </c>
      <c r="H105" s="12" t="s">
        <v>109</v>
      </c>
      <c r="I105" s="214">
        <f>F102+F106+F107+F108</f>
        <v>940</v>
      </c>
      <c r="J105" s="4">
        <f ca="1">J97</f>
        <v>50</v>
      </c>
      <c r="K105" s="217">
        <f ca="1">I105*J105</f>
        <v>47000</v>
      </c>
    </row>
    <row r="106" spans="1:12" s="4" customFormat="1" x14ac:dyDescent="0.2">
      <c r="E106" s="325" t="s">
        <v>110</v>
      </c>
      <c r="F106" s="217">
        <v>350</v>
      </c>
      <c r="H106" s="14"/>
      <c r="I106" s="15"/>
      <c r="J106" s="15"/>
      <c r="K106" s="278">
        <f ca="1">SUM(K102:K105)</f>
        <v>419200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457" t="s">
        <v>114</v>
      </c>
      <c r="C113" s="458">
        <v>0</v>
      </c>
    </row>
    <row r="114" spans="1:22" s="4" customFormat="1" x14ac:dyDescent="0.2">
      <c r="B114" s="275" t="s">
        <v>115</v>
      </c>
      <c r="C114" s="459">
        <v>0</v>
      </c>
    </row>
    <row r="115" spans="1:22" s="4" customFormat="1" x14ac:dyDescent="0.2">
      <c r="B115" s="275" t="s">
        <v>116</v>
      </c>
      <c r="C115" s="459">
        <f>C113*C114</f>
        <v>0</v>
      </c>
    </row>
    <row r="116" spans="1:22" s="4" customFormat="1" x14ac:dyDescent="0.2">
      <c r="B116" s="14" t="s">
        <v>117</v>
      </c>
      <c r="C116" s="76" cm="1">
        <f t="array" aca="1" ref="C116" ca="1">INDIRECT("'Input_Q"&amp;$B$3&amp;"-Predict'!C53")</f>
        <v>150000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118</v>
      </c>
    </row>
    <row r="121" spans="1:22" s="4" customFormat="1" x14ac:dyDescent="0.2"/>
    <row r="122" spans="1:22" s="4" customFormat="1" x14ac:dyDescent="0.2">
      <c r="B122" s="4" t="s">
        <v>119</v>
      </c>
    </row>
    <row r="123" spans="1:22" s="4" customFormat="1" x14ac:dyDescent="0.2">
      <c r="B123" s="9" t="s">
        <v>60</v>
      </c>
      <c r="C123" s="334">
        <f ca="1">IFERROR(VLOOKUP(B123,$B$14:$C$121,2,FALSE),0)</f>
        <v>4027186</v>
      </c>
      <c r="D123" s="286"/>
      <c r="E123" s="286"/>
    </row>
    <row r="124" spans="1:22" s="4" customFormat="1" x14ac:dyDescent="0.2">
      <c r="B124" s="275" t="s">
        <v>120</v>
      </c>
      <c r="C124" s="366">
        <f>IF(D124="Match",(C74+0.125)*C123+J73*M23,E124)</f>
        <v>1965430.76</v>
      </c>
      <c r="D124" s="302" t="s">
        <v>297</v>
      </c>
      <c r="E124" s="268">
        <v>1965430.76</v>
      </c>
      <c r="F124" s="9"/>
      <c r="G124" s="9" t="s">
        <v>122</v>
      </c>
      <c r="H124" s="331"/>
      <c r="I124" s="10">
        <f ca="1">H124/$H$128</f>
        <v>0</v>
      </c>
      <c r="J124" s="11"/>
    </row>
    <row r="125" spans="1:22" s="4" customFormat="1" x14ac:dyDescent="0.2">
      <c r="B125" s="12" t="s">
        <v>123</v>
      </c>
      <c r="C125" s="336">
        <f ca="1">C123-C124</f>
        <v>2061755.24</v>
      </c>
      <c r="E125" s="302"/>
      <c r="F125" s="12"/>
      <c r="G125" s="12" t="s">
        <v>124</v>
      </c>
      <c r="H125" s="279">
        <f ca="1">SUMIF(D127:D139,"FC",C127:C139)</f>
        <v>1871624.9068</v>
      </c>
      <c r="I125" s="4">
        <f ca="1">H125/$H$128</f>
        <v>1323.6385479490807</v>
      </c>
      <c r="J125" s="13"/>
    </row>
    <row r="126" spans="1:22" s="4" customFormat="1" x14ac:dyDescent="0.2">
      <c r="B126" s="12" t="s">
        <v>125</v>
      </c>
      <c r="C126" s="336"/>
      <c r="F126" s="12"/>
      <c r="G126" s="12" t="s">
        <v>120</v>
      </c>
      <c r="H126" s="279">
        <f>C124</f>
        <v>1965430.76</v>
      </c>
      <c r="I126" s="4">
        <f ca="1">H126/$H$128</f>
        <v>1389.9793210749647</v>
      </c>
      <c r="J126" s="13"/>
    </row>
    <row r="127" spans="1:22" s="4" customFormat="1" x14ac:dyDescent="0.2">
      <c r="B127" s="12" t="s">
        <v>126</v>
      </c>
      <c r="C127" s="336">
        <f ca="1">IF(B7="Overtime",560000,280000)</f>
        <v>560000</v>
      </c>
      <c r="D127" s="4" t="s">
        <v>124</v>
      </c>
      <c r="F127" s="12"/>
      <c r="G127" s="12" t="s">
        <v>127</v>
      </c>
      <c r="H127" s="279">
        <f ca="1">SUM(H124:H126)</f>
        <v>3837055.6667999998</v>
      </c>
      <c r="J127" s="13"/>
    </row>
    <row r="128" spans="1:22" s="4" customFormat="1" x14ac:dyDescent="0.2">
      <c r="B128" s="12" t="s">
        <v>81</v>
      </c>
      <c r="C128" s="336">
        <f ca="1">IF(B7="Overtime",VALUE(IFERROR(VLOOKUP(B128,$B$14:$C$121,2,FALSE),0))*2,VALUE(IFERROR(VLOOKUP(B128,$B$14:$C$121,2,FALSE),0)))</f>
        <v>608400</v>
      </c>
      <c r="D128" s="4" t="s">
        <v>124</v>
      </c>
      <c r="F128" s="12"/>
      <c r="G128" s="12" t="s">
        <v>128</v>
      </c>
      <c r="H128" s="302">
        <f ca="1">C76</f>
        <v>1414</v>
      </c>
      <c r="J128" s="13"/>
    </row>
    <row r="129" spans="2:10" s="4" customFormat="1" x14ac:dyDescent="0.2">
      <c r="B129" s="12" t="s">
        <v>87</v>
      </c>
      <c r="C129" s="336">
        <f t="shared" ref="C129:C136" ca="1" si="0">IFERROR(VLOOKUP(B129,$B$14:$C$121,2,FALSE),0)</f>
        <v>50000</v>
      </c>
      <c r="D129" s="4" t="s">
        <v>124</v>
      </c>
      <c r="F129" s="12"/>
      <c r="G129" s="12" t="s">
        <v>129</v>
      </c>
      <c r="H129" s="339">
        <f ca="1">H127/H128</f>
        <v>2713.6178690240449</v>
      </c>
      <c r="J129" s="13"/>
    </row>
    <row r="130" spans="2:10" s="4" customFormat="1" x14ac:dyDescent="0.2">
      <c r="B130" s="12" t="s">
        <v>92</v>
      </c>
      <c r="C130" s="336">
        <f t="shared" ca="1" si="0"/>
        <v>47000</v>
      </c>
      <c r="D130" s="4" t="s">
        <v>122</v>
      </c>
      <c r="F130" s="12"/>
      <c r="G130" s="12"/>
      <c r="J130" s="13"/>
    </row>
    <row r="131" spans="2:10" s="4" customFormat="1" x14ac:dyDescent="0.2">
      <c r="B131" s="12" t="s">
        <v>89</v>
      </c>
      <c r="C131" s="336">
        <f t="shared" ca="1" si="0"/>
        <v>18000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 ca="1">$H$129*(1+H131)</f>
        <v>2984.9796559264496</v>
      </c>
      <c r="I132" s="333">
        <f ca="1">$H$129*(1+I131)</f>
        <v>3256.3414428288538</v>
      </c>
      <c r="J132" s="341">
        <f ca="1">$H$129*(1+J131)</f>
        <v>3527.7032297312585</v>
      </c>
    </row>
    <row r="133" spans="2:10" s="4" customFormat="1" x14ac:dyDescent="0.2">
      <c r="B133" s="12" t="s">
        <v>11</v>
      </c>
      <c r="C133" s="336">
        <f t="shared" ca="1" si="0"/>
        <v>135000</v>
      </c>
      <c r="D133" s="4" t="s">
        <v>124</v>
      </c>
      <c r="F133" s="12"/>
      <c r="G133" s="4" t="s">
        <v>133</v>
      </c>
      <c r="H133" s="302">
        <f ca="1">H132-$H$129</f>
        <v>271.36178690240467</v>
      </c>
      <c r="I133" s="302">
        <f ca="1">I132-$H$129</f>
        <v>542.72357380480889</v>
      </c>
      <c r="J133" s="318">
        <f ca="1">J132-$H$129</f>
        <v>814.08536070721357</v>
      </c>
    </row>
    <row r="134" spans="2:10" s="4" customFormat="1" x14ac:dyDescent="0.2">
      <c r="B134" s="12" t="s">
        <v>61</v>
      </c>
      <c r="C134" s="336">
        <f t="shared" ca="1" si="0"/>
        <v>349088.82</v>
      </c>
      <c r="D134" s="4" t="s">
        <v>124</v>
      </c>
      <c r="F134" s="12"/>
      <c r="G134" s="4" t="s">
        <v>134</v>
      </c>
      <c r="H134" s="355">
        <f ca="1">H133/H132</f>
        <v>9.0909090909090967E-2</v>
      </c>
      <c r="I134" s="355">
        <f ca="1">I133/I132</f>
        <v>0.16666666666666663</v>
      </c>
      <c r="J134" s="326">
        <f ca="1">J133/J132</f>
        <v>0.23076923076923078</v>
      </c>
    </row>
    <row r="135" spans="2:10" s="4" customFormat="1" x14ac:dyDescent="0.2">
      <c r="B135" s="12" t="s">
        <v>23</v>
      </c>
      <c r="C135" s="336">
        <f ca="1">IFERROR(VLOOKUP(B135,$B$14:$C$121,2,FALSE),0)</f>
        <v>1136.0868000000003</v>
      </c>
      <c r="D135" s="4" t="s">
        <v>124</v>
      </c>
      <c r="F135" s="12"/>
      <c r="G135" s="4" t="s">
        <v>135</v>
      </c>
      <c r="H135" s="279">
        <f ca="1">$H$125/H134</f>
        <v>20587873.974799987</v>
      </c>
      <c r="I135" s="279">
        <f ca="1">$H$125/I134</f>
        <v>11229749.440800002</v>
      </c>
      <c r="J135" s="281">
        <f ca="1">$H$125/J134</f>
        <v>8110374.5961333327</v>
      </c>
    </row>
    <row r="136" spans="2:10" s="4" customFormat="1" x14ac:dyDescent="0.2">
      <c r="B136" s="12" t="s">
        <v>117</v>
      </c>
      <c r="C136" s="336">
        <f t="shared" ca="1" si="0"/>
        <v>150000</v>
      </c>
      <c r="D136" s="4" t="s">
        <v>124</v>
      </c>
      <c r="F136" s="14"/>
      <c r="G136" s="15" t="s">
        <v>136</v>
      </c>
      <c r="H136" s="15">
        <f ca="1">H135/H132</f>
        <v>6897.1572164400959</v>
      </c>
      <c r="I136" s="15">
        <f ca="1">I135/I132</f>
        <v>3448.5786082200511</v>
      </c>
      <c r="J136" s="16">
        <f ca="1">J135/J132</f>
        <v>2299.0524054800335</v>
      </c>
    </row>
    <row r="137" spans="2:10" s="4" customFormat="1" x14ac:dyDescent="0.2">
      <c r="B137" s="275" t="s">
        <v>137</v>
      </c>
      <c r="C137" s="335" cm="1">
        <f t="array" aca="1" ref="C137" ca="1">IF(B5="Validation",E137,SUMPRODUCT(F80:I80*F73:I73))</f>
        <v>58909.89</v>
      </c>
      <c r="D137" s="380" t="s">
        <v>138</v>
      </c>
      <c r="E137" s="4">
        <f>INDEX(Data_Sales!B3:N8,MATCH("Freight Cost",Data_Sales!B3:B8,0),MATCH('Q12-Predict'!B3,Data_Sales!B3:N3,0))</f>
        <v>55710</v>
      </c>
    </row>
    <row r="138" spans="2:10" s="4" customFormat="1" x14ac:dyDescent="0.2">
      <c r="B138" s="12" t="s">
        <v>139</v>
      </c>
      <c r="C138" s="336">
        <f>IFERROR(VLOOKUP(B138,$B$14:$C$121,2,FALSE),0)</f>
        <v>0</v>
      </c>
    </row>
    <row r="139" spans="2:10" s="4" customFormat="1" x14ac:dyDescent="0.2">
      <c r="B139" s="365" t="s">
        <v>140</v>
      </c>
      <c r="C139" s="366" cm="1">
        <f t="array" aca="1" ref="C139" ca="1">INDIRECT("'Input_Q"&amp;$B$3&amp;"-Predict'!C18")</f>
        <v>0</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 ca="1">SUM(C127:C141)</f>
        <v>1977534.7967999999</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 ca="1">C125-C142</f>
        <v>84220.443200000096</v>
      </c>
    </row>
    <row r="148" spans="2:5" s="4" customFormat="1" x14ac:dyDescent="0.2">
      <c r="B148" s="12" t="s">
        <v>147</v>
      </c>
      <c r="C148" s="13">
        <f ca="1">IF(C147&gt;0,C147*0.15,0)</f>
        <v>12633.066480000014</v>
      </c>
    </row>
    <row r="149" spans="2:5" s="4" customFormat="1" x14ac:dyDescent="0.2">
      <c r="B149" s="12" t="s">
        <v>148</v>
      </c>
      <c r="C149" s="336">
        <f ca="1">C147-C148</f>
        <v>71587.376720000088</v>
      </c>
    </row>
    <row r="150" spans="2:5" s="4" customFormat="1" x14ac:dyDescent="0.2">
      <c r="B150" s="12" t="s">
        <v>119</v>
      </c>
      <c r="C150" s="13"/>
    </row>
    <row r="151" spans="2:5" s="4" customFormat="1" x14ac:dyDescent="0.2">
      <c r="B151" s="12" t="s">
        <v>149</v>
      </c>
      <c r="C151" s="368">
        <f ca="1">INDEX(Data_IncomeStatement!A1:M33,MATCH("PROFIT AND LOSS STATEMENT RESULTS",Data_IncomeStatement!A1:A33,0),MATCH(VALUE(B3-1),Data_IncomeStatement!A1:M1,0))</f>
        <v>1927159.1054799999</v>
      </c>
    </row>
    <row r="152" spans="2:5" s="4" customFormat="1" x14ac:dyDescent="0.2">
      <c r="B152" s="12" t="s">
        <v>148</v>
      </c>
      <c r="C152" s="336">
        <f ca="1">C149</f>
        <v>71587.376720000088</v>
      </c>
    </row>
    <row r="153" spans="2:5" s="4" customFormat="1" x14ac:dyDescent="0.2">
      <c r="B153" s="12" t="s">
        <v>150</v>
      </c>
      <c r="C153" s="13">
        <v>0</v>
      </c>
    </row>
    <row r="154" spans="2:5" s="4" customFormat="1" x14ac:dyDescent="0.2">
      <c r="B154" s="14" t="s">
        <v>151</v>
      </c>
      <c r="C154" s="337">
        <f ca="1">C152+C151</f>
        <v>1998746.4822</v>
      </c>
    </row>
    <row r="155" spans="2:5" s="4" customFormat="1" x14ac:dyDescent="0.2"/>
    <row r="156" spans="2:5" s="4" customFormat="1" x14ac:dyDescent="0.2">
      <c r="C156" s="330"/>
      <c r="D156" s="214"/>
      <c r="E156" s="279"/>
    </row>
    <row r="157" spans="2:5" s="4" customFormat="1" x14ac:dyDescent="0.2">
      <c r="B157" s="9" t="str">
        <f>B5</f>
        <v>Prediction</v>
      </c>
      <c r="C157" s="11"/>
    </row>
    <row r="158" spans="2:5" s="4" customFormat="1" x14ac:dyDescent="0.2">
      <c r="B158" s="63" t="s">
        <v>152</v>
      </c>
      <c r="C158" s="64"/>
    </row>
    <row r="159" spans="2:5" s="4" customFormat="1" x14ac:dyDescent="0.2">
      <c r="B159" s="12" t="s">
        <v>153</v>
      </c>
      <c r="C159" s="336">
        <f ca="1">C142</f>
        <v>1977534.7967999999</v>
      </c>
    </row>
    <row r="160" spans="2:5" s="4" customFormat="1" x14ac:dyDescent="0.2">
      <c r="B160" s="12" t="s">
        <v>154</v>
      </c>
      <c r="C160" s="336">
        <f>C124</f>
        <v>1965430.76</v>
      </c>
    </row>
    <row r="161" spans="2:3" s="4" customFormat="1" x14ac:dyDescent="0.2">
      <c r="B161" s="12" t="s">
        <v>155</v>
      </c>
      <c r="C161" s="336">
        <f ca="1">C123</f>
        <v>4027186</v>
      </c>
    </row>
    <row r="162" spans="2:3" s="4" customFormat="1" x14ac:dyDescent="0.2">
      <c r="B162" s="12" t="s">
        <v>156</v>
      </c>
      <c r="C162" s="529">
        <f ca="1">C159/(1-C160/C161)</f>
        <v>3862679.8630984952</v>
      </c>
    </row>
    <row r="163" spans="2:3" s="4" customFormat="1" x14ac:dyDescent="0.2">
      <c r="B163" s="12"/>
      <c r="C163" s="13"/>
    </row>
    <row r="164" spans="2:3" s="4" customFormat="1" x14ac:dyDescent="0.2">
      <c r="B164" s="12" t="s">
        <v>157</v>
      </c>
      <c r="C164" s="480">
        <f ca="1">J73</f>
        <v>1414</v>
      </c>
    </row>
    <row r="165" spans="2:3" s="4" customFormat="1" x14ac:dyDescent="0.2">
      <c r="B165" s="14" t="s">
        <v>158</v>
      </c>
      <c r="C165" s="530">
        <f ca="1">ROUNDUP(C162/(C161/C164),0)</f>
        <v>1357</v>
      </c>
    </row>
    <row r="166" spans="2:3" s="4" customFormat="1" x14ac:dyDescent="0.2"/>
    <row r="167" spans="2:3" s="4" customFormat="1" x14ac:dyDescent="0.2"/>
    <row r="168" spans="2:3" s="4" customFormat="1" x14ac:dyDescent="0.2"/>
    <row r="169" spans="2:3" s="4" customFormat="1" x14ac:dyDescent="0.2"/>
    <row r="170" spans="2:3" s="4" customFormat="1" x14ac:dyDescent="0.2"/>
    <row r="171" spans="2:3" s="4" customFormat="1" x14ac:dyDescent="0.2"/>
    <row r="172" spans="2:3" s="4" customFormat="1" x14ac:dyDescent="0.2"/>
    <row r="173" spans="2:3" s="4" customFormat="1" x14ac:dyDescent="0.2"/>
    <row r="174" spans="2:3"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5AD0909F-0D4D-374D-83D8-3D3E08DBA36B}">
          <x14:formula1>
            <xm:f>Reference!$A$31:$A$32</xm:f>
          </x14:formula1>
          <xm:sqref>B7</xm:sqref>
        </x14:dataValidation>
        <x14:dataValidation type="list" allowBlank="1" showInputMessage="1" showErrorMessage="1" xr:uid="{8205A320-CE04-7441-9799-D439D0D33911}">
          <x14:formula1>
            <xm:f>Reference!$B$1:$B$4</xm:f>
          </x14:formula1>
          <xm:sqref>W21 W28 K20</xm:sqref>
        </x14:dataValidation>
        <x14:dataValidation type="list" allowBlank="1" showInputMessage="1" showErrorMessage="1" xr:uid="{2B7A3F02-B376-7E4B-B39C-8A3FCA6F7B8C}">
          <x14:formula1>
            <xm:f>Reference!$D$1:$D$4</xm:f>
          </x14:formula1>
          <xm:sqref>W23 W30 K22</xm:sqref>
        </x14:dataValidation>
        <x14:dataValidation type="list" allowBlank="1" showInputMessage="1" showErrorMessage="1" xr:uid="{9DD68315-25CC-6F4E-A752-4D219D95BE6A}">
          <x14:formula1>
            <xm:f>Reference!$A$1:$A$3</xm:f>
          </x14:formula1>
          <xm:sqref>W20 W27 K19</xm:sqref>
        </x14:dataValidation>
        <x14:dataValidation type="list" allowBlank="1" showInputMessage="1" showErrorMessage="1" xr:uid="{6BC34E27-31A3-3D46-B4A4-41FCCB1A96BE}">
          <x14:formula1>
            <xm:f>Reference!$C$1:$C$5</xm:f>
          </x14:formula1>
          <xm:sqref>W22 W29 K21</xm:sqref>
        </x14:dataValidation>
        <x14:dataValidation type="list" allowBlank="1" showInputMessage="1" showErrorMessage="1" xr:uid="{96D59AF9-24BC-4A46-B7D2-7C53F76C3CEF}">
          <x14:formula1>
            <xm:f>Reference!$A$6:$A$8</xm:f>
          </x14:formula1>
          <xm:sqref>B5</xm:sqref>
        </x14:dataValidation>
        <x14:dataValidation type="list" allowBlank="1" showInputMessage="1" showErrorMessage="1" xr:uid="{951F1E1E-B02A-934B-98A4-AB1106FD0BFA}">
          <x14:formula1>
            <xm:f>Reference!$A$10:$A$12</xm:f>
          </x14:formula1>
          <xm:sqref>D124</xm:sqref>
        </x14:dataValidation>
        <x14:dataValidation type="list" allowBlank="1" showInputMessage="1" showErrorMessage="1" xr:uid="{F465B686-4F3C-D745-BF96-8CA7DB6E49E3}">
          <x14:formula1>
            <xm:f>Reference!$A$14:$A$26</xm:f>
          </x14:formula1>
          <xm:sqref>B3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7AB70-0160-F540-96A2-C13827D2B800}">
  <sheetPr>
    <tabColor theme="2" tint="-9.9978637043366805E-2"/>
  </sheetPr>
  <dimension ref="B1:G53"/>
  <sheetViews>
    <sheetView topLeftCell="A32" zoomScale="126" workbookViewId="0">
      <selection activeCell="C54" sqref="C54"/>
    </sheetView>
  </sheetViews>
  <sheetFormatPr baseColWidth="10" defaultColWidth="11" defaultRowHeight="16" x14ac:dyDescent="0.2"/>
  <cols>
    <col min="1" max="1" width="11" style="4"/>
    <col min="2" max="2" width="33.83203125" style="4" bestFit="1" customWidth="1"/>
    <col min="3" max="3" width="11.33203125" style="462" customWidth="1"/>
    <col min="4" max="5" width="11" style="4" customWidth="1"/>
    <col min="6" max="6" width="13.1640625" style="4" customWidth="1"/>
    <col min="7" max="7" width="15" style="4" customWidth="1"/>
    <col min="8" max="9" width="11" style="4"/>
    <col min="10" max="10" width="34.6640625" style="4" bestFit="1" customWidth="1"/>
    <col min="11" max="16384" width="11" style="4"/>
  </cols>
  <sheetData>
    <row r="1" spans="2:7" x14ac:dyDescent="0.2">
      <c r="B1" s="9" t="s">
        <v>159</v>
      </c>
      <c r="C1" s="10"/>
      <c r="D1" s="464"/>
      <c r="E1" s="10"/>
      <c r="F1" s="10"/>
      <c r="G1" s="465"/>
    </row>
    <row r="2" spans="2:7" x14ac:dyDescent="0.2">
      <c r="B2" s="466" t="b">
        <v>1</v>
      </c>
      <c r="C2" s="4" t="s">
        <v>160</v>
      </c>
      <c r="D2" s="449"/>
      <c r="G2" s="13"/>
    </row>
    <row r="3" spans="2:7" x14ac:dyDescent="0.2">
      <c r="B3" s="466" t="b">
        <v>1</v>
      </c>
      <c r="C3" s="4" t="s">
        <v>161</v>
      </c>
      <c r="D3" s="449"/>
      <c r="G3" s="13"/>
    </row>
    <row r="4" spans="2:7" x14ac:dyDescent="0.2">
      <c r="B4" s="466" t="b">
        <v>1</v>
      </c>
      <c r="C4" s="4" t="s">
        <v>162</v>
      </c>
      <c r="D4" s="449"/>
      <c r="G4" s="13"/>
    </row>
    <row r="5" spans="2:7" x14ac:dyDescent="0.2">
      <c r="B5" s="467" t="b">
        <v>1</v>
      </c>
      <c r="C5" s="15" t="s">
        <v>163</v>
      </c>
      <c r="D5" s="468"/>
      <c r="E5" s="15"/>
      <c r="F5" s="15"/>
      <c r="G5" s="16"/>
    </row>
    <row r="6" spans="2:7" x14ac:dyDescent="0.2">
      <c r="B6" s="12" t="s">
        <v>164</v>
      </c>
      <c r="C6" s="395">
        <v>12</v>
      </c>
    </row>
    <row r="7" spans="2:7" x14ac:dyDescent="0.2">
      <c r="B7" s="71" t="s">
        <v>165</v>
      </c>
      <c r="C7" s="469" t="s">
        <v>166</v>
      </c>
      <c r="E7" s="199" t="s">
        <v>167</v>
      </c>
    </row>
    <row r="8" spans="2:7" x14ac:dyDescent="0.2">
      <c r="B8" s="71" t="s">
        <v>168</v>
      </c>
      <c r="C8" s="469" t="s">
        <v>169</v>
      </c>
      <c r="E8" s="199"/>
    </row>
    <row r="9" spans="2:7" x14ac:dyDescent="0.2">
      <c r="B9" s="12" t="s">
        <v>170</v>
      </c>
      <c r="C9" s="222"/>
      <c r="F9" s="178" t="s">
        <v>192</v>
      </c>
    </row>
    <row r="10" spans="2:7" x14ac:dyDescent="0.2">
      <c r="B10" s="12">
        <v>1</v>
      </c>
      <c r="C10" s="470">
        <v>2899</v>
      </c>
      <c r="F10" s="481">
        <f>C28</f>
        <v>0</v>
      </c>
    </row>
    <row r="11" spans="2:7" x14ac:dyDescent="0.2">
      <c r="B11" s="12">
        <v>2</v>
      </c>
      <c r="C11" s="470">
        <v>2599</v>
      </c>
      <c r="F11" s="178" t="s">
        <v>209</v>
      </c>
    </row>
    <row r="12" spans="2:7" x14ac:dyDescent="0.2">
      <c r="B12" s="12">
        <v>3</v>
      </c>
      <c r="C12" s="470">
        <v>2899</v>
      </c>
      <c r="F12" s="98" cm="1">
        <f t="array" aca="1" ref="F12" ca="1">INDIRECT("'Q"&amp;C6&amp;"-Predict'!C165")</f>
        <v>1357</v>
      </c>
    </row>
    <row r="13" spans="2:7" x14ac:dyDescent="0.2">
      <c r="B13" s="14">
        <v>4</v>
      </c>
      <c r="C13" s="471">
        <v>2899</v>
      </c>
      <c r="F13" s="476" t="str">
        <f ca="1">IF(F12&gt;F10,"Need Adjustment","All Good")</f>
        <v>Need Adjustment</v>
      </c>
    </row>
    <row r="14" spans="2:7" x14ac:dyDescent="0.2">
      <c r="B14" s="9" t="s">
        <v>148</v>
      </c>
      <c r="C14" s="479" cm="1">
        <f t="array" aca="1" ref="C14" ca="1">INDIRECT("'Q"&amp;C6&amp;"-Predict'!C149")</f>
        <v>71587.376720000088</v>
      </c>
    </row>
    <row r="15" spans="2:7" x14ac:dyDescent="0.2">
      <c r="B15" s="14" t="s">
        <v>151</v>
      </c>
      <c r="C15" s="463" cm="1">
        <f t="array" aca="1" ref="C15" ca="1">INDIRECT("'Q"&amp;C6&amp;"-Predict'!C154")</f>
        <v>1998746.4822</v>
      </c>
    </row>
    <row r="17" spans="2:6" x14ac:dyDescent="0.2">
      <c r="B17" s="9" t="s">
        <v>171</v>
      </c>
      <c r="C17" s="345">
        <f ca="1">INDEX(Data_IncomeStatement!A1:M33,MATCH("PROFIT AND LOSS STATEMENT RESULTS", Data_IncomeStatement!A1:A33, 0),MATCH(VALUE(C6-1), Data_IncomeStatement!A1:M1, 0))</f>
        <v>1927159.1054799999</v>
      </c>
      <c r="D17" s="178"/>
      <c r="E17" s="199" t="s">
        <v>172</v>
      </c>
    </row>
    <row r="18" spans="2:6" x14ac:dyDescent="0.2">
      <c r="B18" s="12" t="s">
        <v>175</v>
      </c>
      <c r="C18" s="222">
        <v>0</v>
      </c>
      <c r="D18" s="103"/>
      <c r="E18" s="4" t="s">
        <v>177</v>
      </c>
    </row>
    <row r="19" spans="2:6" x14ac:dyDescent="0.2">
      <c r="B19" s="12" t="s">
        <v>41</v>
      </c>
      <c r="C19" s="222">
        <f>INDEX(Data_Stock!B2:N11,MATCH("Left Inventory",Data_Stock!B2:B11,0),MATCH(VALUE(C6-1),Data_Stock!B2:N2,0))</f>
        <v>90</v>
      </c>
      <c r="D19" s="103"/>
      <c r="E19" s="199" t="s">
        <v>172</v>
      </c>
    </row>
    <row r="20" spans="2:6" x14ac:dyDescent="0.2">
      <c r="B20" s="12" t="s">
        <v>42</v>
      </c>
      <c r="C20" s="222">
        <f>INDEX(Data_Stock!B2:N11,MATCH("Left",Data_Stock!B2:B11,0),MATCH(VALUE(C6-1),Data_Stock!B2:N2,0))</f>
        <v>1545</v>
      </c>
      <c r="D20" s="103"/>
      <c r="E20" s="199" t="s">
        <v>172</v>
      </c>
    </row>
    <row r="21" spans="2:6" x14ac:dyDescent="0.2">
      <c r="B21" s="14" t="s">
        <v>180</v>
      </c>
      <c r="C21" s="463">
        <f>IF(C8="Overtime",MIN((1560*C34+C19),(C19+(C20*C34))),MIN((1200*C34+C19),(C19+(C20*C34))))</f>
        <v>1573.2</v>
      </c>
      <c r="D21" s="476"/>
    </row>
    <row r="22" spans="2:6" x14ac:dyDescent="0.2">
      <c r="B22" s="9" t="s">
        <v>181</v>
      </c>
      <c r="C22" s="390">
        <f>C21</f>
        <v>1573.2</v>
      </c>
      <c r="D22" s="472"/>
      <c r="E22" s="4" t="s">
        <v>182</v>
      </c>
    </row>
    <row r="23" spans="2:6" x14ac:dyDescent="0.2">
      <c r="B23" s="67" t="str">
        <f>"-----------------------------------------------&gt;&gt;"</f>
        <v>-----------------------------------------------&gt;&gt;</v>
      </c>
      <c r="C23" s="222">
        <f>MIN(C22,C21)</f>
        <v>1573.2</v>
      </c>
      <c r="D23" s="473"/>
      <c r="E23" s="4" t="s">
        <v>183</v>
      </c>
    </row>
    <row r="24" spans="2:6" x14ac:dyDescent="0.2">
      <c r="B24" s="12">
        <v>1</v>
      </c>
      <c r="C24" s="222">
        <f>ROUNDDOWN($C$23*D24,0)</f>
        <v>471</v>
      </c>
      <c r="D24" s="474">
        <v>0.3</v>
      </c>
      <c r="E24" s="4" t="s">
        <v>185</v>
      </c>
    </row>
    <row r="25" spans="2:6" x14ac:dyDescent="0.2">
      <c r="B25" s="12">
        <v>2</v>
      </c>
      <c r="C25" s="222">
        <f t="shared" ref="C25:C26" si="0">ROUNDDOWN($C$23*D25,0)</f>
        <v>267</v>
      </c>
      <c r="D25" s="474">
        <v>0.17</v>
      </c>
      <c r="E25" s="4" t="s">
        <v>187</v>
      </c>
    </row>
    <row r="26" spans="2:6" x14ac:dyDescent="0.2">
      <c r="B26" s="12">
        <v>3</v>
      </c>
      <c r="C26" s="222">
        <f t="shared" si="0"/>
        <v>47</v>
      </c>
      <c r="D26" s="474">
        <f>1-D27-D25-D24</f>
        <v>2.9999999999999971E-2</v>
      </c>
    </row>
    <row r="27" spans="2:6" x14ac:dyDescent="0.2">
      <c r="B27" s="14">
        <v>4</v>
      </c>
      <c r="C27" s="222">
        <v>788</v>
      </c>
      <c r="D27" s="475">
        <v>0.5</v>
      </c>
      <c r="E27" s="4" t="s">
        <v>190</v>
      </c>
      <c r="F27" s="357">
        <f>C23-C24-C25-C26</f>
        <v>788.2</v>
      </c>
    </row>
    <row r="28" spans="2:6" x14ac:dyDescent="0.2">
      <c r="B28" s="9" t="s">
        <v>192</v>
      </c>
      <c r="C28" s="345"/>
      <c r="D28" s="178"/>
      <c r="E28" s="4" t="s">
        <v>211</v>
      </c>
    </row>
    <row r="29" spans="2:6" x14ac:dyDescent="0.2">
      <c r="B29" s="12">
        <v>1</v>
      </c>
      <c r="C29" s="222">
        <f>ROUNDDOWN(C24*D29,0)</f>
        <v>423</v>
      </c>
      <c r="D29" s="478">
        <v>0.9</v>
      </c>
      <c r="F29" s="302"/>
    </row>
    <row r="30" spans="2:6" x14ac:dyDescent="0.2">
      <c r="B30" s="12">
        <v>2</v>
      </c>
      <c r="C30" s="222">
        <f t="shared" ref="C30:C31" si="1">ROUNDDOWN(C25*D30,0)</f>
        <v>240</v>
      </c>
      <c r="D30" s="478">
        <v>0.9</v>
      </c>
      <c r="F30" s="302"/>
    </row>
    <row r="31" spans="2:6" x14ac:dyDescent="0.2">
      <c r="B31" s="12">
        <v>3</v>
      </c>
      <c r="C31" s="222">
        <f t="shared" si="1"/>
        <v>42</v>
      </c>
      <c r="D31" s="478">
        <v>0.9</v>
      </c>
      <c r="F31" s="302"/>
    </row>
    <row r="32" spans="2:6" x14ac:dyDescent="0.2">
      <c r="B32" s="14">
        <v>4</v>
      </c>
      <c r="C32" s="463">
        <f>ROUNDDOWN(C27*D32,0)</f>
        <v>709</v>
      </c>
      <c r="D32" s="478">
        <v>0.9</v>
      </c>
      <c r="F32" s="302"/>
    </row>
    <row r="33" spans="2:5" ht="17" customHeight="1" x14ac:dyDescent="0.2">
      <c r="B33" s="9" t="s">
        <v>197</v>
      </c>
      <c r="C33" s="345">
        <f>C23-C19</f>
        <v>1483.2</v>
      </c>
      <c r="D33" s="178"/>
      <c r="E33" s="4" t="s">
        <v>198</v>
      </c>
    </row>
    <row r="34" spans="2:5" ht="17" customHeight="1" x14ac:dyDescent="0.2">
      <c r="B34" s="12" t="s">
        <v>38</v>
      </c>
      <c r="C34" s="221">
        <v>0.96</v>
      </c>
      <c r="D34" s="103"/>
    </row>
    <row r="35" spans="2:5" ht="17" customHeight="1" x14ac:dyDescent="0.2">
      <c r="B35" s="14" t="s">
        <v>199</v>
      </c>
      <c r="C35" s="463">
        <f>ROUNDDOWN(C33*C34,0)</f>
        <v>1423</v>
      </c>
      <c r="D35" s="103"/>
    </row>
    <row r="36" spans="2:5" ht="17" customHeight="1" x14ac:dyDescent="0.2">
      <c r="B36" s="9" t="s">
        <v>200</v>
      </c>
      <c r="C36" s="390">
        <v>0</v>
      </c>
      <c r="D36" s="477"/>
    </row>
    <row r="37" spans="2:5" ht="17" customHeight="1" x14ac:dyDescent="0.2">
      <c r="B37" s="14" t="str">
        <f>"-------------------------------&gt;"</f>
        <v>-------------------------------&gt;</v>
      </c>
      <c r="C37" s="463">
        <f>IF(C7="Conservasive",1200-(C20-C35),C36)</f>
        <v>0</v>
      </c>
      <c r="D37" s="103"/>
      <c r="E37" s="4" t="s">
        <v>201</v>
      </c>
    </row>
    <row r="38" spans="2:5" x14ac:dyDescent="0.2">
      <c r="B38" s="71" t="s">
        <v>19</v>
      </c>
      <c r="C38" s="401">
        <v>9</v>
      </c>
      <c r="D38" s="103"/>
    </row>
    <row r="39" spans="2:5" x14ac:dyDescent="0.2">
      <c r="B39" s="71" t="s">
        <v>202</v>
      </c>
      <c r="C39" s="402">
        <v>0.06</v>
      </c>
      <c r="D39" s="103"/>
    </row>
    <row r="40" spans="2:5" x14ac:dyDescent="0.2">
      <c r="B40" s="9" t="s">
        <v>203</v>
      </c>
      <c r="C40" s="345" t="s">
        <v>212</v>
      </c>
      <c r="D40" s="103"/>
    </row>
    <row r="41" spans="2:5" x14ac:dyDescent="0.2">
      <c r="B41" s="12">
        <v>1</v>
      </c>
      <c r="C41" s="291">
        <v>7</v>
      </c>
      <c r="D41" s="103"/>
    </row>
    <row r="42" spans="2:5" x14ac:dyDescent="0.2">
      <c r="B42" s="12">
        <v>2</v>
      </c>
      <c r="C42" s="291">
        <v>10</v>
      </c>
      <c r="D42" s="103"/>
    </row>
    <row r="43" spans="2:5" x14ac:dyDescent="0.2">
      <c r="B43" s="12">
        <v>3</v>
      </c>
      <c r="C43" s="291">
        <v>1</v>
      </c>
      <c r="D43" s="103"/>
    </row>
    <row r="44" spans="2:5" x14ac:dyDescent="0.2">
      <c r="B44" s="14">
        <v>4</v>
      </c>
      <c r="C44" s="393">
        <v>8</v>
      </c>
      <c r="D44" s="103"/>
    </row>
    <row r="45" spans="2:5" x14ac:dyDescent="0.2">
      <c r="B45" s="9" t="s">
        <v>204</v>
      </c>
      <c r="C45" s="345"/>
      <c r="D45" s="103"/>
    </row>
    <row r="46" spans="2:5" x14ac:dyDescent="0.2">
      <c r="B46" s="12">
        <v>1</v>
      </c>
      <c r="C46" s="291">
        <v>0</v>
      </c>
      <c r="D46" s="103"/>
    </row>
    <row r="47" spans="2:5" x14ac:dyDescent="0.2">
      <c r="B47" s="12">
        <v>2</v>
      </c>
      <c r="C47" s="291">
        <v>0</v>
      </c>
      <c r="D47" s="103"/>
    </row>
    <row r="48" spans="2:5" x14ac:dyDescent="0.2">
      <c r="B48" s="12">
        <v>3</v>
      </c>
      <c r="C48" s="291">
        <v>0</v>
      </c>
      <c r="D48" s="103"/>
    </row>
    <row r="49" spans="2:5" x14ac:dyDescent="0.2">
      <c r="B49" s="14">
        <v>4</v>
      </c>
      <c r="C49" s="393">
        <v>0</v>
      </c>
      <c r="D49" s="103"/>
    </row>
    <row r="50" spans="2:5" x14ac:dyDescent="0.2">
      <c r="B50" s="9" t="s">
        <v>82</v>
      </c>
      <c r="C50" s="390">
        <v>5200</v>
      </c>
      <c r="D50" s="103"/>
    </row>
    <row r="51" spans="2:5" x14ac:dyDescent="0.2">
      <c r="B51" s="12" t="s">
        <v>93</v>
      </c>
      <c r="C51" s="291">
        <v>5</v>
      </c>
      <c r="D51" s="103"/>
    </row>
    <row r="52" spans="2:5" x14ac:dyDescent="0.2">
      <c r="B52" s="12" t="s">
        <v>205</v>
      </c>
      <c r="C52" s="291">
        <v>9</v>
      </c>
      <c r="D52" s="103"/>
    </row>
    <row r="53" spans="2:5" x14ac:dyDescent="0.2">
      <c r="B53" s="14" t="s">
        <v>206</v>
      </c>
      <c r="C53" s="393">
        <v>150000</v>
      </c>
      <c r="D53" s="98"/>
      <c r="E53" s="4" t="s">
        <v>207</v>
      </c>
    </row>
  </sheetData>
  <conditionalFormatting sqref="C14">
    <cfRule type="cellIs" dxfId="4" priority="1" operator="greaterThan">
      <formula>0</formula>
    </cfRule>
  </conditionalFormatting>
  <pageMargins left="0.7" right="0.7" top="0.75" bottom="0.75" header="0.3" footer="0.3"/>
  <pageSetup paperSize="9" orientation="portrait" horizontalDpi="0" verticalDpi="0"/>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425ABED0-47B4-B74C-A452-F10BC3F5BFC3}">
          <x14:formula1>
            <xm:f>Reference!$A$31:$A$32</xm:f>
          </x14:formula1>
          <xm:sqref>C8</xm:sqref>
        </x14:dataValidation>
        <x14:dataValidation type="list" allowBlank="1" showInputMessage="1" showErrorMessage="1" xr:uid="{94FB8620-0CC1-884E-834C-AF157F167E04}">
          <x14:formula1>
            <xm:f>Reference!$A$14:$A$26</xm:f>
          </x14:formula1>
          <xm:sqref>C6</xm:sqref>
        </x14:dataValidation>
        <x14:dataValidation type="list" allowBlank="1" showInputMessage="1" showErrorMessage="1" xr:uid="{0AF3753D-4014-EA4E-AD82-7BDB295A599C}">
          <x14:formula1>
            <xm:f>Reference!$A$28:$A$29</xm:f>
          </x14:formula1>
          <xm:sqref>C7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A77F-A5BD-784D-A41B-2CE254E76876}">
  <sheetPr>
    <tabColor theme="2" tint="-9.9978637043366805E-2"/>
  </sheetPr>
  <dimension ref="A1:V174"/>
  <sheetViews>
    <sheetView topLeftCell="A54" zoomScale="110" zoomScaleNormal="120" workbookViewId="0">
      <selection activeCell="C36" sqref="C36"/>
    </sheetView>
  </sheetViews>
  <sheetFormatPr baseColWidth="10" defaultColWidth="11" defaultRowHeight="16" x14ac:dyDescent="0.2"/>
  <cols>
    <col min="1" max="1" width="5.6640625" style="4" customWidth="1"/>
    <col min="2" max="2" width="33.33203125" bestFit="1" customWidth="1"/>
    <col min="3" max="3" width="14" bestFit="1" customWidth="1"/>
    <col min="4" max="4" width="17.83203125" bestFit="1" customWidth="1"/>
    <col min="5" max="5" width="19.5" customWidth="1"/>
    <col min="6" max="6" width="15.33203125" bestFit="1" customWidth="1"/>
    <col min="7" max="7" width="32.66406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178" t="s">
        <v>0</v>
      </c>
      <c r="C2" s="4"/>
      <c r="D2" s="4"/>
      <c r="E2" s="4"/>
      <c r="F2" s="4"/>
      <c r="G2" s="4"/>
      <c r="H2" s="4"/>
      <c r="I2" s="4"/>
      <c r="J2" s="4"/>
      <c r="K2" s="4"/>
      <c r="L2" s="4"/>
      <c r="M2" s="4"/>
      <c r="N2" s="4"/>
      <c r="O2" s="4"/>
      <c r="P2" s="4"/>
      <c r="Q2" s="4"/>
      <c r="R2" s="4"/>
      <c r="S2" s="4"/>
      <c r="T2" s="4"/>
      <c r="U2" s="4"/>
      <c r="V2" s="4"/>
    </row>
    <row r="3" spans="1:22" x14ac:dyDescent="0.2">
      <c r="B3" s="460">
        <v>11</v>
      </c>
      <c r="C3" s="4"/>
      <c r="D3" s="4"/>
      <c r="E3" s="4"/>
      <c r="F3" s="4"/>
      <c r="G3" s="4"/>
      <c r="H3" s="4"/>
      <c r="I3" s="4"/>
      <c r="J3" s="4"/>
      <c r="K3" s="4"/>
      <c r="L3" s="4"/>
      <c r="M3" s="4"/>
      <c r="N3" s="4"/>
      <c r="O3" s="4"/>
      <c r="P3" s="4"/>
      <c r="Q3" s="4"/>
      <c r="R3" s="4"/>
      <c r="S3" s="4"/>
      <c r="T3" s="4"/>
      <c r="U3" s="4"/>
      <c r="V3" s="4"/>
    </row>
    <row r="4" spans="1:22" s="4" customFormat="1" x14ac:dyDescent="0.2">
      <c r="B4" s="178" t="s">
        <v>1</v>
      </c>
    </row>
    <row r="5" spans="1:22" s="4" customFormat="1" x14ac:dyDescent="0.2">
      <c r="B5" s="460" t="s">
        <v>2</v>
      </c>
    </row>
    <row r="6" spans="1:22" s="4" customFormat="1" x14ac:dyDescent="0.2">
      <c r="B6" s="178" t="s">
        <v>3</v>
      </c>
    </row>
    <row r="7" spans="1:22" s="4" customFormat="1" x14ac:dyDescent="0.2">
      <c r="B7" s="461" t="str" cm="1">
        <f t="array" aca="1" ref="B7" ca="1">INDIRECT("'Input_Q"&amp;B3&amp;"-Predict'!C8")</f>
        <v>Overtime</v>
      </c>
    </row>
    <row r="8" spans="1:22" s="4" customFormat="1" x14ac:dyDescent="0.2"/>
    <row r="9" spans="1:22" s="4" customFormat="1" x14ac:dyDescent="0.2">
      <c r="B9" s="99" t="s">
        <v>4</v>
      </c>
    </row>
    <row r="10" spans="1:22" x14ac:dyDescent="0.2">
      <c r="B10" s="69" t="s">
        <v>5</v>
      </c>
      <c r="C10" s="4"/>
      <c r="D10" s="4"/>
      <c r="E10" s="4"/>
      <c r="F10" s="4"/>
      <c r="G10" s="4"/>
      <c r="H10" s="4"/>
      <c r="I10" s="4"/>
      <c r="J10" s="4"/>
      <c r="K10" s="4"/>
      <c r="L10" s="4"/>
      <c r="M10" s="4"/>
      <c r="N10" s="4"/>
      <c r="O10" s="4"/>
      <c r="P10" s="4"/>
      <c r="Q10" s="4"/>
      <c r="R10" s="4"/>
      <c r="S10" s="4"/>
      <c r="T10" s="4"/>
      <c r="U10" s="4"/>
      <c r="V10" s="4"/>
    </row>
    <row r="11" spans="1:22" x14ac:dyDescent="0.2">
      <c r="B11" s="268" t="s">
        <v>6</v>
      </c>
      <c r="C11" s="4"/>
      <c r="D11" s="4"/>
      <c r="E11" s="4"/>
      <c r="F11" s="4"/>
      <c r="G11" s="4"/>
      <c r="H11" s="4"/>
      <c r="I11" s="4"/>
      <c r="J11" s="4"/>
      <c r="K11" s="4"/>
      <c r="L11" s="4"/>
      <c r="M11" s="4"/>
      <c r="N11" s="4"/>
      <c r="O11" s="4"/>
      <c r="P11" s="4"/>
      <c r="Q11" s="4"/>
      <c r="R11" s="4"/>
      <c r="S11" s="4"/>
      <c r="T11" s="4"/>
      <c r="U11" s="4"/>
      <c r="V11" s="4"/>
    </row>
    <row r="12" spans="1:22" x14ac:dyDescent="0.2">
      <c r="B12" s="4"/>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 ca="1">F19*F20</f>
        <v>135000</v>
      </c>
      <c r="E18" s="576" t="s">
        <v>12</v>
      </c>
      <c r="F18" s="577"/>
      <c r="G18" s="578"/>
      <c r="I18" s="71" t="s">
        <v>13</v>
      </c>
      <c r="J18" s="72"/>
      <c r="K18" s="72" t="s">
        <v>14</v>
      </c>
      <c r="L18" s="72" t="s">
        <v>15</v>
      </c>
      <c r="M18" s="72" t="s">
        <v>16</v>
      </c>
      <c r="N18" s="73" t="s">
        <v>17</v>
      </c>
    </row>
    <row r="19" spans="2:22" s="4" customFormat="1" x14ac:dyDescent="0.2">
      <c r="B19" s="12" t="s">
        <v>18</v>
      </c>
      <c r="C19" s="217">
        <f ca="1">N23</f>
        <v>609634.74</v>
      </c>
      <c r="E19" s="284" t="s">
        <v>19</v>
      </c>
      <c r="F19" s="285">
        <v>15000</v>
      </c>
      <c r="G19" s="11" t="s">
        <v>20</v>
      </c>
      <c r="I19" s="12"/>
      <c r="J19" s="4" t="s">
        <v>21</v>
      </c>
      <c r="K19" s="4" t="s">
        <v>22</v>
      </c>
      <c r="L19" s="4">
        <f>VLOOKUP($K$19,$E$24:F59,2,FALSE)</f>
        <v>36</v>
      </c>
      <c r="M19" s="4">
        <f>L19*$F$25</f>
        <v>36</v>
      </c>
      <c r="N19" s="13">
        <f ca="1">M19*$F$24</f>
        <v>38376</v>
      </c>
    </row>
    <row r="20" spans="2:22" s="4" customFormat="1" x14ac:dyDescent="0.2">
      <c r="B20" s="12" t="s">
        <v>23</v>
      </c>
      <c r="C20" s="281">
        <f>C34*0.02*M24</f>
        <v>16559.001000000004</v>
      </c>
      <c r="E20" s="68"/>
      <c r="F20" s="76" cm="1">
        <f t="array" aca="1" ref="F20" ca="1">INDIRECT("'Input_Q"&amp;B3&amp;"-Predict'!C38")</f>
        <v>9</v>
      </c>
      <c r="G20" s="16"/>
      <c r="I20" s="12" t="s">
        <v>24</v>
      </c>
      <c r="J20" s="19" t="s">
        <v>25</v>
      </c>
      <c r="K20" s="4" t="s">
        <v>26</v>
      </c>
      <c r="L20" s="4">
        <f>VLOOKUP($K$20,$E$25:F60,2,FALSE)</f>
        <v>44.52</v>
      </c>
      <c r="M20" s="4">
        <f>L20*$F$28</f>
        <v>89.04</v>
      </c>
      <c r="N20" s="13">
        <f ca="1">M20*$F$24</f>
        <v>94916.64</v>
      </c>
    </row>
    <row r="21" spans="2:22" s="4" customFormat="1" x14ac:dyDescent="0.2">
      <c r="B21" s="14" t="s">
        <v>27</v>
      </c>
      <c r="C21" s="453">
        <v>280000</v>
      </c>
      <c r="E21" s="12" t="s">
        <v>28</v>
      </c>
      <c r="G21" s="103"/>
      <c r="I21" s="12"/>
      <c r="J21" s="20" t="s">
        <v>29</v>
      </c>
      <c r="K21" s="4" t="s">
        <v>30</v>
      </c>
      <c r="L21" s="4">
        <f>VLOOKUP($K$21,$E$26:F63,2,FALSE)</f>
        <v>187.20000000000002</v>
      </c>
      <c r="M21" s="4">
        <f>L21*$F$38</f>
        <v>374.40000000000003</v>
      </c>
      <c r="N21" s="13">
        <f ca="1">M21*$F$24</f>
        <v>399110.40000000002</v>
      </c>
      <c r="V21" s="19"/>
    </row>
    <row r="22" spans="2:22" s="4" customFormat="1" x14ac:dyDescent="0.2">
      <c r="B22" s="14"/>
      <c r="C22" s="278">
        <f ca="1">SUM(C17:C21)</f>
        <v>1041193.741</v>
      </c>
      <c r="E22" s="12" t="s">
        <v>31</v>
      </c>
      <c r="F22" s="214">
        <v>1300000</v>
      </c>
      <c r="G22" s="103"/>
      <c r="I22" s="12"/>
      <c r="J22" s="70" t="s">
        <v>32</v>
      </c>
      <c r="K22" s="4" t="s">
        <v>33</v>
      </c>
      <c r="L22" s="4">
        <f>VLOOKUP($K$22,$E$21:F60,2,FALSE)</f>
        <v>24.150000000000002</v>
      </c>
      <c r="M22" s="4">
        <f>L22*$F$51</f>
        <v>72.45</v>
      </c>
      <c r="N22" s="13">
        <f ca="1">M22*$F$24</f>
        <v>77231.7</v>
      </c>
      <c r="V22" s="20"/>
    </row>
    <row r="23" spans="2:22" s="4" customFormat="1" x14ac:dyDescent="0.2">
      <c r="E23" s="12" t="s">
        <v>34</v>
      </c>
      <c r="F23" s="214">
        <v>1500000</v>
      </c>
      <c r="G23" s="103"/>
      <c r="I23" s="71" t="s">
        <v>35</v>
      </c>
      <c r="J23" s="72"/>
      <c r="K23" s="72"/>
      <c r="L23" s="72"/>
      <c r="M23" s="72">
        <f>SUM(M19:M22)</f>
        <v>571.8900000000001</v>
      </c>
      <c r="N23" s="73">
        <f ca="1">SUM(N19:N22)</f>
        <v>609634.74</v>
      </c>
      <c r="V23" s="70"/>
    </row>
    <row r="24" spans="2:22" s="4" customFormat="1" x14ac:dyDescent="0.2">
      <c r="E24" s="14" t="s">
        <v>18</v>
      </c>
      <c r="F24" s="95" cm="1">
        <f t="array" aca="1" ref="F24" ca="1">INDIRECT("'Input_Q"&amp;B3&amp;"-Predict'!C36")</f>
        <v>1066</v>
      </c>
      <c r="G24" s="103" t="s">
        <v>36</v>
      </c>
      <c r="I24" s="14" t="s">
        <v>37</v>
      </c>
      <c r="J24" s="15"/>
      <c r="K24" s="15"/>
      <c r="L24" s="15"/>
      <c r="M24" s="15">
        <f>M23-M19</f>
        <v>535.8900000000001</v>
      </c>
      <c r="N24" s="16">
        <f ca="1">M24*F24</f>
        <v>571258.74000000011</v>
      </c>
    </row>
    <row r="25" spans="2:22" s="4" customFormat="1" x14ac:dyDescent="0.2">
      <c r="B25" s="71" t="s">
        <v>38</v>
      </c>
      <c r="C25" s="454" cm="1">
        <f t="array" aca="1" ref="C25" ca="1">IF(B5="Validation",'Q11-Validation'!C30/'Q11-Validation'!C29,INDIRECT("'Input_Q"&amp;B3&amp;"-Predict'!C34"))</f>
        <v>1.0102831196581197</v>
      </c>
      <c r="E25" s="9" t="s">
        <v>21</v>
      </c>
      <c r="F25" s="10">
        <v>1</v>
      </c>
      <c r="G25" s="103" t="s">
        <v>39</v>
      </c>
    </row>
    <row r="26" spans="2:22" s="4" customFormat="1" x14ac:dyDescent="0.2">
      <c r="E26" s="12" t="s">
        <v>40</v>
      </c>
      <c r="F26" s="214">
        <v>20</v>
      </c>
      <c r="G26" s="103"/>
    </row>
    <row r="27" spans="2:22" s="4" customFormat="1" x14ac:dyDescent="0.2">
      <c r="B27" s="9" t="s">
        <v>41</v>
      </c>
      <c r="C27" s="289">
        <f>INDEX(Data_Stock!B2:N11,MATCH("Left Inventory",Data_Stock!B2:B11,0),MATCH(VALUE(B3-1),Data_Stock!B2:N2,0))</f>
        <v>427</v>
      </c>
      <c r="E27" s="14" t="s">
        <v>22</v>
      </c>
      <c r="F27" s="283">
        <v>36</v>
      </c>
      <c r="G27" s="98"/>
    </row>
    <row r="28" spans="2:22" s="4" customFormat="1" x14ac:dyDescent="0.2">
      <c r="B28" s="12" t="s">
        <v>42</v>
      </c>
      <c r="C28" s="290">
        <f>INDEX(Data_Stock!B2:N11,MATCH("Left",Data_Stock!B2:B11,0),MATCH(VALUE(B3-1),Data_Stock!B2:N2,0))</f>
        <v>1992</v>
      </c>
      <c r="E28" s="9" t="s">
        <v>25</v>
      </c>
      <c r="F28" s="11">
        <v>2</v>
      </c>
      <c r="G28" s="103" t="s">
        <v>39</v>
      </c>
      <c r="P28" s="214"/>
      <c r="V28" s="19"/>
    </row>
    <row r="29" spans="2:22" s="4" customFormat="1" x14ac:dyDescent="0.2">
      <c r="B29" s="12" t="s">
        <v>43</v>
      </c>
      <c r="C29" s="291" cm="1">
        <f t="array" aca="1" ref="C29" ca="1">INDIRECT("'Input_Q"&amp;B3&amp;"-Predict'!C33")</f>
        <v>1497.6</v>
      </c>
      <c r="E29" s="12" t="s">
        <v>44</v>
      </c>
      <c r="F29" s="13">
        <f>(1+F31)*F30</f>
        <v>43.2</v>
      </c>
      <c r="G29" s="103"/>
      <c r="V29" s="20"/>
    </row>
    <row r="30" spans="2:22" s="4" customFormat="1" x14ac:dyDescent="0.2">
      <c r="B30" s="12" t="str">
        <f>IF(B5="Validation","Actual Production","Predict Production")</f>
        <v>Actual Production</v>
      </c>
      <c r="C30" s="292">
        <f>INDEX(Data_Stock!B2:N11,MATCH("Produced",Data_Stock!B2:B11,0),MATCH(VALUE(B3),Data_Stock!B2:N2,0))</f>
        <v>1513</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 ca="1">F24</f>
        <v>1066</v>
      </c>
      <c r="E33" s="67" t="s">
        <v>45</v>
      </c>
      <c r="F33" s="13">
        <v>42</v>
      </c>
      <c r="G33" s="103"/>
    </row>
    <row r="34" spans="2:14" s="4" customFormat="1" x14ac:dyDescent="0.2">
      <c r="B34" s="12" t="s">
        <v>49</v>
      </c>
      <c r="C34" s="222">
        <f>IF(B5="Validation",INDEX(Data_Stock!B2:N11,MATCH("Left",Data_Stock!B2:B11,0),MATCH('Q11-Validation'!B3,Data_Stock!B2:N2,0)),C28+F24-C30)</f>
        <v>1545</v>
      </c>
      <c r="E34" s="67" t="s">
        <v>46</v>
      </c>
      <c r="F34" s="13">
        <v>0.06</v>
      </c>
      <c r="G34" s="103"/>
    </row>
    <row r="35" spans="2:14" s="4" customFormat="1" x14ac:dyDescent="0.2">
      <c r="B35" s="14" t="s">
        <v>50</v>
      </c>
      <c r="C35" s="288">
        <f>C34*M24</f>
        <v>827950.05000000016</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 ca="1">SUMPRODUCT(F73:I73,F71:I71)</f>
        <v>5265050</v>
      </c>
    </row>
    <row r="69" spans="2:11" s="4" customFormat="1" x14ac:dyDescent="0.2">
      <c r="B69" s="12" t="s">
        <v>61</v>
      </c>
      <c r="C69" s="221">
        <f ca="1">J75</f>
        <v>427301.22</v>
      </c>
      <c r="E69" s="9" t="str">
        <f>IF(B5="Validation","Actual S.C.R","Predict S.C.R")</f>
        <v>Actual S.C.R</v>
      </c>
      <c r="F69" s="311" cm="1">
        <f t="array" aca="1" ref="F69" ca="1">IF($B$5="Validation",F73/F72,INDIRECT("'Input_Q"&amp;$B$3&amp;"-Predict'!D29"))</f>
        <v>1</v>
      </c>
      <c r="G69" s="311" cm="1">
        <f t="array" aca="1" ref="G69" ca="1">IF($B$5="Validation",G73/G72,INDIRECT("'Input_Q"&amp;$B$3&amp;"-Predict'!D30"))</f>
        <v>1</v>
      </c>
      <c r="H69" s="311" cm="1">
        <f t="array" aca="1" ref="H69" ca="1">IF($B$5="Validation",H73/H72,INDIRECT("'Input_Q"&amp;$B$3&amp;"-Predict'!D31"))</f>
        <v>1</v>
      </c>
      <c r="I69" s="311" cm="1">
        <f t="array" aca="1" ref="I69" ca="1">IF($B$5="Validation",I73/I72,INDIRECT("'Input_Q"&amp;$B$3&amp;"-Predict'!D32"))</f>
        <v>0.92219917012448138</v>
      </c>
      <c r="J69" s="11"/>
    </row>
    <row r="70" spans="2:11" s="4" customFormat="1" x14ac:dyDescent="0.2">
      <c r="B70" s="12" t="s">
        <v>62</v>
      </c>
      <c r="C70" s="318">
        <f ca="1">C68*C74</f>
        <v>315903</v>
      </c>
      <c r="E70" s="297" t="s">
        <v>63</v>
      </c>
      <c r="F70" s="298">
        <v>1</v>
      </c>
      <c r="G70" s="298">
        <v>2</v>
      </c>
      <c r="H70" s="298">
        <v>3</v>
      </c>
      <c r="I70" s="299">
        <v>4</v>
      </c>
      <c r="J70" s="299" t="s">
        <v>64</v>
      </c>
    </row>
    <row r="71" spans="2:11" s="4" customFormat="1" x14ac:dyDescent="0.2">
      <c r="B71" s="14"/>
      <c r="C71" s="319">
        <f ca="1">SUM(C68:C70)</f>
        <v>6008254.2199999997</v>
      </c>
      <c r="E71" s="300" t="s">
        <v>65</v>
      </c>
      <c r="F71" s="358" cm="1">
        <f t="array" aca="1" ref="F71" ca="1">INDIRECT("'Input_Q"&amp;$B$3&amp;"-Predict'!C10")</f>
        <v>2899</v>
      </c>
      <c r="G71" s="358" cm="1">
        <f t="array" aca="1" ref="G71" ca="1">INDIRECT("'Input_Q"&amp;$B$3&amp;"-Predict'!C11")</f>
        <v>2599</v>
      </c>
      <c r="H71" s="358" cm="1">
        <f t="array" aca="1" ref="H71" ca="1">INDIRECT("'Input_Q"&amp;$B$3&amp;"-Predict'!C12")</f>
        <v>2899</v>
      </c>
      <c r="I71" s="358" cm="1">
        <f t="array" aca="1" ref="I71" ca="1">INDIRECT("'Input_Q"&amp;$B$3&amp;"-Predict'!C13")</f>
        <v>2899</v>
      </c>
      <c r="J71" s="301" t="s">
        <v>66</v>
      </c>
      <c r="K71" s="363"/>
    </row>
    <row r="72" spans="2:11" s="4" customFormat="1" x14ac:dyDescent="0.2">
      <c r="E72" s="300" t="s">
        <v>67</v>
      </c>
      <c r="F72" s="272" cm="1">
        <f t="array" aca="1" ref="F72" ca="1">INDIRECT("'Input_Q"&amp;$B$3&amp;"-Predict'!C24")</f>
        <v>577</v>
      </c>
      <c r="G72" s="272" cm="1">
        <f t="array" aca="1" ref="G72" ca="1">INDIRECT("'Input_Q"&amp;$B$3&amp;"-Predict'!C25")</f>
        <v>327</v>
      </c>
      <c r="H72" s="272" cm="1">
        <f t="array" aca="1" ref="H72" ca="1">INDIRECT("'Input_Q"&amp;$B$3&amp;"-Predict'!C26")</f>
        <v>57</v>
      </c>
      <c r="I72" s="272" cm="1">
        <f t="array" aca="1" ref="I72" ca="1">INDIRECT("'Input_Q"&amp;$B$3&amp;"-Predict'!C27")</f>
        <v>964</v>
      </c>
      <c r="J72" s="303">
        <f ca="1">SUM(F72:I72)</f>
        <v>1925</v>
      </c>
    </row>
    <row r="73" spans="2:11" s="4" customFormat="1" x14ac:dyDescent="0.2">
      <c r="D73" s="199"/>
      <c r="E73" s="300" t="str">
        <f>IF(B5="Validation","Actual Sale","Predict Sale")</f>
        <v>Actual Sale</v>
      </c>
      <c r="F73" s="353">
        <f>IF($E$73="Actual Sale",INDEX(Data_Sales!$B$3:$N$8,MATCH(F70,Data_Sales!$B$3:$B$8,0),MATCH($B$3,Data_Sales!$B$3:$N$3,0)),ROUNDDOWN(F69*F72,0))</f>
        <v>577</v>
      </c>
      <c r="G73" s="353">
        <f>IF($E$73="Actual Sale",INDEX(Data_Sales!$B$3:$N$8,MATCH(G70,Data_Sales!$B$3:$B$8,0),MATCH($B$3,Data_Sales!$B$3:$N$3,0)),ROUNDDOWN(G69*G72,0))</f>
        <v>327</v>
      </c>
      <c r="H73" s="353">
        <f>IF($E$73="Actual Sale",INDEX(Data_Sales!$B$3:$N$8,MATCH(H70,Data_Sales!$B$3:$B$8,0),MATCH($B$3,Data_Sales!$B$3:$N$3,0)),ROUNDDOWN(H69*H72,0))</f>
        <v>57</v>
      </c>
      <c r="I73" s="353">
        <f>IF($E$73="Actual Sale",INDEX(Data_Sales!$B$3:$N$8,MATCH(I70,Data_Sales!$B$3:$B$8,0),MATCH($B$3,Data_Sales!$B$3:$N$3,0)),ROUNDDOWN(I69*I72,0))</f>
        <v>889</v>
      </c>
      <c r="J73" s="383">
        <f>SUM(F73:I73)</f>
        <v>1850</v>
      </c>
    </row>
    <row r="74" spans="2:11" s="4" customFormat="1" x14ac:dyDescent="0.2">
      <c r="B74" s="9" t="s">
        <v>68</v>
      </c>
      <c r="C74" s="406" cm="1">
        <f t="array" aca="1" ref="C74" ca="1">INDIRECT("'Input_Q"&amp;B3&amp;"-Predict'!C39")</f>
        <v>0.06</v>
      </c>
      <c r="D74" s="199"/>
      <c r="E74" s="300" t="s">
        <v>69</v>
      </c>
      <c r="F74" s="256" cm="1">
        <f t="array" aca="1" ref="F74" ca="1">INDIRECT("'Input_Q"&amp;$B$3&amp;"-Predict'!C41")</f>
        <v>7</v>
      </c>
      <c r="G74" s="256" cm="1">
        <f t="array" aca="1" ref="G74" ca="1">INDIRECT("'Input_Q"&amp;$B$3&amp;"-Predict'!C42")</f>
        <v>10</v>
      </c>
      <c r="H74" s="256" cm="1">
        <f t="array" aca="1" ref="H74" ca="1">INDIRECT("'Input_Q"&amp;$B$3&amp;"-Predict'!C43")</f>
        <v>1</v>
      </c>
      <c r="I74" s="256" cm="1">
        <f t="array" aca="1" ref="I74" ca="1">INDIRECT("'Input_Q"&amp;$B$3&amp;"-Predict'!C44")</f>
        <v>8</v>
      </c>
      <c r="J74" s="301"/>
    </row>
    <row r="75" spans="2:11" s="4" customFormat="1" x14ac:dyDescent="0.2">
      <c r="B75" s="12" t="s">
        <v>70</v>
      </c>
      <c r="C75" s="221">
        <f ca="1">J72</f>
        <v>1925</v>
      </c>
      <c r="D75" s="357"/>
      <c r="E75" s="300" t="s">
        <v>71</v>
      </c>
      <c r="F75" s="312">
        <f ca="1">F72*F71*F74/100</f>
        <v>117090.61</v>
      </c>
      <c r="G75" s="312">
        <f ca="1">G72*G71*G74/100</f>
        <v>84987.3</v>
      </c>
      <c r="H75" s="312">
        <f ca="1">H72*H71*H74/100</f>
        <v>1652.43</v>
      </c>
      <c r="I75" s="304">
        <f ca="1">I72*I71*I74/100</f>
        <v>223570.88</v>
      </c>
      <c r="J75" s="304">
        <f ca="1">SUM(F75:I75)</f>
        <v>427301.22</v>
      </c>
    </row>
    <row r="76" spans="2:11" s="4" customFormat="1" x14ac:dyDescent="0.2">
      <c r="B76" s="12" t="s">
        <v>72</v>
      </c>
      <c r="C76" s="221">
        <f>J73</f>
        <v>1850</v>
      </c>
      <c r="D76" s="199"/>
      <c r="E76" s="300" t="s">
        <v>73</v>
      </c>
      <c r="F76" s="256" cm="1">
        <f t="array" aca="1" ref="F76" ca="1">INDIRECT("'Input_Q"&amp;$B$3&amp;"-Predict'!C46")</f>
        <v>0</v>
      </c>
      <c r="G76" s="256" cm="1">
        <f t="array" aca="1" ref="G76" ca="1">INDIRECT("'Input_Q"&amp;$B$3&amp;"-Predict'!C47")</f>
        <v>0</v>
      </c>
      <c r="H76" s="256" cm="1">
        <f t="array" aca="1" ref="H76" ca="1">INDIRECT("'Input_Q"&amp;$B$3&amp;"-Predict'!C48")</f>
        <v>0</v>
      </c>
      <c r="I76" s="256" cm="1">
        <f t="array" aca="1" ref="I76" ca="1">INDIRECT("'Input_Q"&amp;$B$3&amp;"-Predict'!C49")</f>
        <v>0</v>
      </c>
      <c r="J76" s="301" t="s">
        <v>66</v>
      </c>
    </row>
    <row r="77" spans="2:11" s="4" customFormat="1" x14ac:dyDescent="0.2">
      <c r="B77" s="14" t="s">
        <v>74</v>
      </c>
      <c r="C77" s="319">
        <f ca="1">C75-C76</f>
        <v>75</v>
      </c>
      <c r="D77" s="199"/>
      <c r="E77" s="305" t="s">
        <v>75</v>
      </c>
      <c r="F77" s="306">
        <f ca="1">INDEX(Data_EmployeeNumber!$A$4:$E$16,MATCH('Q11-Validation'!$B$3-1,Data_EmployeeNumber!$A$4:$A$16,0),MATCH('Q11-Validation'!F70,Data_EmployeeNumber!$A$4:$E$4,0))+'Q11-Validation'!F76</f>
        <v>3</v>
      </c>
      <c r="G77" s="306">
        <f ca="1">INDEX(Data_EmployeeNumber!$A$4:$E$16,MATCH('Q11-Validation'!$B$3-1,Data_EmployeeNumber!$A$4:$A$16,0),MATCH('Q11-Validation'!G70,Data_EmployeeNumber!$A$4:$E$4,0))+'Q11-Validation'!G76</f>
        <v>3</v>
      </c>
      <c r="H77" s="306">
        <f ca="1">INDEX(Data_EmployeeNumber!$A$4:$E$16,MATCH('Q11-Validation'!$B$3-1,Data_EmployeeNumber!$A$4:$A$16,0),MATCH('Q11-Validation'!H70,Data_EmployeeNumber!$A$4:$E$4,0))+'Q11-Validation'!H76</f>
        <v>1</v>
      </c>
      <c r="I77" s="306">
        <f ca="1">INDEX(Data_EmployeeNumber!$A$4:$E$16,MATCH('Q11-Validation'!$B$3-1,Data_EmployeeNumber!$A$4:$A$16,0),MATCH('Q11-Validation'!I70,Data_EmployeeNumber!$A$4:$E$4,0))+'Q11-Validation'!I76</f>
        <v>4</v>
      </c>
      <c r="J77" s="307">
        <f ca="1">SUM(F77:I77)</f>
        <v>11</v>
      </c>
    </row>
    <row r="78" spans="2:11" s="4" customFormat="1" x14ac:dyDescent="0.2">
      <c r="E78" s="300" t="s">
        <v>76</v>
      </c>
      <c r="F78" s="296"/>
      <c r="G78" s="296"/>
      <c r="H78" s="296"/>
      <c r="I78" s="301"/>
      <c r="J78" s="455" t="s">
        <v>77</v>
      </c>
    </row>
    <row r="79" spans="2:11" s="4" customFormat="1" x14ac:dyDescent="0.2">
      <c r="E79" s="305" t="s">
        <v>78</v>
      </c>
      <c r="F79" s="308"/>
      <c r="G79" s="308"/>
      <c r="H79" s="308"/>
      <c r="I79" s="317"/>
      <c r="J79" s="456" t="s">
        <v>77</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 ca="1">I98</f>
        <v>304200</v>
      </c>
      <c r="D92" s="214"/>
      <c r="E92" s="71" t="s">
        <v>82</v>
      </c>
      <c r="F92" s="329" cm="1">
        <f t="array" aca="1" ref="F92" ca="1">INDIRECT("'Input_Q"&amp;$B$3&amp;"-Predict'!C50")</f>
        <v>5200</v>
      </c>
      <c r="H92" s="71" t="s">
        <v>82</v>
      </c>
      <c r="I92" s="72" t="s">
        <v>83</v>
      </c>
      <c r="J92" s="72" t="s">
        <v>84</v>
      </c>
      <c r="K92" s="72" t="s">
        <v>85</v>
      </c>
      <c r="L92" s="73" t="s">
        <v>86</v>
      </c>
    </row>
    <row r="93" spans="1:12" s="4" customFormat="1" x14ac:dyDescent="0.2">
      <c r="B93" s="12" t="s">
        <v>87</v>
      </c>
      <c r="C93" s="217">
        <f ca="1">K103</f>
        <v>50000</v>
      </c>
      <c r="D93" s="214"/>
      <c r="H93" s="12" t="s">
        <v>88</v>
      </c>
      <c r="I93" s="214">
        <f ca="1">$F$92*K93</f>
        <v>26000</v>
      </c>
      <c r="J93" s="4">
        <v>1</v>
      </c>
      <c r="K93" s="4">
        <v>5</v>
      </c>
      <c r="L93" s="13">
        <f>J93*K93</f>
        <v>5</v>
      </c>
    </row>
    <row r="94" spans="1:12" s="4" customFormat="1" x14ac:dyDescent="0.2">
      <c r="B94" s="12" t="s">
        <v>89</v>
      </c>
      <c r="C94" s="217">
        <f ca="1">K104</f>
        <v>18000</v>
      </c>
      <c r="D94" s="321"/>
      <c r="E94" s="71" t="s">
        <v>90</v>
      </c>
      <c r="F94" s="73"/>
      <c r="H94" s="12" t="s">
        <v>91</v>
      </c>
      <c r="I94" s="214">
        <f ca="1">$F$92*K94</f>
        <v>5200</v>
      </c>
      <c r="J94" s="4">
        <v>35</v>
      </c>
      <c r="K94" s="4">
        <v>1</v>
      </c>
      <c r="L94" s="13">
        <f>J94*K94</f>
        <v>35</v>
      </c>
    </row>
    <row r="95" spans="1:12" s="4" customFormat="1" x14ac:dyDescent="0.2">
      <c r="B95" s="12" t="s">
        <v>92</v>
      </c>
      <c r="C95" s="217">
        <f ca="1">K105</f>
        <v>47000</v>
      </c>
      <c r="E95" s="12" t="s">
        <v>93</v>
      </c>
      <c r="F95" s="327">
        <v>10000</v>
      </c>
      <c r="H95" s="12" t="s">
        <v>94</v>
      </c>
      <c r="I95" s="214">
        <f ca="1">$F$92*K95</f>
        <v>13000</v>
      </c>
      <c r="J95" s="4">
        <v>3</v>
      </c>
      <c r="K95" s="4">
        <v>2.5</v>
      </c>
      <c r="L95" s="13">
        <f>J95*K95</f>
        <v>7.5</v>
      </c>
    </row>
    <row r="96" spans="1:12" s="4" customFormat="1" x14ac:dyDescent="0.2">
      <c r="B96" s="71"/>
      <c r="C96" s="324">
        <f ca="1">SUM(C92:C95)</f>
        <v>419200</v>
      </c>
      <c r="E96" s="12" t="s">
        <v>95</v>
      </c>
      <c r="F96" s="194" cm="1">
        <f t="array" aca="1" ref="F96" ca="1">INDIRECT("'Input_Q"&amp;$B$3&amp;"-Predict'!C51")</f>
        <v>5</v>
      </c>
      <c r="H96" s="12" t="s">
        <v>96</v>
      </c>
      <c r="I96" s="214">
        <f ca="1">$F$92*K96</f>
        <v>5200</v>
      </c>
      <c r="J96" s="4">
        <f ca="1">J77</f>
        <v>11</v>
      </c>
      <c r="K96" s="4">
        <v>1</v>
      </c>
      <c r="L96" s="13">
        <f ca="1">J96*K96</f>
        <v>11</v>
      </c>
    </row>
    <row r="97" spans="1:12" s="4" customFormat="1" x14ac:dyDescent="0.2">
      <c r="E97" s="12" t="s">
        <v>97</v>
      </c>
      <c r="F97" s="217">
        <v>2000</v>
      </c>
      <c r="H97" s="12" t="s">
        <v>64</v>
      </c>
      <c r="I97" s="4" t="s">
        <v>66</v>
      </c>
      <c r="J97" s="4">
        <f ca="1">SUM(J93:J96)</f>
        <v>50</v>
      </c>
      <c r="K97" s="4" t="s">
        <v>66</v>
      </c>
      <c r="L97" s="13">
        <f ca="1">SUM(L93:L96)</f>
        <v>58.5</v>
      </c>
    </row>
    <row r="98" spans="1:12" s="4" customFormat="1" x14ac:dyDescent="0.2">
      <c r="B98" s="71" t="s">
        <v>98</v>
      </c>
      <c r="C98" s="73"/>
      <c r="E98" s="14" t="s">
        <v>95</v>
      </c>
      <c r="F98" s="76" cm="1">
        <f t="array" aca="1" ref="F98" ca="1">INDIRECT("'Input_Q"&amp;$B$3&amp;"-Predict'!C52")</f>
        <v>9</v>
      </c>
      <c r="H98" s="14" t="s">
        <v>99</v>
      </c>
      <c r="I98" s="322">
        <f ca="1">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 ca="1">F92</f>
        <v>5200</v>
      </c>
      <c r="J102" s="4">
        <f ca="1">L97</f>
        <v>58.5</v>
      </c>
      <c r="K102" s="217">
        <f ca="1">I102*J102</f>
        <v>304200</v>
      </c>
    </row>
    <row r="103" spans="1:12" s="4" customFormat="1" x14ac:dyDescent="0.2">
      <c r="E103" s="12" t="s">
        <v>106</v>
      </c>
      <c r="F103" s="217">
        <v>175</v>
      </c>
      <c r="H103" s="12" t="s">
        <v>93</v>
      </c>
      <c r="I103" s="214">
        <f>F95</f>
        <v>10000</v>
      </c>
      <c r="J103" s="4">
        <f ca="1">F96</f>
        <v>5</v>
      </c>
      <c r="K103" s="217">
        <f ca="1">F95*J103</f>
        <v>50000</v>
      </c>
    </row>
    <row r="104" spans="1:12" s="4" customFormat="1" ht="17" customHeight="1" x14ac:dyDescent="0.2">
      <c r="E104" s="12" t="s">
        <v>107</v>
      </c>
      <c r="F104" s="217">
        <v>400</v>
      </c>
      <c r="H104" s="12" t="s">
        <v>97</v>
      </c>
      <c r="I104" s="214">
        <f>F97</f>
        <v>2000</v>
      </c>
      <c r="J104" s="4">
        <f ca="1">F98</f>
        <v>9</v>
      </c>
      <c r="K104" s="217">
        <f ca="1">F97*J104</f>
        <v>18000</v>
      </c>
    </row>
    <row r="105" spans="1:12" s="4" customFormat="1" x14ac:dyDescent="0.2">
      <c r="E105" s="12" t="s">
        <v>108</v>
      </c>
      <c r="F105" s="217">
        <v>280</v>
      </c>
      <c r="H105" s="12" t="s">
        <v>109</v>
      </c>
      <c r="I105" s="214">
        <f>F102+F106+F107+F108</f>
        <v>940</v>
      </c>
      <c r="J105" s="4">
        <f ca="1">J97</f>
        <v>50</v>
      </c>
      <c r="K105" s="217">
        <f ca="1">I105*J105</f>
        <v>47000</v>
      </c>
    </row>
    <row r="106" spans="1:12" s="4" customFormat="1" x14ac:dyDescent="0.2">
      <c r="E106" s="325" t="s">
        <v>110</v>
      </c>
      <c r="F106" s="217">
        <v>350</v>
      </c>
      <c r="H106" s="14"/>
      <c r="I106" s="15"/>
      <c r="J106" s="15"/>
      <c r="K106" s="278">
        <f ca="1">SUM(K102:K105)</f>
        <v>419200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457" t="s">
        <v>114</v>
      </c>
      <c r="C113" s="458">
        <v>0</v>
      </c>
    </row>
    <row r="114" spans="1:22" s="4" customFormat="1" x14ac:dyDescent="0.2">
      <c r="B114" s="275" t="s">
        <v>115</v>
      </c>
      <c r="C114" s="459">
        <v>0</v>
      </c>
    </row>
    <row r="115" spans="1:22" s="4" customFormat="1" x14ac:dyDescent="0.2">
      <c r="B115" s="275" t="s">
        <v>116</v>
      </c>
      <c r="C115" s="459">
        <f>C113*C114</f>
        <v>0</v>
      </c>
    </row>
    <row r="116" spans="1:22" s="4" customFormat="1" x14ac:dyDescent="0.2">
      <c r="B116" s="14" t="s">
        <v>117</v>
      </c>
      <c r="C116" s="76" cm="1">
        <f t="array" aca="1" ref="C116" ca="1">INDIRECT("'Input_Q"&amp;$B$3&amp;"-Predict'!C53")</f>
        <v>80000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118</v>
      </c>
    </row>
    <row r="121" spans="1:22" s="4" customFormat="1" x14ac:dyDescent="0.2"/>
    <row r="122" spans="1:22" s="4" customFormat="1" x14ac:dyDescent="0.2">
      <c r="B122" s="4" t="s">
        <v>119</v>
      </c>
    </row>
    <row r="123" spans="1:22" s="4" customFormat="1" x14ac:dyDescent="0.2">
      <c r="B123" s="9" t="s">
        <v>60</v>
      </c>
      <c r="C123" s="334">
        <f ca="1">IFERROR(VLOOKUP(B123,$B$14:$C$121,2,FALSE),0)</f>
        <v>5265050</v>
      </c>
      <c r="D123" s="286"/>
      <c r="E123" s="286"/>
    </row>
    <row r="124" spans="1:22" s="4" customFormat="1" x14ac:dyDescent="0.2">
      <c r="B124" s="275" t="s">
        <v>120</v>
      </c>
      <c r="C124" s="366">
        <f>IF(D124="Match",(C74+0.125)*C123+J73*M23,E124)</f>
        <v>1965430.76</v>
      </c>
      <c r="D124" s="302" t="s">
        <v>297</v>
      </c>
      <c r="E124" s="268">
        <v>1965430.76</v>
      </c>
      <c r="F124" s="9"/>
      <c r="G124" s="9" t="s">
        <v>122</v>
      </c>
      <c r="H124" s="331"/>
      <c r="I124" s="10">
        <f>H124/$H$128</f>
        <v>0</v>
      </c>
      <c r="J124" s="11"/>
    </row>
    <row r="125" spans="1:22" s="4" customFormat="1" x14ac:dyDescent="0.2">
      <c r="B125" s="12" t="s">
        <v>123</v>
      </c>
      <c r="C125" s="336">
        <f ca="1">C123-C124</f>
        <v>3299619.24</v>
      </c>
      <c r="E125" s="302"/>
      <c r="F125" s="12"/>
      <c r="G125" s="12" t="s">
        <v>124</v>
      </c>
      <c r="H125" s="279">
        <f ca="1">SUMIF(D127:D139,"FC",C127:C139)</f>
        <v>1895260.2209999999</v>
      </c>
      <c r="I125" s="4">
        <f ca="1">H125/$H$128</f>
        <v>1024.4649843243242</v>
      </c>
      <c r="J125" s="13"/>
    </row>
    <row r="126" spans="1:22" s="4" customFormat="1" x14ac:dyDescent="0.2">
      <c r="B126" s="12" t="s">
        <v>125</v>
      </c>
      <c r="C126" s="336"/>
      <c r="F126" s="12"/>
      <c r="G126" s="12" t="s">
        <v>120</v>
      </c>
      <c r="H126" s="279">
        <f>C124</f>
        <v>1965430.76</v>
      </c>
      <c r="I126" s="4">
        <f>H126/$H$128</f>
        <v>1062.3950054054053</v>
      </c>
      <c r="J126" s="13"/>
    </row>
    <row r="127" spans="1:22" s="4" customFormat="1" x14ac:dyDescent="0.2">
      <c r="B127" s="12" t="s">
        <v>126</v>
      </c>
      <c r="C127" s="336">
        <f ca="1">IF(B7="Overtime",560000,280000)</f>
        <v>560000</v>
      </c>
      <c r="D127" s="4" t="s">
        <v>124</v>
      </c>
      <c r="F127" s="12"/>
      <c r="G127" s="12" t="s">
        <v>127</v>
      </c>
      <c r="H127" s="279">
        <f ca="1">SUM(H124:H126)</f>
        <v>3860690.9809999997</v>
      </c>
      <c r="J127" s="13"/>
    </row>
    <row r="128" spans="1:22" s="4" customFormat="1" x14ac:dyDescent="0.2">
      <c r="B128" s="12" t="s">
        <v>81</v>
      </c>
      <c r="C128" s="336">
        <f ca="1">IF(B7="Overtime",VALUE(IFERROR(VLOOKUP(B128,$B$14:$C$121,2,FALSE),0))*2,VALUE(IFERROR(VLOOKUP(B128,$B$14:$C$121,2,FALSE),0)))</f>
        <v>608400</v>
      </c>
      <c r="D128" s="4" t="s">
        <v>124</v>
      </c>
      <c r="F128" s="12"/>
      <c r="G128" s="12" t="s">
        <v>128</v>
      </c>
      <c r="H128" s="302">
        <f>C76</f>
        <v>1850</v>
      </c>
      <c r="J128" s="13"/>
    </row>
    <row r="129" spans="2:10" s="4" customFormat="1" x14ac:dyDescent="0.2">
      <c r="B129" s="12" t="s">
        <v>87</v>
      </c>
      <c r="C129" s="336">
        <f t="shared" ref="C129:C136" ca="1" si="0">IFERROR(VLOOKUP(B129,$B$14:$C$121,2,FALSE),0)</f>
        <v>50000</v>
      </c>
      <c r="D129" s="4" t="s">
        <v>124</v>
      </c>
      <c r="F129" s="12"/>
      <c r="G129" s="12" t="s">
        <v>129</v>
      </c>
      <c r="H129" s="339">
        <f ca="1">H127/H128</f>
        <v>2086.8599897297295</v>
      </c>
      <c r="J129" s="13"/>
    </row>
    <row r="130" spans="2:10" s="4" customFormat="1" x14ac:dyDescent="0.2">
      <c r="B130" s="12" t="s">
        <v>92</v>
      </c>
      <c r="C130" s="336">
        <f t="shared" ca="1" si="0"/>
        <v>47000</v>
      </c>
      <c r="D130" s="4" t="s">
        <v>122</v>
      </c>
      <c r="F130" s="12"/>
      <c r="G130" s="12"/>
      <c r="J130" s="13"/>
    </row>
    <row r="131" spans="2:10" s="4" customFormat="1" x14ac:dyDescent="0.2">
      <c r="B131" s="12" t="s">
        <v>89</v>
      </c>
      <c r="C131" s="336">
        <f t="shared" ca="1" si="0"/>
        <v>18000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 ca="1">$H$129*(1+H131)</f>
        <v>2295.5459887027027</v>
      </c>
      <c r="I132" s="333">
        <f ca="1">$H$129*(1+I131)</f>
        <v>2504.2319876756751</v>
      </c>
      <c r="J132" s="341">
        <f ca="1">$H$129*(1+J131)</f>
        <v>2712.9179866486484</v>
      </c>
    </row>
    <row r="133" spans="2:10" s="4" customFormat="1" x14ac:dyDescent="0.2">
      <c r="B133" s="12" t="s">
        <v>11</v>
      </c>
      <c r="C133" s="336">
        <f t="shared" ca="1" si="0"/>
        <v>135000</v>
      </c>
      <c r="D133" s="4" t="s">
        <v>124</v>
      </c>
      <c r="F133" s="12"/>
      <c r="G133" s="4" t="s">
        <v>133</v>
      </c>
      <c r="H133" s="302">
        <f ca="1">H132-$H$129</f>
        <v>208.68599897297327</v>
      </c>
      <c r="I133" s="302">
        <f ca="1">I132-$H$129</f>
        <v>417.37199794594562</v>
      </c>
      <c r="J133" s="318">
        <f ca="1">J132-$H$129</f>
        <v>626.05799691891889</v>
      </c>
    </row>
    <row r="134" spans="2:10" s="4" customFormat="1" x14ac:dyDescent="0.2">
      <c r="B134" s="12" t="s">
        <v>61</v>
      </c>
      <c r="C134" s="336">
        <f t="shared" ca="1" si="0"/>
        <v>427301.22</v>
      </c>
      <c r="D134" s="4" t="s">
        <v>124</v>
      </c>
      <c r="F134" s="12"/>
      <c r="G134" s="4" t="s">
        <v>134</v>
      </c>
      <c r="H134" s="355">
        <f ca="1">H133/H132</f>
        <v>9.0909090909091037E-2</v>
      </c>
      <c r="I134" s="355">
        <f ca="1">I133/I132</f>
        <v>0.16666666666666657</v>
      </c>
      <c r="J134" s="326">
        <f ca="1">J133/J132</f>
        <v>0.23076923076923078</v>
      </c>
    </row>
    <row r="135" spans="2:10" s="4" customFormat="1" x14ac:dyDescent="0.2">
      <c r="B135" s="12" t="s">
        <v>23</v>
      </c>
      <c r="C135" s="336">
        <f>IFERROR(VLOOKUP(B135,$B$14:$C$121,2,FALSE),0)</f>
        <v>16559.001000000004</v>
      </c>
      <c r="D135" s="4" t="s">
        <v>124</v>
      </c>
      <c r="F135" s="12"/>
      <c r="G135" s="4" t="s">
        <v>135</v>
      </c>
      <c r="H135" s="279">
        <f ca="1">$H$125/H134</f>
        <v>20847862.430999968</v>
      </c>
      <c r="I135" s="279">
        <f ca="1">$H$125/I134</f>
        <v>11371561.326000005</v>
      </c>
      <c r="J135" s="281">
        <f ca="1">$H$125/J134</f>
        <v>8212794.2909999993</v>
      </c>
    </row>
    <row r="136" spans="2:10" s="4" customFormat="1" x14ac:dyDescent="0.2">
      <c r="B136" s="12" t="s">
        <v>117</v>
      </c>
      <c r="C136" s="336">
        <f t="shared" ca="1" si="0"/>
        <v>80000</v>
      </c>
      <c r="D136" s="4" t="s">
        <v>124</v>
      </c>
      <c r="F136" s="14"/>
      <c r="G136" s="15" t="s">
        <v>136</v>
      </c>
      <c r="H136" s="15">
        <f ca="1">H135/H132</f>
        <v>9081.8753070513994</v>
      </c>
      <c r="I136" s="15">
        <f ca="1">I135/I132</f>
        <v>4540.9376535257097</v>
      </c>
      <c r="J136" s="16">
        <f ca="1">J135/J132</f>
        <v>3027.291769017138</v>
      </c>
    </row>
    <row r="137" spans="2:10" s="4" customFormat="1" x14ac:dyDescent="0.2">
      <c r="B137" s="275" t="s">
        <v>137</v>
      </c>
      <c r="C137" s="335" cm="1">
        <f t="array" ref="C137">IF(B5="Validation",E137,SUMPRODUCT(F80:I80*F73:I73))</f>
        <v>76922</v>
      </c>
      <c r="D137" s="380" t="s">
        <v>138</v>
      </c>
      <c r="E137" s="4">
        <f>INDEX(Data_Sales!B3:N8,MATCH("Freight Cost",Data_Sales!B3:B8,0),MATCH('Q11-Validation'!B3,Data_Sales!B3:N3,0))</f>
        <v>76922</v>
      </c>
    </row>
    <row r="138" spans="2:10" s="4" customFormat="1" x14ac:dyDescent="0.2">
      <c r="B138" s="12" t="s">
        <v>139</v>
      </c>
      <c r="C138" s="336">
        <f>IFERROR(VLOOKUP(B138,$B$14:$C$121,2,FALSE),0)</f>
        <v>0</v>
      </c>
    </row>
    <row r="139" spans="2:10" s="4" customFormat="1" x14ac:dyDescent="0.2">
      <c r="B139" s="365" t="s">
        <v>140</v>
      </c>
      <c r="C139" s="366" cm="1">
        <f t="array" aca="1" ref="C139" ca="1">INDIRECT("'Input_Q"&amp;$B$3&amp;"-Predict'!C18")</f>
        <v>0</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 ca="1">SUM(C127:C141)</f>
        <v>2019182.2209999999</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 ca="1">C125-C142</f>
        <v>1280437.0190000003</v>
      </c>
    </row>
    <row r="148" spans="2:5" s="4" customFormat="1" x14ac:dyDescent="0.2">
      <c r="B148" s="12" t="s">
        <v>147</v>
      </c>
      <c r="C148" s="13">
        <f ca="1">IF(C147&gt;0,C147*0.15,0)</f>
        <v>192065.55285000004</v>
      </c>
    </row>
    <row r="149" spans="2:5" s="4" customFormat="1" x14ac:dyDescent="0.2">
      <c r="B149" s="12" t="s">
        <v>148</v>
      </c>
      <c r="C149" s="336">
        <f ca="1">C147-C148</f>
        <v>1088371.4661500002</v>
      </c>
    </row>
    <row r="150" spans="2:5" s="4" customFormat="1" x14ac:dyDescent="0.2">
      <c r="B150" s="12" t="s">
        <v>119</v>
      </c>
      <c r="C150" s="13"/>
    </row>
    <row r="151" spans="2:5" s="4" customFormat="1" x14ac:dyDescent="0.2">
      <c r="B151" s="12" t="s">
        <v>149</v>
      </c>
      <c r="C151" s="368">
        <f ca="1">INDEX(Data_IncomeStatement!A1:M33,MATCH("PROFIT AND LOSS STATEMENT RESULTS",Data_IncomeStatement!A1:A33,0),MATCH(VALUE(B3-1),Data_IncomeStatement!A1:M1,0))</f>
        <v>838787.6393299998</v>
      </c>
    </row>
    <row r="152" spans="2:5" s="4" customFormat="1" x14ac:dyDescent="0.2">
      <c r="B152" s="12" t="s">
        <v>148</v>
      </c>
      <c r="C152" s="336">
        <f ca="1">C149</f>
        <v>1088371.4661500002</v>
      </c>
    </row>
    <row r="153" spans="2:5" s="4" customFormat="1" x14ac:dyDescent="0.2">
      <c r="B153" s="12" t="s">
        <v>150</v>
      </c>
      <c r="C153" s="13">
        <v>0</v>
      </c>
    </row>
    <row r="154" spans="2:5" s="4" customFormat="1" x14ac:dyDescent="0.2">
      <c r="B154" s="14" t="s">
        <v>151</v>
      </c>
      <c r="C154" s="337">
        <f ca="1">C152+C151</f>
        <v>1927159.1054799999</v>
      </c>
    </row>
    <row r="155" spans="2:5" s="4" customFormat="1" x14ac:dyDescent="0.2"/>
    <row r="156" spans="2:5" s="4" customFormat="1" x14ac:dyDescent="0.2">
      <c r="C156" s="330"/>
      <c r="D156" s="214"/>
      <c r="E156" s="279"/>
    </row>
    <row r="157" spans="2:5" s="4" customFormat="1" x14ac:dyDescent="0.2">
      <c r="B157" s="9" t="str">
        <f>B5</f>
        <v>Validation</v>
      </c>
      <c r="C157" s="11"/>
    </row>
    <row r="158" spans="2:5" s="4" customFormat="1" x14ac:dyDescent="0.2">
      <c r="B158" s="63" t="s">
        <v>152</v>
      </c>
      <c r="C158" s="64"/>
    </row>
    <row r="159" spans="2:5" s="4" customFormat="1" x14ac:dyDescent="0.2">
      <c r="B159" s="12" t="s">
        <v>153</v>
      </c>
      <c r="C159" s="336">
        <f ca="1">C142</f>
        <v>2019182.2209999999</v>
      </c>
    </row>
    <row r="160" spans="2:5" s="4" customFormat="1" x14ac:dyDescent="0.2">
      <c r="B160" s="12" t="s">
        <v>154</v>
      </c>
      <c r="C160" s="336">
        <f>C124</f>
        <v>1965430.76</v>
      </c>
    </row>
    <row r="161" spans="2:3" s="4" customFormat="1" x14ac:dyDescent="0.2">
      <c r="B161" s="12" t="s">
        <v>155</v>
      </c>
      <c r="C161" s="336">
        <f ca="1">C123</f>
        <v>5265050</v>
      </c>
    </row>
    <row r="162" spans="2:3" s="4" customFormat="1" x14ac:dyDescent="0.2">
      <c r="B162" s="12" t="s">
        <v>156</v>
      </c>
      <c r="C162" s="529">
        <f ca="1">C159/(1-C160/C161)</f>
        <v>3221915.7967681293</v>
      </c>
    </row>
    <row r="163" spans="2:3" s="4" customFormat="1" x14ac:dyDescent="0.2">
      <c r="B163" s="12"/>
      <c r="C163" s="13"/>
    </row>
    <row r="164" spans="2:3" s="4" customFormat="1" x14ac:dyDescent="0.2">
      <c r="B164" s="12" t="s">
        <v>157</v>
      </c>
      <c r="C164" s="480">
        <f>J73</f>
        <v>1850</v>
      </c>
    </row>
    <row r="165" spans="2:3" s="4" customFormat="1" x14ac:dyDescent="0.2">
      <c r="B165" s="14" t="s">
        <v>158</v>
      </c>
      <c r="C165" s="530">
        <f ca="1">ROUNDUP(C162/(C161/C164),0)</f>
        <v>1133</v>
      </c>
    </row>
    <row r="166" spans="2:3" s="4" customFormat="1" x14ac:dyDescent="0.2"/>
    <row r="167" spans="2:3" s="4" customFormat="1" x14ac:dyDescent="0.2"/>
    <row r="168" spans="2:3" s="4" customFormat="1" x14ac:dyDescent="0.2"/>
    <row r="169" spans="2:3" s="4" customFormat="1" x14ac:dyDescent="0.2"/>
    <row r="170" spans="2:3" s="4" customFormat="1" x14ac:dyDescent="0.2"/>
    <row r="171" spans="2:3" s="4" customFormat="1" x14ac:dyDescent="0.2"/>
    <row r="172" spans="2:3" s="4" customFormat="1" x14ac:dyDescent="0.2"/>
    <row r="173" spans="2:3" s="4" customFormat="1" x14ac:dyDescent="0.2"/>
    <row r="174" spans="2:3"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AE8E3609-6B30-6B42-8113-B634CBD784B5}">
          <x14:formula1>
            <xm:f>Reference!$A$31:$A$32</xm:f>
          </x14:formula1>
          <xm:sqref>B7</xm:sqref>
        </x14:dataValidation>
        <x14:dataValidation type="list" allowBlank="1" showInputMessage="1" showErrorMessage="1" xr:uid="{C83D2BC3-8416-8A42-AD40-9EA2C565E16E}">
          <x14:formula1>
            <xm:f>Reference!$A$14:$A$26</xm:f>
          </x14:formula1>
          <xm:sqref>B3</xm:sqref>
        </x14:dataValidation>
        <x14:dataValidation type="list" allowBlank="1" showInputMessage="1" showErrorMessage="1" xr:uid="{CDD280D2-8A45-B44B-9858-169FBA3083AF}">
          <x14:formula1>
            <xm:f>Reference!$A$10:$A$12</xm:f>
          </x14:formula1>
          <xm:sqref>D124</xm:sqref>
        </x14:dataValidation>
        <x14:dataValidation type="list" allowBlank="1" showInputMessage="1" showErrorMessage="1" xr:uid="{6F199B7D-27F5-EE4F-8C4F-6E65E295B3CE}">
          <x14:formula1>
            <xm:f>Reference!$A$6:$A$8</xm:f>
          </x14:formula1>
          <xm:sqref>B5</xm:sqref>
        </x14:dataValidation>
        <x14:dataValidation type="list" allowBlank="1" showInputMessage="1" showErrorMessage="1" xr:uid="{423BF4C6-F106-0E4C-A7B8-2228931FD7E2}">
          <x14:formula1>
            <xm:f>Reference!$C$1:$C$5</xm:f>
          </x14:formula1>
          <xm:sqref>W22 W29 K21</xm:sqref>
        </x14:dataValidation>
        <x14:dataValidation type="list" allowBlank="1" showInputMessage="1" showErrorMessage="1" xr:uid="{3DDCA244-73BF-5E4A-A377-E6A6977B16F2}">
          <x14:formula1>
            <xm:f>Reference!$A$1:$A$3</xm:f>
          </x14:formula1>
          <xm:sqref>W20 W27 K19</xm:sqref>
        </x14:dataValidation>
        <x14:dataValidation type="list" allowBlank="1" showInputMessage="1" showErrorMessage="1" xr:uid="{6B9D98F5-8FD0-8044-AF42-5639F6A115FF}">
          <x14:formula1>
            <xm:f>Reference!$D$1:$D$4</xm:f>
          </x14:formula1>
          <xm:sqref>W23 W30 K22</xm:sqref>
        </x14:dataValidation>
        <x14:dataValidation type="list" allowBlank="1" showInputMessage="1" showErrorMessage="1" xr:uid="{7AEC05CA-4820-5C4C-8A8F-478D972D5B25}">
          <x14:formula1>
            <xm:f>Reference!$B$1:$B$4</xm:f>
          </x14:formula1>
          <xm:sqref>W21 W28 K20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A1B42-E768-2640-A1F1-C46A754CBE50}">
  <sheetPr>
    <tabColor theme="2" tint="-9.9978637043366805E-2"/>
  </sheetPr>
  <dimension ref="A1:V174"/>
  <sheetViews>
    <sheetView zoomScaleNormal="120" workbookViewId="0">
      <selection activeCell="C36" sqref="C36"/>
    </sheetView>
  </sheetViews>
  <sheetFormatPr baseColWidth="10" defaultColWidth="11" defaultRowHeight="16" x14ac:dyDescent="0.2"/>
  <cols>
    <col min="1" max="1" width="5.6640625" style="4" customWidth="1"/>
    <col min="2" max="2" width="33.33203125" bestFit="1" customWidth="1"/>
    <col min="3" max="3" width="14" bestFit="1" customWidth="1"/>
    <col min="4" max="4" width="17.83203125" bestFit="1" customWidth="1"/>
    <col min="5" max="5" width="19.5" customWidth="1"/>
    <col min="6" max="6" width="15.33203125" bestFit="1" customWidth="1"/>
    <col min="7" max="7" width="32.66406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178" t="s">
        <v>0</v>
      </c>
      <c r="C2" s="4"/>
      <c r="D2" s="4"/>
      <c r="E2" s="4"/>
      <c r="F2" s="4"/>
      <c r="G2" s="4"/>
      <c r="H2" s="4"/>
      <c r="I2" s="4"/>
      <c r="J2" s="4"/>
      <c r="K2" s="4"/>
      <c r="L2" s="4"/>
      <c r="M2" s="4"/>
      <c r="N2" s="4"/>
      <c r="O2" s="4"/>
      <c r="P2" s="4"/>
      <c r="Q2" s="4"/>
      <c r="R2" s="4"/>
      <c r="S2" s="4"/>
      <c r="T2" s="4"/>
      <c r="U2" s="4"/>
      <c r="V2" s="4"/>
    </row>
    <row r="3" spans="1:22" x14ac:dyDescent="0.2">
      <c r="B3" s="460">
        <v>11</v>
      </c>
      <c r="C3" s="4"/>
      <c r="D3" s="4"/>
      <c r="E3" s="4"/>
      <c r="F3" s="4"/>
      <c r="G3" s="4"/>
      <c r="H3" s="4"/>
      <c r="I3" s="4"/>
      <c r="J3" s="4"/>
      <c r="K3" s="4"/>
      <c r="L3" s="4"/>
      <c r="M3" s="4"/>
      <c r="N3" s="4"/>
      <c r="O3" s="4"/>
      <c r="P3" s="4"/>
      <c r="Q3" s="4"/>
      <c r="R3" s="4"/>
      <c r="S3" s="4"/>
      <c r="T3" s="4"/>
      <c r="U3" s="4"/>
      <c r="V3" s="4"/>
    </row>
    <row r="4" spans="1:22" s="4" customFormat="1" x14ac:dyDescent="0.2">
      <c r="B4" s="178" t="s">
        <v>1</v>
      </c>
    </row>
    <row r="5" spans="1:22" s="4" customFormat="1" x14ac:dyDescent="0.2">
      <c r="B5" s="460" t="s">
        <v>6</v>
      </c>
    </row>
    <row r="6" spans="1:22" s="4" customFormat="1" x14ac:dyDescent="0.2">
      <c r="B6" s="178" t="s">
        <v>3</v>
      </c>
    </row>
    <row r="7" spans="1:22" s="4" customFormat="1" x14ac:dyDescent="0.2">
      <c r="B7" s="461" t="str" cm="1">
        <f t="array" aca="1" ref="B7" ca="1">INDIRECT("'Input_Q"&amp;B3&amp;"-Predict'!C8")</f>
        <v>Overtime</v>
      </c>
    </row>
    <row r="8" spans="1:22" s="4" customFormat="1" x14ac:dyDescent="0.2"/>
    <row r="9" spans="1:22" s="4" customFormat="1" x14ac:dyDescent="0.2">
      <c r="B9" s="99" t="s">
        <v>4</v>
      </c>
    </row>
    <row r="10" spans="1:22" x14ac:dyDescent="0.2">
      <c r="B10" s="69" t="s">
        <v>5</v>
      </c>
      <c r="C10" s="4"/>
      <c r="D10" s="4"/>
      <c r="E10" s="4"/>
      <c r="F10" s="4"/>
      <c r="G10" s="4"/>
      <c r="H10" s="4"/>
      <c r="I10" s="4"/>
      <c r="J10" s="4"/>
      <c r="K10" s="4"/>
      <c r="L10" s="4"/>
      <c r="M10" s="4"/>
      <c r="N10" s="4"/>
      <c r="O10" s="4"/>
      <c r="P10" s="4"/>
      <c r="Q10" s="4"/>
      <c r="R10" s="4"/>
      <c r="S10" s="4"/>
      <c r="T10" s="4"/>
      <c r="U10" s="4"/>
      <c r="V10" s="4"/>
    </row>
    <row r="11" spans="1:22" x14ac:dyDescent="0.2">
      <c r="B11" s="268" t="s">
        <v>6</v>
      </c>
      <c r="C11" s="4"/>
      <c r="D11" s="4"/>
      <c r="E11" s="4"/>
      <c r="F11" s="4"/>
      <c r="G11" s="4"/>
      <c r="H11" s="4"/>
      <c r="I11" s="4"/>
      <c r="J11" s="4"/>
      <c r="K11" s="4"/>
      <c r="L11" s="4"/>
      <c r="M11" s="4"/>
      <c r="N11" s="4"/>
      <c r="O11" s="4"/>
      <c r="P11" s="4"/>
      <c r="Q11" s="4"/>
      <c r="R11" s="4"/>
      <c r="S11" s="4"/>
      <c r="T11" s="4"/>
      <c r="U11" s="4"/>
      <c r="V11" s="4"/>
    </row>
    <row r="12" spans="1:22" x14ac:dyDescent="0.2">
      <c r="B12" s="4"/>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 ca="1">F19*F20</f>
        <v>135000</v>
      </c>
      <c r="E18" s="576" t="s">
        <v>12</v>
      </c>
      <c r="F18" s="577"/>
      <c r="G18" s="578"/>
      <c r="I18" s="71" t="s">
        <v>13</v>
      </c>
      <c r="J18" s="72"/>
      <c r="K18" s="72" t="s">
        <v>14</v>
      </c>
      <c r="L18" s="72" t="s">
        <v>15</v>
      </c>
      <c r="M18" s="72" t="s">
        <v>16</v>
      </c>
      <c r="N18" s="73" t="s">
        <v>17</v>
      </c>
    </row>
    <row r="19" spans="2:22" s="4" customFormat="1" x14ac:dyDescent="0.2">
      <c r="B19" s="12" t="s">
        <v>18</v>
      </c>
      <c r="C19" s="217">
        <f ca="1">N23</f>
        <v>609634.74</v>
      </c>
      <c r="E19" s="284" t="s">
        <v>19</v>
      </c>
      <c r="F19" s="285">
        <v>15000</v>
      </c>
      <c r="G19" s="11" t="s">
        <v>20</v>
      </c>
      <c r="I19" s="12"/>
      <c r="J19" s="4" t="s">
        <v>21</v>
      </c>
      <c r="K19" s="4" t="s">
        <v>22</v>
      </c>
      <c r="L19" s="4">
        <f>VLOOKUP($K$19,$E$24:F59,2,FALSE)</f>
        <v>36</v>
      </c>
      <c r="M19" s="4">
        <f>L19*$F$25</f>
        <v>36</v>
      </c>
      <c r="N19" s="13">
        <f ca="1">M19*$F$24</f>
        <v>38376</v>
      </c>
    </row>
    <row r="20" spans="2:22" s="4" customFormat="1" x14ac:dyDescent="0.2">
      <c r="B20" s="12" t="s">
        <v>23</v>
      </c>
      <c r="C20" s="281">
        <f ca="1">C34*0.02*M24</f>
        <v>16559.001000000004</v>
      </c>
      <c r="E20" s="68"/>
      <c r="F20" s="76" cm="1">
        <f t="array" aca="1" ref="F20" ca="1">INDIRECT("'Input_Q"&amp;B3&amp;"-Predict'!C38")</f>
        <v>9</v>
      </c>
      <c r="G20" s="16"/>
      <c r="I20" s="12" t="s">
        <v>24</v>
      </c>
      <c r="J20" s="19" t="s">
        <v>25</v>
      </c>
      <c r="K20" s="4" t="s">
        <v>26</v>
      </c>
      <c r="L20" s="4">
        <f>VLOOKUP($K$20,$E$25:F60,2,FALSE)</f>
        <v>44.52</v>
      </c>
      <c r="M20" s="4">
        <f>L20*$F$28</f>
        <v>89.04</v>
      </c>
      <c r="N20" s="13">
        <f ca="1">M20*$F$24</f>
        <v>94916.64</v>
      </c>
    </row>
    <row r="21" spans="2:22" s="4" customFormat="1" x14ac:dyDescent="0.2">
      <c r="B21" s="14" t="s">
        <v>27</v>
      </c>
      <c r="C21" s="453">
        <v>280000</v>
      </c>
      <c r="E21" s="12" t="s">
        <v>28</v>
      </c>
      <c r="G21" s="103"/>
      <c r="I21" s="12"/>
      <c r="J21" s="20" t="s">
        <v>29</v>
      </c>
      <c r="K21" s="4" t="s">
        <v>30</v>
      </c>
      <c r="L21" s="4">
        <f>VLOOKUP($K$21,$E$26:F63,2,FALSE)</f>
        <v>187.20000000000002</v>
      </c>
      <c r="M21" s="4">
        <f>L21*$F$38</f>
        <v>374.40000000000003</v>
      </c>
      <c r="N21" s="13">
        <f ca="1">M21*$F$24</f>
        <v>399110.40000000002</v>
      </c>
      <c r="V21" s="19"/>
    </row>
    <row r="22" spans="2:22" s="4" customFormat="1" x14ac:dyDescent="0.2">
      <c r="B22" s="14"/>
      <c r="C22" s="278">
        <f ca="1">SUM(C17:C21)</f>
        <v>1041193.741</v>
      </c>
      <c r="E22" s="12" t="s">
        <v>31</v>
      </c>
      <c r="F22" s="214">
        <v>1300000</v>
      </c>
      <c r="G22" s="103"/>
      <c r="I22" s="12"/>
      <c r="J22" s="70" t="s">
        <v>32</v>
      </c>
      <c r="K22" s="4" t="s">
        <v>33</v>
      </c>
      <c r="L22" s="4">
        <f>VLOOKUP($K$22,$E$21:F60,2,FALSE)</f>
        <v>24.150000000000002</v>
      </c>
      <c r="M22" s="4">
        <f>L22*$F$51</f>
        <v>72.45</v>
      </c>
      <c r="N22" s="13">
        <f ca="1">M22*$F$24</f>
        <v>77231.7</v>
      </c>
      <c r="V22" s="20"/>
    </row>
    <row r="23" spans="2:22" s="4" customFormat="1" x14ac:dyDescent="0.2">
      <c r="E23" s="12" t="s">
        <v>34</v>
      </c>
      <c r="F23" s="214">
        <v>1500000</v>
      </c>
      <c r="G23" s="103"/>
      <c r="I23" s="71" t="s">
        <v>35</v>
      </c>
      <c r="J23" s="72"/>
      <c r="K23" s="72"/>
      <c r="L23" s="72"/>
      <c r="M23" s="72">
        <f>SUM(M19:M22)</f>
        <v>571.8900000000001</v>
      </c>
      <c r="N23" s="73">
        <f ca="1">SUM(N19:N22)</f>
        <v>609634.74</v>
      </c>
      <c r="V23" s="70"/>
    </row>
    <row r="24" spans="2:22" s="4" customFormat="1" x14ac:dyDescent="0.2">
      <c r="E24" s="14" t="s">
        <v>18</v>
      </c>
      <c r="F24" s="95" cm="1">
        <f t="array" aca="1" ref="F24" ca="1">INDIRECT("'Input_Q"&amp;B3&amp;"-Predict'!C36")</f>
        <v>1066</v>
      </c>
      <c r="G24" s="103" t="s">
        <v>36</v>
      </c>
      <c r="I24" s="14" t="s">
        <v>37</v>
      </c>
      <c r="J24" s="15"/>
      <c r="K24" s="15"/>
      <c r="L24" s="15"/>
      <c r="M24" s="15">
        <f>M23-M19</f>
        <v>535.8900000000001</v>
      </c>
      <c r="N24" s="16">
        <f ca="1">M24*F24</f>
        <v>571258.74000000011</v>
      </c>
    </row>
    <row r="25" spans="2:22" s="4" customFormat="1" x14ac:dyDescent="0.2">
      <c r="B25" s="71" t="s">
        <v>38</v>
      </c>
      <c r="C25" s="454" cm="1">
        <f t="array" aca="1" ref="C25" ca="1">IF(B5="Validation",'Q11-Predict'!C30/'Q11-Predict'!C29,INDIRECT("'Input_Q"&amp;B3&amp;"-Predict'!C34"))</f>
        <v>0.96</v>
      </c>
      <c r="E25" s="9" t="s">
        <v>21</v>
      </c>
      <c r="F25" s="10">
        <v>1</v>
      </c>
      <c r="G25" s="103" t="s">
        <v>39</v>
      </c>
    </row>
    <row r="26" spans="2:22" s="4" customFormat="1" x14ac:dyDescent="0.2">
      <c r="E26" s="12" t="s">
        <v>40</v>
      </c>
      <c r="F26" s="214">
        <v>20</v>
      </c>
      <c r="G26" s="103"/>
    </row>
    <row r="27" spans="2:22" s="4" customFormat="1" x14ac:dyDescent="0.2">
      <c r="B27" s="9" t="s">
        <v>41</v>
      </c>
      <c r="C27" s="289">
        <f>INDEX(Data_Stock!B2:N11,MATCH("Left Inventory",Data_Stock!B2:B11,0),MATCH(VALUE(B3-1),Data_Stock!B2:N2,0))</f>
        <v>427</v>
      </c>
      <c r="E27" s="14" t="s">
        <v>22</v>
      </c>
      <c r="F27" s="283">
        <v>36</v>
      </c>
      <c r="G27" s="98"/>
    </row>
    <row r="28" spans="2:22" s="4" customFormat="1" x14ac:dyDescent="0.2">
      <c r="B28" s="12" t="s">
        <v>42</v>
      </c>
      <c r="C28" s="290">
        <f>INDEX(Data_Stock!B2:N11,MATCH("Left",Data_Stock!B2:B11,0),MATCH(VALUE(B3-1),Data_Stock!B2:N2,0))</f>
        <v>1992</v>
      </c>
      <c r="E28" s="9" t="s">
        <v>25</v>
      </c>
      <c r="F28" s="11">
        <v>2</v>
      </c>
      <c r="G28" s="103" t="s">
        <v>39</v>
      </c>
      <c r="P28" s="214"/>
      <c r="V28" s="19"/>
    </row>
    <row r="29" spans="2:22" s="4" customFormat="1" x14ac:dyDescent="0.2">
      <c r="B29" s="12" t="s">
        <v>43</v>
      </c>
      <c r="C29" s="291" cm="1">
        <f t="array" aca="1" ref="C29" ca="1">INDIRECT("'Input_Q"&amp;B3&amp;"-Predict'!C33")</f>
        <v>1497.6</v>
      </c>
      <c r="E29" s="12" t="s">
        <v>44</v>
      </c>
      <c r="F29" s="13">
        <f>(1+F31)*F30</f>
        <v>43.2</v>
      </c>
      <c r="G29" s="103"/>
      <c r="V29" s="20"/>
    </row>
    <row r="30" spans="2:22" s="4" customFormat="1" x14ac:dyDescent="0.2">
      <c r="B30" s="12" t="str">
        <f>IF(B5="Validation","Actual Production","Predict Production")</f>
        <v>Predict Production</v>
      </c>
      <c r="C30" s="292">
        <f>INDEX(Data_Stock!B2:N11,MATCH("Produced",Data_Stock!B2:B11,0),MATCH(VALUE(B3),Data_Stock!B2:N2,0))</f>
        <v>1513</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 ca="1">F24</f>
        <v>1066</v>
      </c>
      <c r="E33" s="67" t="s">
        <v>45</v>
      </c>
      <c r="F33" s="13">
        <v>42</v>
      </c>
      <c r="G33" s="103"/>
    </row>
    <row r="34" spans="2:14" s="4" customFormat="1" x14ac:dyDescent="0.2">
      <c r="B34" s="12" t="s">
        <v>49</v>
      </c>
      <c r="C34" s="222">
        <f ca="1">IF(B5="Validation",INDEX(Data_Stock!B2:N11,MATCH("Left",Data_Stock!B2:B11,0),MATCH('Q11-Predict'!B3,Data_Stock!B2:N2,0)),C28+F24-C30)</f>
        <v>1545</v>
      </c>
      <c r="E34" s="67" t="s">
        <v>46</v>
      </c>
      <c r="F34" s="13">
        <v>0.06</v>
      </c>
      <c r="G34" s="103"/>
    </row>
    <row r="35" spans="2:14" s="4" customFormat="1" x14ac:dyDescent="0.2">
      <c r="B35" s="14" t="s">
        <v>50</v>
      </c>
      <c r="C35" s="288">
        <f ca="1">C34*M24</f>
        <v>827950.05000000016</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 ca="1">SUMPRODUCT(F73:I73,F71:I71)</f>
        <v>4106858</v>
      </c>
    </row>
    <row r="69" spans="2:11" s="4" customFormat="1" x14ac:dyDescent="0.2">
      <c r="B69" s="12" t="s">
        <v>61</v>
      </c>
      <c r="C69" s="221">
        <f ca="1">J75</f>
        <v>427301.22</v>
      </c>
      <c r="E69" s="9" t="str">
        <f>IF(B5="Validation","Actual S.C.R","Predict S.C.R")</f>
        <v>Predict S.C.R</v>
      </c>
      <c r="F69" s="311" cm="1">
        <f t="array" aca="1" ref="F69" ca="1">IF($B$5="Validation",F73/F72,INDIRECT("'Input_Q"&amp;$B$3&amp;"-Predict'!D29"))</f>
        <v>0.75</v>
      </c>
      <c r="G69" s="311" cm="1">
        <f t="array" aca="1" ref="G69" ca="1">IF($B$5="Validation",G73/G72,INDIRECT("'Input_Q"&amp;$B$3&amp;"-Predict'!D30"))</f>
        <v>0.75</v>
      </c>
      <c r="H69" s="311" cm="1">
        <f t="array" aca="1" ref="H69" ca="1">IF($B$5="Validation",H73/H72,INDIRECT("'Input_Q"&amp;$B$3&amp;"-Predict'!D31"))</f>
        <v>0.75</v>
      </c>
      <c r="I69" s="311" cm="1">
        <f t="array" aca="1" ref="I69" ca="1">IF($B$5="Validation",I73/I72,INDIRECT("'Input_Q"&amp;$B$3&amp;"-Predict'!D32"))</f>
        <v>0.75</v>
      </c>
      <c r="J69" s="11"/>
    </row>
    <row r="70" spans="2:11" s="4" customFormat="1" x14ac:dyDescent="0.2">
      <c r="B70" s="12" t="s">
        <v>62</v>
      </c>
      <c r="C70" s="318">
        <f ca="1">C68*C74</f>
        <v>246411.47999999998</v>
      </c>
      <c r="E70" s="297" t="s">
        <v>63</v>
      </c>
      <c r="F70" s="298">
        <v>1</v>
      </c>
      <c r="G70" s="298">
        <v>2</v>
      </c>
      <c r="H70" s="298">
        <v>3</v>
      </c>
      <c r="I70" s="299">
        <v>4</v>
      </c>
      <c r="J70" s="299" t="s">
        <v>64</v>
      </c>
    </row>
    <row r="71" spans="2:11" s="4" customFormat="1" x14ac:dyDescent="0.2">
      <c r="B71" s="14"/>
      <c r="C71" s="319">
        <f ca="1">SUM(C68:C70)</f>
        <v>4780570.6999999993</v>
      </c>
      <c r="E71" s="300" t="s">
        <v>65</v>
      </c>
      <c r="F71" s="358" cm="1">
        <f t="array" aca="1" ref="F71" ca="1">INDIRECT("'Input_Q"&amp;$B$3&amp;"-Predict'!C10")</f>
        <v>2899</v>
      </c>
      <c r="G71" s="358" cm="1">
        <f t="array" aca="1" ref="G71" ca="1">INDIRECT("'Input_Q"&amp;$B$3&amp;"-Predict'!C11")</f>
        <v>2599</v>
      </c>
      <c r="H71" s="358" cm="1">
        <f t="array" aca="1" ref="H71" ca="1">INDIRECT("'Input_Q"&amp;$B$3&amp;"-Predict'!C12")</f>
        <v>2899</v>
      </c>
      <c r="I71" s="358" cm="1">
        <f t="array" aca="1" ref="I71" ca="1">INDIRECT("'Input_Q"&amp;$B$3&amp;"-Predict'!C13")</f>
        <v>2899</v>
      </c>
      <c r="J71" s="301" t="s">
        <v>66</v>
      </c>
      <c r="K71" s="363"/>
    </row>
    <row r="72" spans="2:11" s="4" customFormat="1" x14ac:dyDescent="0.2">
      <c r="E72" s="300" t="s">
        <v>67</v>
      </c>
      <c r="F72" s="272" cm="1">
        <f t="array" aca="1" ref="F72" ca="1">INDIRECT("'Input_Q"&amp;$B$3&amp;"-Predict'!C24")</f>
        <v>577</v>
      </c>
      <c r="G72" s="272" cm="1">
        <f t="array" aca="1" ref="G72" ca="1">INDIRECT("'Input_Q"&amp;$B$3&amp;"-Predict'!C25")</f>
        <v>327</v>
      </c>
      <c r="H72" s="272" cm="1">
        <f t="array" aca="1" ref="H72" ca="1">INDIRECT("'Input_Q"&amp;$B$3&amp;"-Predict'!C26")</f>
        <v>57</v>
      </c>
      <c r="I72" s="272" cm="1">
        <f t="array" aca="1" ref="I72" ca="1">INDIRECT("'Input_Q"&amp;$B$3&amp;"-Predict'!C27")</f>
        <v>964</v>
      </c>
      <c r="J72" s="303">
        <f>Archived_Testing_Q5!B19</f>
        <v>1600</v>
      </c>
    </row>
    <row r="73" spans="2:11" s="4" customFormat="1" x14ac:dyDescent="0.2">
      <c r="D73" s="199"/>
      <c r="E73" s="300" t="str">
        <f>IF(B5="Validation","Actual Sale","Predict Sale")</f>
        <v>Predict Sale</v>
      </c>
      <c r="F73" s="353">
        <f ca="1">IF($E$73="Actual Sale",INDEX(Data_Sales!$B$3:$N$8,MATCH(F70,Data_Sales!$B$3:$B$8,0),MATCH($B$3,Data_Sales!$B$3:$N$3,0)),ROUNDDOWN(F69*F72,0))</f>
        <v>432</v>
      </c>
      <c r="G73" s="353">
        <f ca="1">IF($E$73="Actual Sale",INDEX(Data_Sales!$B$3:$N$8,MATCH(G70,Data_Sales!$B$3:$B$8,0),MATCH($B$3,Data_Sales!$B$3:$N$3,0)),ROUNDDOWN(G69*G72,0))</f>
        <v>245</v>
      </c>
      <c r="H73" s="353">
        <f ca="1">IF($E$73="Actual Sale",INDEX(Data_Sales!$B$3:$N$8,MATCH(H70,Data_Sales!$B$3:$B$8,0),MATCH($B$3,Data_Sales!$B$3:$N$3,0)),ROUNDDOWN(H69*H72,0))</f>
        <v>42</v>
      </c>
      <c r="I73" s="353">
        <f ca="1">IF($E$73="Actual Sale",INDEX(Data_Sales!$B$3:$N$8,MATCH(I70,Data_Sales!$B$3:$B$8,0),MATCH($B$3,Data_Sales!$B$3:$N$3,0)),ROUNDDOWN(I69*I72,0))</f>
        <v>723</v>
      </c>
      <c r="J73" s="383">
        <f ca="1">SUM(F73:I73)</f>
        <v>1442</v>
      </c>
    </row>
    <row r="74" spans="2:11" s="4" customFormat="1" x14ac:dyDescent="0.2">
      <c r="B74" s="9" t="s">
        <v>68</v>
      </c>
      <c r="C74" s="406" cm="1">
        <f t="array" aca="1" ref="C74" ca="1">INDIRECT("'Input_Q"&amp;B3&amp;"-Predict'!C39")</f>
        <v>0.06</v>
      </c>
      <c r="D74" s="199"/>
      <c r="E74" s="300" t="s">
        <v>69</v>
      </c>
      <c r="F74" s="256" cm="1">
        <f t="array" aca="1" ref="F74" ca="1">INDIRECT("'Input_Q"&amp;$B$3&amp;"-Predict'!C41")</f>
        <v>7</v>
      </c>
      <c r="G74" s="256" cm="1">
        <f t="array" aca="1" ref="G74" ca="1">INDIRECT("'Input_Q"&amp;$B$3&amp;"-Predict'!C42")</f>
        <v>10</v>
      </c>
      <c r="H74" s="256" cm="1">
        <f t="array" aca="1" ref="H74" ca="1">INDIRECT("'Input_Q"&amp;$B$3&amp;"-Predict'!C43")</f>
        <v>1</v>
      </c>
      <c r="I74" s="256" cm="1">
        <f t="array" aca="1" ref="I74" ca="1">INDIRECT("'Input_Q"&amp;$B$3&amp;"-Predict'!C44")</f>
        <v>8</v>
      </c>
      <c r="J74" s="301"/>
    </row>
    <row r="75" spans="2:11" s="4" customFormat="1" x14ac:dyDescent="0.2">
      <c r="B75" s="12" t="s">
        <v>70</v>
      </c>
      <c r="C75" s="221">
        <f>J72</f>
        <v>1600</v>
      </c>
      <c r="D75" s="357"/>
      <c r="E75" s="300" t="s">
        <v>71</v>
      </c>
      <c r="F75" s="312">
        <f ca="1">F72*F71*F74/100</f>
        <v>117090.61</v>
      </c>
      <c r="G75" s="312">
        <f ca="1">G72*G71*G74/100</f>
        <v>84987.3</v>
      </c>
      <c r="H75" s="312">
        <f ca="1">H72*H71*H74/100</f>
        <v>1652.43</v>
      </c>
      <c r="I75" s="304">
        <f ca="1">I72*I71*I74/100</f>
        <v>223570.88</v>
      </c>
      <c r="J75" s="304">
        <f ca="1">SUM(F75:I75)</f>
        <v>427301.22</v>
      </c>
    </row>
    <row r="76" spans="2:11" s="4" customFormat="1" x14ac:dyDescent="0.2">
      <c r="B76" s="12" t="s">
        <v>72</v>
      </c>
      <c r="C76" s="221">
        <f ca="1">J73</f>
        <v>1442</v>
      </c>
      <c r="D76" s="199"/>
      <c r="E76" s="300" t="s">
        <v>73</v>
      </c>
      <c r="F76" s="256" cm="1">
        <f t="array" aca="1" ref="F76" ca="1">INDIRECT("'Input_Q"&amp;$B$3&amp;"-Predict'!C46")</f>
        <v>0</v>
      </c>
      <c r="G76" s="256" cm="1">
        <f t="array" aca="1" ref="G76" ca="1">INDIRECT("'Input_Q"&amp;$B$3&amp;"-Predict'!C47")</f>
        <v>0</v>
      </c>
      <c r="H76" s="256" cm="1">
        <f t="array" aca="1" ref="H76" ca="1">INDIRECT("'Input_Q"&amp;$B$3&amp;"-Predict'!C48")</f>
        <v>0</v>
      </c>
      <c r="I76" s="256" cm="1">
        <f t="array" aca="1" ref="I76" ca="1">INDIRECT("'Input_Q"&amp;$B$3&amp;"-Predict'!C49")</f>
        <v>0</v>
      </c>
      <c r="J76" s="301" t="s">
        <v>66</v>
      </c>
    </row>
    <row r="77" spans="2:11" s="4" customFormat="1" x14ac:dyDescent="0.2">
      <c r="B77" s="14" t="s">
        <v>74</v>
      </c>
      <c r="C77" s="319">
        <f ca="1">C75-C76</f>
        <v>158</v>
      </c>
      <c r="D77" s="199"/>
      <c r="E77" s="305" t="s">
        <v>75</v>
      </c>
      <c r="F77" s="306">
        <f ca="1">INDEX(Data_EmployeeNumber!$A$4:$E$16,MATCH('Q11-Predict'!$B$3-1,Data_EmployeeNumber!$A$4:$A$16,0),MATCH('Q11-Predict'!F70,Data_EmployeeNumber!$A$4:$E$4,0))+'Q11-Predict'!F76</f>
        <v>3</v>
      </c>
      <c r="G77" s="306">
        <f ca="1">INDEX(Data_EmployeeNumber!$A$4:$E$16,MATCH('Q11-Predict'!$B$3-1,Data_EmployeeNumber!$A$4:$A$16,0),MATCH('Q11-Predict'!G70,Data_EmployeeNumber!$A$4:$E$4,0))+'Q11-Predict'!G76</f>
        <v>3</v>
      </c>
      <c r="H77" s="306">
        <f ca="1">INDEX(Data_EmployeeNumber!$A$4:$E$16,MATCH('Q11-Predict'!$B$3-1,Data_EmployeeNumber!$A$4:$A$16,0),MATCH('Q11-Predict'!H70,Data_EmployeeNumber!$A$4:$E$4,0))+'Q11-Predict'!H76</f>
        <v>1</v>
      </c>
      <c r="I77" s="306">
        <f ca="1">INDEX(Data_EmployeeNumber!$A$4:$E$16,MATCH('Q11-Predict'!$B$3-1,Data_EmployeeNumber!$A$4:$A$16,0),MATCH('Q11-Predict'!I70,Data_EmployeeNumber!$A$4:$E$4,0))+'Q11-Predict'!I76</f>
        <v>4</v>
      </c>
      <c r="J77" s="307">
        <f ca="1">SUM(F77:I77)</f>
        <v>11</v>
      </c>
    </row>
    <row r="78" spans="2:11" s="4" customFormat="1" x14ac:dyDescent="0.2">
      <c r="E78" s="300" t="s">
        <v>76</v>
      </c>
      <c r="F78" s="296"/>
      <c r="G78" s="296"/>
      <c r="H78" s="296"/>
      <c r="I78" s="301"/>
      <c r="J78" s="455" t="s">
        <v>77</v>
      </c>
    </row>
    <row r="79" spans="2:11" s="4" customFormat="1" x14ac:dyDescent="0.2">
      <c r="E79" s="305" t="s">
        <v>78</v>
      </c>
      <c r="F79" s="308"/>
      <c r="G79" s="308"/>
      <c r="H79" s="308"/>
      <c r="I79" s="317"/>
      <c r="J79" s="456" t="s">
        <v>77</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 ca="1">I98</f>
        <v>304200</v>
      </c>
      <c r="D92" s="214"/>
      <c r="E92" s="71" t="s">
        <v>82</v>
      </c>
      <c r="F92" s="329" cm="1">
        <f t="array" aca="1" ref="F92" ca="1">INDIRECT("'Input_Q"&amp;$B$3&amp;"-Predict'!C50")</f>
        <v>5200</v>
      </c>
      <c r="H92" s="71" t="s">
        <v>82</v>
      </c>
      <c r="I92" s="72" t="s">
        <v>83</v>
      </c>
      <c r="J92" s="72" t="s">
        <v>84</v>
      </c>
      <c r="K92" s="72" t="s">
        <v>85</v>
      </c>
      <c r="L92" s="73" t="s">
        <v>86</v>
      </c>
    </row>
    <row r="93" spans="1:12" s="4" customFormat="1" x14ac:dyDescent="0.2">
      <c r="B93" s="12" t="s">
        <v>87</v>
      </c>
      <c r="C93" s="217">
        <f ca="1">K103</f>
        <v>50000</v>
      </c>
      <c r="D93" s="214"/>
      <c r="H93" s="12" t="s">
        <v>88</v>
      </c>
      <c r="I93" s="214">
        <f ca="1">$F$92*K93</f>
        <v>26000</v>
      </c>
      <c r="J93" s="4">
        <v>1</v>
      </c>
      <c r="K93" s="4">
        <v>5</v>
      </c>
      <c r="L93" s="13">
        <f>J93*K93</f>
        <v>5</v>
      </c>
    </row>
    <row r="94" spans="1:12" s="4" customFormat="1" x14ac:dyDescent="0.2">
      <c r="B94" s="12" t="s">
        <v>89</v>
      </c>
      <c r="C94" s="217">
        <f ca="1">K104</f>
        <v>18000</v>
      </c>
      <c r="D94" s="321"/>
      <c r="E94" s="71" t="s">
        <v>90</v>
      </c>
      <c r="F94" s="73"/>
      <c r="H94" s="12" t="s">
        <v>91</v>
      </c>
      <c r="I94" s="214">
        <f ca="1">$F$92*K94</f>
        <v>5200</v>
      </c>
      <c r="J94" s="4">
        <v>35</v>
      </c>
      <c r="K94" s="4">
        <v>1</v>
      </c>
      <c r="L94" s="13">
        <f>J94*K94</f>
        <v>35</v>
      </c>
    </row>
    <row r="95" spans="1:12" s="4" customFormat="1" x14ac:dyDescent="0.2">
      <c r="B95" s="12" t="s">
        <v>92</v>
      </c>
      <c r="C95" s="217">
        <f ca="1">K105</f>
        <v>47000</v>
      </c>
      <c r="E95" s="12" t="s">
        <v>93</v>
      </c>
      <c r="F95" s="327">
        <v>10000</v>
      </c>
      <c r="H95" s="12" t="s">
        <v>94</v>
      </c>
      <c r="I95" s="214">
        <f ca="1">$F$92*K95</f>
        <v>13000</v>
      </c>
      <c r="J95" s="4">
        <v>3</v>
      </c>
      <c r="K95" s="4">
        <v>2.5</v>
      </c>
      <c r="L95" s="13">
        <f>J95*K95</f>
        <v>7.5</v>
      </c>
    </row>
    <row r="96" spans="1:12" s="4" customFormat="1" x14ac:dyDescent="0.2">
      <c r="B96" s="71"/>
      <c r="C96" s="324">
        <f ca="1">SUM(C92:C95)</f>
        <v>419200</v>
      </c>
      <c r="E96" s="12" t="s">
        <v>95</v>
      </c>
      <c r="F96" s="194" cm="1">
        <f t="array" aca="1" ref="F96" ca="1">INDIRECT("'Input_Q"&amp;$B$3&amp;"-Predict'!C51")</f>
        <v>5</v>
      </c>
      <c r="H96" s="12" t="s">
        <v>96</v>
      </c>
      <c r="I96" s="214">
        <f ca="1">$F$92*K96</f>
        <v>5200</v>
      </c>
      <c r="J96" s="4">
        <f ca="1">J77</f>
        <v>11</v>
      </c>
      <c r="K96" s="4">
        <v>1</v>
      </c>
      <c r="L96" s="13">
        <f ca="1">J96*K96</f>
        <v>11</v>
      </c>
    </row>
    <row r="97" spans="1:12" s="4" customFormat="1" x14ac:dyDescent="0.2">
      <c r="E97" s="12" t="s">
        <v>97</v>
      </c>
      <c r="F97" s="217">
        <v>2000</v>
      </c>
      <c r="H97" s="12" t="s">
        <v>64</v>
      </c>
      <c r="I97" s="4" t="s">
        <v>66</v>
      </c>
      <c r="J97" s="4">
        <f ca="1">SUM(J93:J96)</f>
        <v>50</v>
      </c>
      <c r="K97" s="4" t="s">
        <v>66</v>
      </c>
      <c r="L97" s="13">
        <f ca="1">SUM(L93:L96)</f>
        <v>58.5</v>
      </c>
    </row>
    <row r="98" spans="1:12" s="4" customFormat="1" x14ac:dyDescent="0.2">
      <c r="B98" s="71" t="s">
        <v>98</v>
      </c>
      <c r="C98" s="73"/>
      <c r="E98" s="14" t="s">
        <v>95</v>
      </c>
      <c r="F98" s="76" cm="1">
        <f t="array" aca="1" ref="F98" ca="1">INDIRECT("'Input_Q"&amp;$B$3&amp;"-Predict'!C52")</f>
        <v>9</v>
      </c>
      <c r="H98" s="14" t="s">
        <v>99</v>
      </c>
      <c r="I98" s="322">
        <f ca="1">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 ca="1">F92</f>
        <v>5200</v>
      </c>
      <c r="J102" s="4">
        <f ca="1">L97</f>
        <v>58.5</v>
      </c>
      <c r="K102" s="217">
        <f ca="1">I102*J102</f>
        <v>304200</v>
      </c>
    </row>
    <row r="103" spans="1:12" s="4" customFormat="1" x14ac:dyDescent="0.2">
      <c r="E103" s="12" t="s">
        <v>106</v>
      </c>
      <c r="F103" s="217">
        <v>175</v>
      </c>
      <c r="H103" s="12" t="s">
        <v>93</v>
      </c>
      <c r="I103" s="214">
        <f>F95</f>
        <v>10000</v>
      </c>
      <c r="J103" s="4">
        <f ca="1">F96</f>
        <v>5</v>
      </c>
      <c r="K103" s="217">
        <f ca="1">F95*J103</f>
        <v>50000</v>
      </c>
    </row>
    <row r="104" spans="1:12" s="4" customFormat="1" ht="17" customHeight="1" x14ac:dyDescent="0.2">
      <c r="E104" s="12" t="s">
        <v>107</v>
      </c>
      <c r="F104" s="217">
        <v>400</v>
      </c>
      <c r="H104" s="12" t="s">
        <v>97</v>
      </c>
      <c r="I104" s="214">
        <f>F97</f>
        <v>2000</v>
      </c>
      <c r="J104" s="4">
        <f ca="1">F98</f>
        <v>9</v>
      </c>
      <c r="K104" s="217">
        <f ca="1">F97*J104</f>
        <v>18000</v>
      </c>
    </row>
    <row r="105" spans="1:12" s="4" customFormat="1" x14ac:dyDescent="0.2">
      <c r="E105" s="12" t="s">
        <v>108</v>
      </c>
      <c r="F105" s="217">
        <v>280</v>
      </c>
      <c r="H105" s="12" t="s">
        <v>109</v>
      </c>
      <c r="I105" s="214">
        <f>F102+F106+F107+F108</f>
        <v>940</v>
      </c>
      <c r="J105" s="4">
        <f ca="1">J97</f>
        <v>50</v>
      </c>
      <c r="K105" s="217">
        <f ca="1">I105*J105</f>
        <v>47000</v>
      </c>
    </row>
    <row r="106" spans="1:12" s="4" customFormat="1" x14ac:dyDescent="0.2">
      <c r="E106" s="325" t="s">
        <v>110</v>
      </c>
      <c r="F106" s="217">
        <v>350</v>
      </c>
      <c r="H106" s="14"/>
      <c r="I106" s="15"/>
      <c r="J106" s="15"/>
      <c r="K106" s="278">
        <f ca="1">SUM(K102:K105)</f>
        <v>419200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457" t="s">
        <v>114</v>
      </c>
      <c r="C113" s="458">
        <v>0</v>
      </c>
    </row>
    <row r="114" spans="1:22" s="4" customFormat="1" x14ac:dyDescent="0.2">
      <c r="B114" s="275" t="s">
        <v>115</v>
      </c>
      <c r="C114" s="459">
        <v>0</v>
      </c>
    </row>
    <row r="115" spans="1:22" s="4" customFormat="1" x14ac:dyDescent="0.2">
      <c r="B115" s="275" t="s">
        <v>116</v>
      </c>
      <c r="C115" s="459">
        <f>C113*C114</f>
        <v>0</v>
      </c>
    </row>
    <row r="116" spans="1:22" s="4" customFormat="1" x14ac:dyDescent="0.2">
      <c r="B116" s="14" t="s">
        <v>117</v>
      </c>
      <c r="C116" s="76" cm="1">
        <f t="array" aca="1" ref="C116" ca="1">INDIRECT("'Input_Q"&amp;$B$3&amp;"-Predict'!C53")</f>
        <v>80000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118</v>
      </c>
    </row>
    <row r="121" spans="1:22" s="4" customFormat="1" x14ac:dyDescent="0.2"/>
    <row r="122" spans="1:22" s="4" customFormat="1" x14ac:dyDescent="0.2">
      <c r="B122" s="4" t="s">
        <v>119</v>
      </c>
    </row>
    <row r="123" spans="1:22" s="4" customFormat="1" x14ac:dyDescent="0.2">
      <c r="B123" s="9" t="s">
        <v>60</v>
      </c>
      <c r="C123" s="334">
        <f ca="1">IFERROR(VLOOKUP(B123,$B$14:$C$121,2,FALSE),0)</f>
        <v>4106858</v>
      </c>
      <c r="D123" s="286"/>
      <c r="E123" s="286"/>
    </row>
    <row r="124" spans="1:22" s="4" customFormat="1" x14ac:dyDescent="0.2">
      <c r="B124" s="275" t="s">
        <v>120</v>
      </c>
      <c r="C124" s="366">
        <f ca="1">IF(D124="Match",(C74+0.125)*C123+J73*M23,E124)</f>
        <v>1584434.11</v>
      </c>
      <c r="D124" s="302" t="s">
        <v>121</v>
      </c>
      <c r="E124" s="268">
        <v>996058.8</v>
      </c>
      <c r="F124" s="9"/>
      <c r="G124" s="9" t="s">
        <v>122</v>
      </c>
      <c r="H124" s="331"/>
      <c r="I124" s="10">
        <f ca="1">H124/$H$128</f>
        <v>0</v>
      </c>
      <c r="J124" s="11"/>
    </row>
    <row r="125" spans="1:22" s="4" customFormat="1" x14ac:dyDescent="0.2">
      <c r="B125" s="12" t="s">
        <v>123</v>
      </c>
      <c r="C125" s="336">
        <f ca="1">C123-C124</f>
        <v>2522423.8899999997</v>
      </c>
      <c r="E125" s="302"/>
      <c r="F125" s="12"/>
      <c r="G125" s="12" t="s">
        <v>124</v>
      </c>
      <c r="H125" s="279">
        <f ca="1">SUMIF(D127:D139,"FC",C127:C139)</f>
        <v>1895260.2209999999</v>
      </c>
      <c r="I125" s="4">
        <f ca="1">H125/$H$128</f>
        <v>1314.3274764216364</v>
      </c>
      <c r="J125" s="13"/>
    </row>
    <row r="126" spans="1:22" s="4" customFormat="1" x14ac:dyDescent="0.2">
      <c r="B126" s="12" t="s">
        <v>125</v>
      </c>
      <c r="C126" s="336"/>
      <c r="F126" s="12"/>
      <c r="G126" s="12" t="s">
        <v>120</v>
      </c>
      <c r="H126" s="279">
        <f ca="1">C124</f>
        <v>1584434.11</v>
      </c>
      <c r="I126" s="4">
        <f ca="1">H126/$H$128</f>
        <v>1098.7753883495147</v>
      </c>
      <c r="J126" s="13"/>
    </row>
    <row r="127" spans="1:22" s="4" customFormat="1" x14ac:dyDescent="0.2">
      <c r="B127" s="12" t="s">
        <v>126</v>
      </c>
      <c r="C127" s="336">
        <f ca="1">IF(B7="Overtime",560000,280000)</f>
        <v>560000</v>
      </c>
      <c r="D127" s="4" t="s">
        <v>124</v>
      </c>
      <c r="F127" s="12"/>
      <c r="G127" s="12" t="s">
        <v>127</v>
      </c>
      <c r="H127" s="279">
        <f ca="1">SUM(H124:H126)</f>
        <v>3479694.3310000002</v>
      </c>
      <c r="J127" s="13"/>
    </row>
    <row r="128" spans="1:22" s="4" customFormat="1" x14ac:dyDescent="0.2">
      <c r="B128" s="12" t="s">
        <v>81</v>
      </c>
      <c r="C128" s="336">
        <f ca="1">IF(B7="Overtime",VALUE(IFERROR(VLOOKUP(B128,$B$14:$C$121,2,FALSE),0))*2,VALUE(IFERROR(VLOOKUP(B128,$B$14:$C$121,2,FALSE),0)))</f>
        <v>608400</v>
      </c>
      <c r="D128" s="4" t="s">
        <v>124</v>
      </c>
      <c r="F128" s="12"/>
      <c r="G128" s="12" t="s">
        <v>128</v>
      </c>
      <c r="H128" s="302">
        <f ca="1">C76</f>
        <v>1442</v>
      </c>
      <c r="J128" s="13"/>
    </row>
    <row r="129" spans="2:10" s="4" customFormat="1" x14ac:dyDescent="0.2">
      <c r="B129" s="12" t="s">
        <v>87</v>
      </c>
      <c r="C129" s="336">
        <f t="shared" ref="C129:C136" ca="1" si="0">IFERROR(VLOOKUP(B129,$B$14:$C$121,2,FALSE),0)</f>
        <v>50000</v>
      </c>
      <c r="D129" s="4" t="s">
        <v>124</v>
      </c>
      <c r="F129" s="12"/>
      <c r="G129" s="12" t="s">
        <v>129</v>
      </c>
      <c r="H129" s="339">
        <f ca="1">H127/H128</f>
        <v>2413.1028647711514</v>
      </c>
      <c r="J129" s="13"/>
    </row>
    <row r="130" spans="2:10" s="4" customFormat="1" x14ac:dyDescent="0.2">
      <c r="B130" s="12" t="s">
        <v>92</v>
      </c>
      <c r="C130" s="336">
        <f t="shared" ca="1" si="0"/>
        <v>47000</v>
      </c>
      <c r="D130" s="4" t="s">
        <v>122</v>
      </c>
      <c r="F130" s="12"/>
      <c r="G130" s="12"/>
      <c r="J130" s="13"/>
    </row>
    <row r="131" spans="2:10" s="4" customFormat="1" x14ac:dyDescent="0.2">
      <c r="B131" s="12" t="s">
        <v>89</v>
      </c>
      <c r="C131" s="336">
        <f t="shared" ca="1" si="0"/>
        <v>18000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 ca="1">$H$129*(1+H131)</f>
        <v>2654.4131512482668</v>
      </c>
      <c r="I132" s="333">
        <f ca="1">$H$129*(1+I131)</f>
        <v>2895.7234377253817</v>
      </c>
      <c r="J132" s="341">
        <f ca="1">$H$129*(1+J131)</f>
        <v>3137.0337242024971</v>
      </c>
    </row>
    <row r="133" spans="2:10" s="4" customFormat="1" x14ac:dyDescent="0.2">
      <c r="B133" s="12" t="s">
        <v>11</v>
      </c>
      <c r="C133" s="336">
        <f t="shared" ca="1" si="0"/>
        <v>135000</v>
      </c>
      <c r="D133" s="4" t="s">
        <v>124</v>
      </c>
      <c r="F133" s="12"/>
      <c r="G133" s="4" t="s">
        <v>133</v>
      </c>
      <c r="H133" s="302">
        <f ca="1">H132-$H$129</f>
        <v>241.31028647711537</v>
      </c>
      <c r="I133" s="302">
        <f ca="1">I132-$H$129</f>
        <v>482.62057295423028</v>
      </c>
      <c r="J133" s="318">
        <f ca="1">J132-$H$129</f>
        <v>723.93085943134565</v>
      </c>
    </row>
    <row r="134" spans="2:10" s="4" customFormat="1" x14ac:dyDescent="0.2">
      <c r="B134" s="12" t="s">
        <v>61</v>
      </c>
      <c r="C134" s="336">
        <f t="shared" ca="1" si="0"/>
        <v>427301.22</v>
      </c>
      <c r="D134" s="4" t="s">
        <v>124</v>
      </c>
      <c r="F134" s="12"/>
      <c r="G134" s="4" t="s">
        <v>134</v>
      </c>
      <c r="H134" s="355">
        <f ca="1">H133/H132</f>
        <v>9.0909090909090981E-2</v>
      </c>
      <c r="I134" s="355">
        <f ca="1">I133/I132</f>
        <v>0.16666666666666666</v>
      </c>
      <c r="J134" s="326">
        <f ca="1">J133/J132</f>
        <v>0.23076923076923084</v>
      </c>
    </row>
    <row r="135" spans="2:10" s="4" customFormat="1" x14ac:dyDescent="0.2">
      <c r="B135" s="12" t="s">
        <v>23</v>
      </c>
      <c r="C135" s="336">
        <f ca="1">IFERROR(VLOOKUP(B135,$B$14:$C$121,2,FALSE),0)</f>
        <v>16559.001000000004</v>
      </c>
      <c r="D135" s="4" t="s">
        <v>124</v>
      </c>
      <c r="F135" s="12"/>
      <c r="G135" s="4" t="s">
        <v>135</v>
      </c>
      <c r="H135" s="279">
        <f ca="1">$H$125/H134</f>
        <v>20847862.430999983</v>
      </c>
      <c r="I135" s="279">
        <f ca="1">$H$125/I134</f>
        <v>11371561.325999999</v>
      </c>
      <c r="J135" s="281">
        <f ca="1">$H$125/J134</f>
        <v>8212794.2909999974</v>
      </c>
    </row>
    <row r="136" spans="2:10" s="4" customFormat="1" x14ac:dyDescent="0.2">
      <c r="B136" s="12" t="s">
        <v>117</v>
      </c>
      <c r="C136" s="336">
        <f t="shared" ca="1" si="0"/>
        <v>80000</v>
      </c>
      <c r="D136" s="4" t="s">
        <v>124</v>
      </c>
      <c r="F136" s="14"/>
      <c r="G136" s="15" t="s">
        <v>136</v>
      </c>
      <c r="H136" s="15">
        <f ca="1">H135/H132</f>
        <v>7854.0382536893503</v>
      </c>
      <c r="I136" s="15">
        <f ca="1">I135/I132</f>
        <v>3927.0191268446788</v>
      </c>
      <c r="J136" s="16">
        <f ca="1">J135/J132</f>
        <v>2618.012751229785</v>
      </c>
    </row>
    <row r="137" spans="2:10" s="4" customFormat="1" x14ac:dyDescent="0.2">
      <c r="B137" s="275" t="s">
        <v>137</v>
      </c>
      <c r="C137" s="335" cm="1">
        <f t="array" aca="1" ref="C137" ca="1">IF(B5="Validation",E137,SUMPRODUCT(F80:I80*F73:I73))</f>
        <v>60060.959999999992</v>
      </c>
      <c r="D137" s="380" t="s">
        <v>138</v>
      </c>
      <c r="E137" s="4">
        <f>INDEX(Data_Sales!B3:N8,MATCH("Freight Cost",Data_Sales!B3:B8,0),MATCH('Q11-Predict'!B3,Data_Sales!B3:N3,0))</f>
        <v>76922</v>
      </c>
    </row>
    <row r="138" spans="2:10" s="4" customFormat="1" x14ac:dyDescent="0.2">
      <c r="B138" s="12" t="s">
        <v>139</v>
      </c>
      <c r="C138" s="336">
        <f>IFERROR(VLOOKUP(B138,$B$14:$C$121,2,FALSE),0)</f>
        <v>0</v>
      </c>
    </row>
    <row r="139" spans="2:10" s="4" customFormat="1" x14ac:dyDescent="0.2">
      <c r="B139" s="365" t="s">
        <v>140</v>
      </c>
      <c r="C139" s="366" cm="1">
        <f t="array" aca="1" ref="C139" ca="1">INDIRECT("'Input_Q"&amp;$B$3&amp;"-Predict'!C18")</f>
        <v>0</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 ca="1">SUM(C127:C141)</f>
        <v>2002321.1809999999</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 ca="1">C125-C142</f>
        <v>520102.7089999998</v>
      </c>
    </row>
    <row r="148" spans="2:5" s="4" customFormat="1" x14ac:dyDescent="0.2">
      <c r="B148" s="12" t="s">
        <v>147</v>
      </c>
      <c r="C148" s="13">
        <f ca="1">IF(C147&gt;0,C147*0.15,0)</f>
        <v>78015.406349999961</v>
      </c>
    </row>
    <row r="149" spans="2:5" s="4" customFormat="1" x14ac:dyDescent="0.2">
      <c r="B149" s="12" t="s">
        <v>148</v>
      </c>
      <c r="C149" s="336">
        <f ca="1">C147-C148</f>
        <v>442087.30264999985</v>
      </c>
    </row>
    <row r="150" spans="2:5" s="4" customFormat="1" x14ac:dyDescent="0.2">
      <c r="B150" s="12" t="s">
        <v>119</v>
      </c>
      <c r="C150" s="13"/>
    </row>
    <row r="151" spans="2:5" s="4" customFormat="1" x14ac:dyDescent="0.2">
      <c r="B151" s="12" t="s">
        <v>149</v>
      </c>
      <c r="C151" s="368">
        <f ca="1">INDEX(Data_IncomeStatement!A1:M33,MATCH("PROFIT AND LOSS STATEMENT RESULTS",Data_IncomeStatement!A1:A33,0),MATCH(VALUE(B3-1),Data_IncomeStatement!A1:M1,0))</f>
        <v>838787.6393299998</v>
      </c>
    </row>
    <row r="152" spans="2:5" s="4" customFormat="1" x14ac:dyDescent="0.2">
      <c r="B152" s="12" t="s">
        <v>148</v>
      </c>
      <c r="C152" s="336">
        <f ca="1">C149</f>
        <v>442087.30264999985</v>
      </c>
    </row>
    <row r="153" spans="2:5" s="4" customFormat="1" x14ac:dyDescent="0.2">
      <c r="B153" s="12" t="s">
        <v>150</v>
      </c>
      <c r="C153" s="13">
        <v>0</v>
      </c>
    </row>
    <row r="154" spans="2:5" s="4" customFormat="1" x14ac:dyDescent="0.2">
      <c r="B154" s="14" t="s">
        <v>151</v>
      </c>
      <c r="C154" s="337">
        <f ca="1">C152+C151</f>
        <v>1280874.9419799997</v>
      </c>
    </row>
    <row r="155" spans="2:5" s="4" customFormat="1" x14ac:dyDescent="0.2"/>
    <row r="156" spans="2:5" s="4" customFormat="1" x14ac:dyDescent="0.2">
      <c r="C156" s="330"/>
      <c r="D156" s="214"/>
      <c r="E156" s="279"/>
    </row>
    <row r="157" spans="2:5" s="4" customFormat="1" x14ac:dyDescent="0.2">
      <c r="B157" s="9" t="str">
        <f>B5</f>
        <v>Prediction</v>
      </c>
      <c r="C157" s="11"/>
    </row>
    <row r="158" spans="2:5" s="4" customFormat="1" x14ac:dyDescent="0.2">
      <c r="B158" s="63" t="s">
        <v>152</v>
      </c>
      <c r="C158" s="64"/>
    </row>
    <row r="159" spans="2:5" s="4" customFormat="1" x14ac:dyDescent="0.2">
      <c r="B159" s="12" t="s">
        <v>153</v>
      </c>
      <c r="C159" s="336">
        <f ca="1">C142</f>
        <v>2002321.1809999999</v>
      </c>
    </row>
    <row r="160" spans="2:5" s="4" customFormat="1" x14ac:dyDescent="0.2">
      <c r="B160" s="12" t="s">
        <v>154</v>
      </c>
      <c r="C160" s="336">
        <f ca="1">C124</f>
        <v>1584434.11</v>
      </c>
    </row>
    <row r="161" spans="2:3" s="4" customFormat="1" x14ac:dyDescent="0.2">
      <c r="B161" s="12" t="s">
        <v>155</v>
      </c>
      <c r="C161" s="336">
        <f ca="1">C123</f>
        <v>4106858</v>
      </c>
    </row>
    <row r="162" spans="2:3" s="4" customFormat="1" x14ac:dyDescent="0.2">
      <c r="B162" s="12" t="s">
        <v>156</v>
      </c>
      <c r="C162" s="529">
        <f ca="1">C159/(1-C160/C161)</f>
        <v>3260058.2294513942</v>
      </c>
    </row>
    <row r="163" spans="2:3" s="4" customFormat="1" x14ac:dyDescent="0.2">
      <c r="B163" s="12"/>
      <c r="C163" s="13"/>
    </row>
    <row r="164" spans="2:3" s="4" customFormat="1" x14ac:dyDescent="0.2">
      <c r="B164" s="12" t="s">
        <v>157</v>
      </c>
      <c r="C164" s="480">
        <f ca="1">J73</f>
        <v>1442</v>
      </c>
    </row>
    <row r="165" spans="2:3" s="4" customFormat="1" x14ac:dyDescent="0.2">
      <c r="B165" s="14" t="s">
        <v>158</v>
      </c>
      <c r="C165" s="530">
        <f ca="1">ROUNDUP(C162/(C161/C164),0)</f>
        <v>1145</v>
      </c>
    </row>
    <row r="166" spans="2:3" s="4" customFormat="1" x14ac:dyDescent="0.2"/>
    <row r="167" spans="2:3" s="4" customFormat="1" x14ac:dyDescent="0.2"/>
    <row r="168" spans="2:3" s="4" customFormat="1" x14ac:dyDescent="0.2"/>
    <row r="169" spans="2:3" s="4" customFormat="1" x14ac:dyDescent="0.2"/>
    <row r="170" spans="2:3" s="4" customFormat="1" x14ac:dyDescent="0.2"/>
    <row r="171" spans="2:3" s="4" customFormat="1" x14ac:dyDescent="0.2"/>
    <row r="172" spans="2:3" s="4" customFormat="1" x14ac:dyDescent="0.2"/>
    <row r="173" spans="2:3" s="4" customFormat="1" x14ac:dyDescent="0.2"/>
    <row r="174" spans="2:3"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54DA4CE8-6FAC-6748-8650-412FA8D6AE92}">
          <x14:formula1>
            <xm:f>Reference!$A$31:$A$32</xm:f>
          </x14:formula1>
          <xm:sqref>B7</xm:sqref>
        </x14:dataValidation>
        <x14:dataValidation type="list" allowBlank="1" showInputMessage="1" showErrorMessage="1" xr:uid="{1C9B27E5-5AF0-FA4F-9596-2373A81C7CF7}">
          <x14:formula1>
            <xm:f>Reference!$B$1:$B$4</xm:f>
          </x14:formula1>
          <xm:sqref>W21 W28 K20</xm:sqref>
        </x14:dataValidation>
        <x14:dataValidation type="list" allowBlank="1" showInputMessage="1" showErrorMessage="1" xr:uid="{10A78C23-AA1B-014D-B1A3-B7764239C5CA}">
          <x14:formula1>
            <xm:f>Reference!$D$1:$D$4</xm:f>
          </x14:formula1>
          <xm:sqref>W23 W30 K22</xm:sqref>
        </x14:dataValidation>
        <x14:dataValidation type="list" allowBlank="1" showInputMessage="1" showErrorMessage="1" xr:uid="{5006A0E8-E5F3-B64C-AD9B-CF7CC28391C8}">
          <x14:formula1>
            <xm:f>Reference!$A$1:$A$3</xm:f>
          </x14:formula1>
          <xm:sqref>W20 W27 K19</xm:sqref>
        </x14:dataValidation>
        <x14:dataValidation type="list" allowBlank="1" showInputMessage="1" showErrorMessage="1" xr:uid="{2C55F08C-0F20-F84E-8C4E-07D9E0AA96F3}">
          <x14:formula1>
            <xm:f>Reference!$C$1:$C$5</xm:f>
          </x14:formula1>
          <xm:sqref>W22 W29 K21</xm:sqref>
        </x14:dataValidation>
        <x14:dataValidation type="list" allowBlank="1" showInputMessage="1" showErrorMessage="1" xr:uid="{EA6706E4-CAEE-A245-8A98-43BDDB774A5D}">
          <x14:formula1>
            <xm:f>Reference!$A$6:$A$8</xm:f>
          </x14:formula1>
          <xm:sqref>B5</xm:sqref>
        </x14:dataValidation>
        <x14:dataValidation type="list" allowBlank="1" showInputMessage="1" showErrorMessage="1" xr:uid="{0D5AD9DA-AAD7-6042-AD4F-8DF942C3A8A8}">
          <x14:formula1>
            <xm:f>Reference!$A$10:$A$12</xm:f>
          </x14:formula1>
          <xm:sqref>D124</xm:sqref>
        </x14:dataValidation>
        <x14:dataValidation type="list" allowBlank="1" showInputMessage="1" showErrorMessage="1" xr:uid="{8459130C-85B0-8448-BA13-6C611D87B0F4}">
          <x14:formula1>
            <xm:f>Reference!$A$14:$A$26</xm:f>
          </x14:formula1>
          <xm:sqref>B3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2D165-875D-1148-8A3D-C495D73373C2}">
  <sheetPr>
    <tabColor theme="2" tint="-9.9978637043366805E-2"/>
  </sheetPr>
  <dimension ref="B1:G53"/>
  <sheetViews>
    <sheetView topLeftCell="A18" zoomScale="126" workbookViewId="0">
      <selection activeCell="C36" sqref="C36"/>
    </sheetView>
  </sheetViews>
  <sheetFormatPr baseColWidth="10" defaultColWidth="11" defaultRowHeight="16" x14ac:dyDescent="0.2"/>
  <cols>
    <col min="1" max="1" width="11" style="4"/>
    <col min="2" max="2" width="33.83203125" style="4" bestFit="1" customWidth="1"/>
    <col min="3" max="3" width="11.33203125" style="462" customWidth="1"/>
    <col min="4" max="5" width="11" style="4" customWidth="1"/>
    <col min="6" max="6" width="13.1640625" style="4" customWidth="1"/>
    <col min="7" max="7" width="15" style="4" customWidth="1"/>
    <col min="8" max="9" width="11" style="4"/>
    <col min="10" max="10" width="34.6640625" style="4" bestFit="1" customWidth="1"/>
    <col min="11" max="16384" width="11" style="4"/>
  </cols>
  <sheetData>
    <row r="1" spans="2:7" x14ac:dyDescent="0.2">
      <c r="B1" s="9" t="s">
        <v>159</v>
      </c>
      <c r="C1" s="10"/>
      <c r="D1" s="464"/>
      <c r="E1" s="10"/>
      <c r="F1" s="10"/>
      <c r="G1" s="465"/>
    </row>
    <row r="2" spans="2:7" x14ac:dyDescent="0.2">
      <c r="B2" s="466" t="b">
        <v>0</v>
      </c>
      <c r="C2" s="4" t="s">
        <v>160</v>
      </c>
      <c r="D2" s="449"/>
      <c r="G2" s="13"/>
    </row>
    <row r="3" spans="2:7" x14ac:dyDescent="0.2">
      <c r="B3" s="466" t="b">
        <v>0</v>
      </c>
      <c r="C3" s="4" t="s">
        <v>161</v>
      </c>
      <c r="D3" s="449"/>
      <c r="G3" s="13"/>
    </row>
    <row r="4" spans="2:7" x14ac:dyDescent="0.2">
      <c r="B4" s="466" t="b">
        <v>0</v>
      </c>
      <c r="C4" s="4" t="s">
        <v>162</v>
      </c>
      <c r="D4" s="449"/>
      <c r="G4" s="13"/>
    </row>
    <row r="5" spans="2:7" x14ac:dyDescent="0.2">
      <c r="B5" s="467" t="b">
        <v>0</v>
      </c>
      <c r="C5" s="15" t="s">
        <v>163</v>
      </c>
      <c r="D5" s="468"/>
      <c r="E5" s="15"/>
      <c r="F5" s="15"/>
      <c r="G5" s="16"/>
    </row>
    <row r="6" spans="2:7" x14ac:dyDescent="0.2">
      <c r="B6" s="12" t="s">
        <v>164</v>
      </c>
      <c r="C6" s="395">
        <v>11</v>
      </c>
    </row>
    <row r="7" spans="2:7" x14ac:dyDescent="0.2">
      <c r="B7" s="71" t="s">
        <v>165</v>
      </c>
      <c r="C7" s="469" t="s">
        <v>166</v>
      </c>
      <c r="E7" s="199" t="s">
        <v>167</v>
      </c>
    </row>
    <row r="8" spans="2:7" x14ac:dyDescent="0.2">
      <c r="B8" s="71" t="s">
        <v>168</v>
      </c>
      <c r="C8" s="469" t="s">
        <v>169</v>
      </c>
      <c r="E8" s="199"/>
    </row>
    <row r="9" spans="2:7" x14ac:dyDescent="0.2">
      <c r="B9" s="12" t="s">
        <v>170</v>
      </c>
      <c r="C9" s="222"/>
      <c r="F9" s="178" t="s">
        <v>192</v>
      </c>
    </row>
    <row r="10" spans="2:7" x14ac:dyDescent="0.2">
      <c r="B10" s="12">
        <v>1</v>
      </c>
      <c r="C10" s="470">
        <v>2899</v>
      </c>
      <c r="F10" s="481">
        <f>C28</f>
        <v>1442</v>
      </c>
    </row>
    <row r="11" spans="2:7" x14ac:dyDescent="0.2">
      <c r="B11" s="12">
        <v>2</v>
      </c>
      <c r="C11" s="470">
        <v>2599</v>
      </c>
      <c r="F11" s="178" t="s">
        <v>209</v>
      </c>
    </row>
    <row r="12" spans="2:7" x14ac:dyDescent="0.2">
      <c r="B12" s="12">
        <v>3</v>
      </c>
      <c r="C12" s="470">
        <v>2899</v>
      </c>
      <c r="F12" s="98" cm="1">
        <f t="array" aca="1" ref="F12" ca="1">INDIRECT("'Q"&amp;C6&amp;"-Predict'!C165")</f>
        <v>1145</v>
      </c>
    </row>
    <row r="13" spans="2:7" x14ac:dyDescent="0.2">
      <c r="B13" s="14">
        <v>4</v>
      </c>
      <c r="C13" s="471">
        <v>2899</v>
      </c>
      <c r="F13" s="476" t="str">
        <f ca="1">IF(F12&gt;F10,"Need Adjustment","All Good")</f>
        <v>All Good</v>
      </c>
    </row>
    <row r="14" spans="2:7" x14ac:dyDescent="0.2">
      <c r="B14" s="9" t="s">
        <v>148</v>
      </c>
      <c r="C14" s="479" cm="1">
        <f t="array" aca="1" ref="C14" ca="1">INDIRECT("'Q"&amp;C6&amp;"-Predict'!C149")</f>
        <v>442087.30264999985</v>
      </c>
    </row>
    <row r="15" spans="2:7" x14ac:dyDescent="0.2">
      <c r="B15" s="14" t="s">
        <v>151</v>
      </c>
      <c r="C15" s="463" cm="1">
        <f t="array" aca="1" ref="C15" ca="1">INDIRECT("'Q"&amp;C6&amp;"-Predict'!C154")</f>
        <v>1280874.9419799997</v>
      </c>
    </row>
    <row r="17" spans="2:6" x14ac:dyDescent="0.2">
      <c r="B17" s="9" t="s">
        <v>171</v>
      </c>
      <c r="C17" s="345">
        <f ca="1">INDEX(Data_IncomeStatement!A1:M33,MATCH("PROFIT AND LOSS STATEMENT RESULTS", Data_IncomeStatement!A1:A33, 0),MATCH(VALUE(C6-1), Data_IncomeStatement!A1:M1, 0))</f>
        <v>838787.6393299998</v>
      </c>
      <c r="D17" s="178"/>
      <c r="E17" s="199" t="s">
        <v>172</v>
      </c>
    </row>
    <row r="18" spans="2:6" x14ac:dyDescent="0.2">
      <c r="B18" s="12" t="s">
        <v>175</v>
      </c>
      <c r="C18" s="222">
        <v>0</v>
      </c>
      <c r="D18" s="103"/>
      <c r="E18" s="4" t="s">
        <v>177</v>
      </c>
    </row>
    <row r="19" spans="2:6" x14ac:dyDescent="0.2">
      <c r="B19" s="12" t="s">
        <v>41</v>
      </c>
      <c r="C19" s="222">
        <f>INDEX(Data_Stock!B2:N11,MATCH("Left Inventory",Data_Stock!B2:B11,0),MATCH(VALUE(C6-1),Data_Stock!B2:N2,0))</f>
        <v>427</v>
      </c>
      <c r="D19" s="103"/>
      <c r="E19" s="199" t="s">
        <v>172</v>
      </c>
    </row>
    <row r="20" spans="2:6" x14ac:dyDescent="0.2">
      <c r="B20" s="12" t="s">
        <v>42</v>
      </c>
      <c r="C20" s="222">
        <f>INDEX(Data_Stock!B2:N11,MATCH("Left",Data_Stock!B2:B11,0),MATCH(VALUE(C6-1),Data_Stock!B2:N2,0))</f>
        <v>1992</v>
      </c>
      <c r="D20" s="103"/>
      <c r="E20" s="199" t="s">
        <v>172</v>
      </c>
    </row>
    <row r="21" spans="2:6" x14ac:dyDescent="0.2">
      <c r="B21" s="14" t="s">
        <v>180</v>
      </c>
      <c r="C21" s="463">
        <f>IF(C8="Overtime",MIN((1560*C34+C19),(C19+(C20*C34))),MIN((1200*C34+C19),(C19+(C20*C34))))</f>
        <v>1924.6</v>
      </c>
      <c r="D21" s="476"/>
    </row>
    <row r="22" spans="2:6" x14ac:dyDescent="0.2">
      <c r="B22" s="9" t="s">
        <v>181</v>
      </c>
      <c r="C22" s="390">
        <f>C21</f>
        <v>1924.6</v>
      </c>
      <c r="D22" s="472"/>
      <c r="E22" s="4" t="s">
        <v>182</v>
      </c>
    </row>
    <row r="23" spans="2:6" x14ac:dyDescent="0.2">
      <c r="B23" s="67" t="str">
        <f>"-----------------------------------------------&gt;&gt;"</f>
        <v>-----------------------------------------------&gt;&gt;</v>
      </c>
      <c r="C23" s="222">
        <f>MIN(C22,C21)</f>
        <v>1924.6</v>
      </c>
      <c r="D23" s="473"/>
      <c r="E23" s="4" t="s">
        <v>183</v>
      </c>
    </row>
    <row r="24" spans="2:6" x14ac:dyDescent="0.2">
      <c r="B24" s="12">
        <v>1</v>
      </c>
      <c r="C24" s="222">
        <f>ROUNDDOWN($C$23*D24,0)</f>
        <v>577</v>
      </c>
      <c r="D24" s="474">
        <v>0.3</v>
      </c>
      <c r="E24" s="4" t="s">
        <v>185</v>
      </c>
    </row>
    <row r="25" spans="2:6" x14ac:dyDescent="0.2">
      <c r="B25" s="12">
        <v>2</v>
      </c>
      <c r="C25" s="222">
        <f t="shared" ref="C25:C26" si="0">ROUNDDOWN($C$23*D25,0)</f>
        <v>327</v>
      </c>
      <c r="D25" s="474">
        <v>0.17</v>
      </c>
      <c r="E25" s="4" t="s">
        <v>187</v>
      </c>
    </row>
    <row r="26" spans="2:6" x14ac:dyDescent="0.2">
      <c r="B26" s="12">
        <v>3</v>
      </c>
      <c r="C26" s="222">
        <f t="shared" si="0"/>
        <v>57</v>
      </c>
      <c r="D26" s="474">
        <f>1-D27-D25-D24</f>
        <v>2.9999999999999971E-2</v>
      </c>
    </row>
    <row r="27" spans="2:6" x14ac:dyDescent="0.2">
      <c r="B27" s="14">
        <v>4</v>
      </c>
      <c r="C27" s="222">
        <v>964</v>
      </c>
      <c r="D27" s="475">
        <v>0.5</v>
      </c>
      <c r="E27" s="4" t="s">
        <v>190</v>
      </c>
      <c r="F27" s="357">
        <f>C23-C24-C25-C26</f>
        <v>963.59999999999991</v>
      </c>
    </row>
    <row r="28" spans="2:6" x14ac:dyDescent="0.2">
      <c r="B28" s="9" t="s">
        <v>192</v>
      </c>
      <c r="C28" s="345">
        <f>SUM(C29:C32)</f>
        <v>1442</v>
      </c>
      <c r="D28" s="178"/>
      <c r="E28" s="4" t="s">
        <v>211</v>
      </c>
    </row>
    <row r="29" spans="2:6" x14ac:dyDescent="0.2">
      <c r="B29" s="12">
        <v>1</v>
      </c>
      <c r="C29" s="222">
        <f>ROUNDDOWN(C24*D29,0)</f>
        <v>432</v>
      </c>
      <c r="D29" s="478">
        <v>0.75</v>
      </c>
      <c r="F29" s="302"/>
    </row>
    <row r="30" spans="2:6" x14ac:dyDescent="0.2">
      <c r="B30" s="12">
        <v>2</v>
      </c>
      <c r="C30" s="222">
        <f t="shared" ref="C30:C31" si="1">ROUNDDOWN(C25*D30,0)</f>
        <v>245</v>
      </c>
      <c r="D30" s="478">
        <v>0.75</v>
      </c>
      <c r="F30" s="302"/>
    </row>
    <row r="31" spans="2:6" x14ac:dyDescent="0.2">
      <c r="B31" s="12">
        <v>3</v>
      </c>
      <c r="C31" s="222">
        <f t="shared" si="1"/>
        <v>42</v>
      </c>
      <c r="D31" s="478">
        <v>0.75</v>
      </c>
      <c r="F31" s="302"/>
    </row>
    <row r="32" spans="2:6" x14ac:dyDescent="0.2">
      <c r="B32" s="14">
        <v>4</v>
      </c>
      <c r="C32" s="463">
        <f>ROUNDDOWN(C27*D32,0)</f>
        <v>723</v>
      </c>
      <c r="D32" s="478">
        <v>0.75</v>
      </c>
      <c r="F32" s="302"/>
    </row>
    <row r="33" spans="2:5" ht="17" customHeight="1" x14ac:dyDescent="0.2">
      <c r="B33" s="9" t="s">
        <v>197</v>
      </c>
      <c r="C33" s="345">
        <f>C23-C19</f>
        <v>1497.6</v>
      </c>
      <c r="D33" s="178"/>
      <c r="E33" s="4" t="s">
        <v>198</v>
      </c>
    </row>
    <row r="34" spans="2:5" ht="17" customHeight="1" x14ac:dyDescent="0.2">
      <c r="B34" s="12" t="s">
        <v>38</v>
      </c>
      <c r="C34" s="221">
        <v>0.96</v>
      </c>
      <c r="D34" s="103"/>
    </row>
    <row r="35" spans="2:5" ht="17" customHeight="1" x14ac:dyDescent="0.2">
      <c r="B35" s="14" t="s">
        <v>199</v>
      </c>
      <c r="C35" s="463">
        <f>ROUNDDOWN(C33*C34,0)</f>
        <v>1437</v>
      </c>
      <c r="D35" s="103"/>
    </row>
    <row r="36" spans="2:5" ht="17" customHeight="1" x14ac:dyDescent="0.2">
      <c r="B36" s="9" t="s">
        <v>200</v>
      </c>
      <c r="C36" s="390">
        <v>1066</v>
      </c>
      <c r="D36" s="477"/>
    </row>
    <row r="37" spans="2:5" ht="17" customHeight="1" x14ac:dyDescent="0.2">
      <c r="B37" s="14" t="str">
        <f>"-------------------------------&gt;"</f>
        <v>-------------------------------&gt;</v>
      </c>
      <c r="C37" s="463">
        <f>IF(C7="Conservasive",1200-(C20-C35),C36)</f>
        <v>1066</v>
      </c>
      <c r="D37" s="103"/>
      <c r="E37" s="4" t="s">
        <v>201</v>
      </c>
    </row>
    <row r="38" spans="2:5" x14ac:dyDescent="0.2">
      <c r="B38" s="71" t="s">
        <v>19</v>
      </c>
      <c r="C38" s="401">
        <v>9</v>
      </c>
      <c r="D38" s="103"/>
    </row>
    <row r="39" spans="2:5" x14ac:dyDescent="0.2">
      <c r="B39" s="71" t="s">
        <v>202</v>
      </c>
      <c r="C39" s="402">
        <v>0.06</v>
      </c>
      <c r="D39" s="103"/>
    </row>
    <row r="40" spans="2:5" x14ac:dyDescent="0.2">
      <c r="B40" s="9" t="s">
        <v>203</v>
      </c>
      <c r="C40" s="345" t="s">
        <v>212</v>
      </c>
      <c r="D40" s="103"/>
    </row>
    <row r="41" spans="2:5" x14ac:dyDescent="0.2">
      <c r="B41" s="12">
        <v>1</v>
      </c>
      <c r="C41" s="291">
        <v>7</v>
      </c>
      <c r="D41" s="103"/>
    </row>
    <row r="42" spans="2:5" x14ac:dyDescent="0.2">
      <c r="B42" s="12">
        <v>2</v>
      </c>
      <c r="C42" s="291">
        <v>10</v>
      </c>
      <c r="D42" s="103"/>
    </row>
    <row r="43" spans="2:5" x14ac:dyDescent="0.2">
      <c r="B43" s="12">
        <v>3</v>
      </c>
      <c r="C43" s="291">
        <v>1</v>
      </c>
      <c r="D43" s="103"/>
    </row>
    <row r="44" spans="2:5" x14ac:dyDescent="0.2">
      <c r="B44" s="14">
        <v>4</v>
      </c>
      <c r="C44" s="393">
        <v>8</v>
      </c>
      <c r="D44" s="103"/>
    </row>
    <row r="45" spans="2:5" x14ac:dyDescent="0.2">
      <c r="B45" s="9" t="s">
        <v>204</v>
      </c>
      <c r="C45" s="345"/>
      <c r="D45" s="103"/>
    </row>
    <row r="46" spans="2:5" x14ac:dyDescent="0.2">
      <c r="B46" s="12">
        <v>1</v>
      </c>
      <c r="C46" s="291">
        <v>0</v>
      </c>
      <c r="D46" s="103"/>
    </row>
    <row r="47" spans="2:5" x14ac:dyDescent="0.2">
      <c r="B47" s="12">
        <v>2</v>
      </c>
      <c r="C47" s="291">
        <v>0</v>
      </c>
      <c r="D47" s="103"/>
    </row>
    <row r="48" spans="2:5" x14ac:dyDescent="0.2">
      <c r="B48" s="12">
        <v>3</v>
      </c>
      <c r="C48" s="291">
        <v>0</v>
      </c>
      <c r="D48" s="103"/>
    </row>
    <row r="49" spans="2:5" x14ac:dyDescent="0.2">
      <c r="B49" s="14">
        <v>4</v>
      </c>
      <c r="C49" s="393">
        <v>0</v>
      </c>
      <c r="D49" s="103"/>
    </row>
    <row r="50" spans="2:5" x14ac:dyDescent="0.2">
      <c r="B50" s="9" t="s">
        <v>82</v>
      </c>
      <c r="C50" s="390">
        <v>5200</v>
      </c>
      <c r="D50" s="103"/>
    </row>
    <row r="51" spans="2:5" x14ac:dyDescent="0.2">
      <c r="B51" s="12" t="s">
        <v>93</v>
      </c>
      <c r="C51" s="291">
        <v>5</v>
      </c>
      <c r="D51" s="103"/>
    </row>
    <row r="52" spans="2:5" x14ac:dyDescent="0.2">
      <c r="B52" s="12" t="s">
        <v>205</v>
      </c>
      <c r="C52" s="291">
        <v>9</v>
      </c>
      <c r="D52" s="103"/>
    </row>
    <row r="53" spans="2:5" x14ac:dyDescent="0.2">
      <c r="B53" s="14" t="s">
        <v>206</v>
      </c>
      <c r="C53" s="393">
        <v>80000</v>
      </c>
      <c r="D53" s="98"/>
      <c r="E53" s="4" t="s">
        <v>207</v>
      </c>
    </row>
  </sheetData>
  <conditionalFormatting sqref="C14">
    <cfRule type="cellIs" dxfId="3" priority="1" operator="greaterThan">
      <formula>0</formula>
    </cfRule>
  </conditionalFormatting>
  <pageMargins left="0.7" right="0.7" top="0.75" bottom="0.75" header="0.3" footer="0.3"/>
  <pageSetup paperSize="9" orientation="portrait" horizontalDpi="0" verticalDpi="0"/>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1699BEA7-62BB-384E-863A-2027A9056AC2}">
          <x14:formula1>
            <xm:f>Reference!$A$28:$A$29</xm:f>
          </x14:formula1>
          <xm:sqref>C7</xm:sqref>
        </x14:dataValidation>
        <x14:dataValidation type="list" allowBlank="1" showInputMessage="1" showErrorMessage="1" xr:uid="{EF736F7A-88C5-694C-A3EA-EC1E7DC1A924}">
          <x14:formula1>
            <xm:f>Reference!$A$14:$A$26</xm:f>
          </x14:formula1>
          <xm:sqref>C6</xm:sqref>
        </x14:dataValidation>
        <x14:dataValidation type="list" allowBlank="1" showInputMessage="1" showErrorMessage="1" xr:uid="{59F95F8C-A0B6-3944-9039-57B942F11737}">
          <x14:formula1>
            <xm:f>Reference!$A$31:$A$32</xm:f>
          </x14:formula1>
          <xm:sqref>C8</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EE750-98C3-7541-999D-FCCAF73BC28B}">
  <sheetPr>
    <tabColor theme="2" tint="-9.9978637043366805E-2"/>
  </sheetPr>
  <dimension ref="B1:G53"/>
  <sheetViews>
    <sheetView zoomScale="150" workbookViewId="0">
      <selection activeCell="D14" sqref="D14"/>
    </sheetView>
  </sheetViews>
  <sheetFormatPr baseColWidth="10" defaultColWidth="11" defaultRowHeight="16" x14ac:dyDescent="0.2"/>
  <cols>
    <col min="1" max="1" width="11" style="4"/>
    <col min="2" max="2" width="33.83203125" style="4" bestFit="1" customWidth="1"/>
    <col min="3" max="3" width="11.33203125" style="462" customWidth="1"/>
    <col min="4" max="5" width="11" style="4" customWidth="1"/>
    <col min="6" max="6" width="13.1640625" style="4" customWidth="1"/>
    <col min="7" max="7" width="15" style="4" customWidth="1"/>
    <col min="8" max="9" width="11" style="4"/>
    <col min="10" max="10" width="34.6640625" style="4" bestFit="1" customWidth="1"/>
    <col min="11" max="16384" width="11" style="4"/>
  </cols>
  <sheetData>
    <row r="1" spans="2:7" x14ac:dyDescent="0.2">
      <c r="B1" s="9" t="s">
        <v>159</v>
      </c>
      <c r="C1" s="10"/>
      <c r="D1" s="464"/>
      <c r="E1" s="10"/>
      <c r="F1" s="10"/>
      <c r="G1" s="465"/>
    </row>
    <row r="2" spans="2:7" x14ac:dyDescent="0.2">
      <c r="B2" s="466" t="b">
        <v>1</v>
      </c>
      <c r="C2" s="4" t="s">
        <v>160</v>
      </c>
      <c r="D2" s="449"/>
      <c r="G2" s="13"/>
    </row>
    <row r="3" spans="2:7" x14ac:dyDescent="0.2">
      <c r="B3" s="466" t="b">
        <v>1</v>
      </c>
      <c r="C3" s="4" t="s">
        <v>161</v>
      </c>
      <c r="D3" s="449"/>
      <c r="G3" s="13"/>
    </row>
    <row r="4" spans="2:7" x14ac:dyDescent="0.2">
      <c r="B4" s="466" t="b">
        <v>1</v>
      </c>
      <c r="C4" s="4" t="s">
        <v>162</v>
      </c>
      <c r="D4" s="449"/>
      <c r="G4" s="13"/>
    </row>
    <row r="5" spans="2:7" x14ac:dyDescent="0.2">
      <c r="B5" s="467" t="b">
        <v>1</v>
      </c>
      <c r="C5" s="15" t="s">
        <v>163</v>
      </c>
      <c r="D5" s="468"/>
      <c r="E5" s="15"/>
      <c r="F5" s="15"/>
      <c r="G5" s="16"/>
    </row>
    <row r="6" spans="2:7" x14ac:dyDescent="0.2">
      <c r="B6" s="12" t="s">
        <v>164</v>
      </c>
      <c r="C6" s="395">
        <v>10</v>
      </c>
    </row>
    <row r="7" spans="2:7" x14ac:dyDescent="0.2">
      <c r="B7" s="71" t="s">
        <v>165</v>
      </c>
      <c r="C7" s="469" t="s">
        <v>166</v>
      </c>
      <c r="E7" s="199" t="s">
        <v>167</v>
      </c>
    </row>
    <row r="8" spans="2:7" x14ac:dyDescent="0.2">
      <c r="B8" s="71" t="s">
        <v>168</v>
      </c>
      <c r="C8" s="469" t="s">
        <v>169</v>
      </c>
      <c r="E8" s="199"/>
    </row>
    <row r="9" spans="2:7" x14ac:dyDescent="0.2">
      <c r="B9" s="12" t="s">
        <v>170</v>
      </c>
      <c r="C9" s="222"/>
      <c r="F9" s="178" t="s">
        <v>192</v>
      </c>
    </row>
    <row r="10" spans="2:7" x14ac:dyDescent="0.2">
      <c r="B10" s="12">
        <v>1</v>
      </c>
      <c r="C10" s="470">
        <v>2899</v>
      </c>
      <c r="F10" s="481">
        <f>C28</f>
        <v>1015</v>
      </c>
    </row>
    <row r="11" spans="2:7" x14ac:dyDescent="0.2">
      <c r="B11" s="12">
        <v>2</v>
      </c>
      <c r="C11" s="470">
        <v>2599</v>
      </c>
      <c r="F11" s="178" t="s">
        <v>209</v>
      </c>
    </row>
    <row r="12" spans="2:7" x14ac:dyDescent="0.2">
      <c r="B12" s="12">
        <v>3</v>
      </c>
      <c r="C12" s="470">
        <v>2899</v>
      </c>
      <c r="F12" s="98" cm="1">
        <f t="array" aca="1" ref="F12" ca="1">INDIRECT("'Q"&amp;C6&amp;"-Predict'!C165")</f>
        <v>1105</v>
      </c>
    </row>
    <row r="13" spans="2:7" x14ac:dyDescent="0.2">
      <c r="B13" s="14">
        <v>4</v>
      </c>
      <c r="C13" s="471">
        <v>2899</v>
      </c>
      <c r="F13" s="476" t="str">
        <f ca="1">IF(F12&gt;F10,"Need Adjustment","All Good")</f>
        <v>Need Adjustment</v>
      </c>
    </row>
    <row r="14" spans="2:7" x14ac:dyDescent="0.2">
      <c r="B14" s="9" t="s">
        <v>148</v>
      </c>
      <c r="C14" s="479" cm="1">
        <f t="array" aca="1" ref="C14" ca="1">INDIRECT("'Q"&amp;C6&amp;"-Predict'!C149")</f>
        <v>-155198.27260000026</v>
      </c>
    </row>
    <row r="15" spans="2:7" x14ac:dyDescent="0.2">
      <c r="B15" s="14" t="s">
        <v>151</v>
      </c>
      <c r="C15" s="463" cm="1">
        <f t="array" aca="1" ref="C15" ca="1">INDIRECT("'Q"&amp;C6&amp;"-Predict'!C154")</f>
        <v>-41223.906060000067</v>
      </c>
    </row>
    <row r="17" spans="2:6" x14ac:dyDescent="0.2">
      <c r="B17" s="9" t="s">
        <v>171</v>
      </c>
      <c r="C17" s="345">
        <f ca="1">INDEX(Data_IncomeStatement!A1:M33,MATCH("PROFIT AND LOSS STATEMENT RESULTS", Data_IncomeStatement!A1:A33, 0),MATCH(VALUE(C6-1), Data_IncomeStatement!A1:M1, 0))</f>
        <v>113974.36654000019</v>
      </c>
      <c r="D17" s="178"/>
      <c r="E17" s="199" t="s">
        <v>172</v>
      </c>
    </row>
    <row r="18" spans="2:6" x14ac:dyDescent="0.2">
      <c r="B18" s="12" t="s">
        <v>175</v>
      </c>
      <c r="C18" s="222">
        <v>0</v>
      </c>
      <c r="D18" s="103"/>
      <c r="E18" s="4" t="s">
        <v>177</v>
      </c>
    </row>
    <row r="19" spans="2:6" x14ac:dyDescent="0.2">
      <c r="B19" s="12" t="s">
        <v>41</v>
      </c>
      <c r="C19" s="222">
        <f>INDEX(Data_Stock!B2:N11,MATCH("Left Inventory",Data_Stock!B2:B11,0),MATCH(VALUE(C6-1),Data_Stock!B2:N2,0))</f>
        <v>534</v>
      </c>
      <c r="D19" s="103"/>
      <c r="E19" s="199" t="s">
        <v>172</v>
      </c>
    </row>
    <row r="20" spans="2:6" x14ac:dyDescent="0.2">
      <c r="B20" s="12" t="s">
        <v>42</v>
      </c>
      <c r="C20" s="222">
        <f>INDEX(Data_Stock!B2:N11,MATCH("Left",Data_Stock!B2:B11,0),MATCH(VALUE(C6-1),Data_Stock!B2:N2,0))</f>
        <v>1930</v>
      </c>
      <c r="D20" s="103"/>
      <c r="E20" s="199" t="s">
        <v>172</v>
      </c>
    </row>
    <row r="21" spans="2:6" x14ac:dyDescent="0.2">
      <c r="B21" s="14" t="s">
        <v>180</v>
      </c>
      <c r="C21" s="463">
        <f>IF(C8="Overtime",MIN((1560*C34+C19),(C19+(C20*C34))),MIN((1200*C34+C19),(C19+(C20*C34))))</f>
        <v>2031.6</v>
      </c>
      <c r="D21" s="476"/>
    </row>
    <row r="22" spans="2:6" x14ac:dyDescent="0.2">
      <c r="B22" s="9" t="s">
        <v>181</v>
      </c>
      <c r="C22" s="390">
        <f>C21</f>
        <v>2031.6</v>
      </c>
      <c r="D22" s="472"/>
      <c r="E22" s="4" t="s">
        <v>182</v>
      </c>
    </row>
    <row r="23" spans="2:6" x14ac:dyDescent="0.2">
      <c r="B23" s="67" t="str">
        <f>"-----------------------------------------------&gt;&gt;"</f>
        <v>-----------------------------------------------&gt;&gt;</v>
      </c>
      <c r="C23" s="222">
        <f>MIN(C22,C21)</f>
        <v>2031.6</v>
      </c>
      <c r="D23" s="473"/>
      <c r="E23" s="4" t="s">
        <v>183</v>
      </c>
    </row>
    <row r="24" spans="2:6" x14ac:dyDescent="0.2">
      <c r="B24" s="12">
        <v>1</v>
      </c>
      <c r="C24" s="222">
        <f>ROUNDDOWN($C$23*D24,0)</f>
        <v>609</v>
      </c>
      <c r="D24" s="474">
        <v>0.3</v>
      </c>
      <c r="E24" s="4" t="s">
        <v>185</v>
      </c>
    </row>
    <row r="25" spans="2:6" x14ac:dyDescent="0.2">
      <c r="B25" s="12">
        <v>2</v>
      </c>
      <c r="C25" s="222">
        <f t="shared" ref="C25:C26" si="0">ROUNDDOWN($C$23*D25,0)</f>
        <v>406</v>
      </c>
      <c r="D25" s="474">
        <v>0.2</v>
      </c>
      <c r="E25" s="4" t="s">
        <v>187</v>
      </c>
    </row>
    <row r="26" spans="2:6" x14ac:dyDescent="0.2">
      <c r="B26" s="12">
        <v>3</v>
      </c>
      <c r="C26" s="222">
        <f t="shared" si="0"/>
        <v>203</v>
      </c>
      <c r="D26" s="474">
        <f>1-D24-D25-D27</f>
        <v>9.9999999999999922E-2</v>
      </c>
    </row>
    <row r="27" spans="2:6" x14ac:dyDescent="0.2">
      <c r="B27" s="14">
        <v>4</v>
      </c>
      <c r="C27" s="222">
        <v>814</v>
      </c>
      <c r="D27" s="475">
        <v>0.4</v>
      </c>
      <c r="E27" s="4" t="s">
        <v>190</v>
      </c>
    </row>
    <row r="28" spans="2:6" x14ac:dyDescent="0.2">
      <c r="B28" s="9" t="s">
        <v>192</v>
      </c>
      <c r="C28" s="345">
        <f>SUM(C29:C32)</f>
        <v>1015</v>
      </c>
      <c r="D28" s="178"/>
      <c r="E28" s="4" t="s">
        <v>211</v>
      </c>
    </row>
    <row r="29" spans="2:6" x14ac:dyDescent="0.2">
      <c r="B29" s="12">
        <v>1</v>
      </c>
      <c r="C29" s="222">
        <f>ROUNDDOWN(C24*D29,0)</f>
        <v>304</v>
      </c>
      <c r="D29" s="478">
        <v>0.5</v>
      </c>
      <c r="F29" s="302"/>
    </row>
    <row r="30" spans="2:6" x14ac:dyDescent="0.2">
      <c r="B30" s="12">
        <v>2</v>
      </c>
      <c r="C30" s="222">
        <f t="shared" ref="C30:C31" si="1">ROUNDDOWN(C25*D30,0)</f>
        <v>203</v>
      </c>
      <c r="D30" s="478">
        <v>0.5</v>
      </c>
      <c r="F30" s="302"/>
    </row>
    <row r="31" spans="2:6" x14ac:dyDescent="0.2">
      <c r="B31" s="12">
        <v>3</v>
      </c>
      <c r="C31" s="222">
        <f t="shared" si="1"/>
        <v>101</v>
      </c>
      <c r="D31" s="478">
        <v>0.5</v>
      </c>
      <c r="F31" s="302"/>
    </row>
    <row r="32" spans="2:6" x14ac:dyDescent="0.2">
      <c r="B32" s="14">
        <v>4</v>
      </c>
      <c r="C32" s="463">
        <f>ROUNDDOWN(C27*D32,0)</f>
        <v>407</v>
      </c>
      <c r="D32" s="478">
        <v>0.5</v>
      </c>
      <c r="F32" s="302"/>
    </row>
    <row r="33" spans="2:5" ht="17" customHeight="1" x14ac:dyDescent="0.2">
      <c r="B33" s="9" t="s">
        <v>197</v>
      </c>
      <c r="C33" s="345">
        <f>C23-C19</f>
        <v>1497.6</v>
      </c>
      <c r="D33" s="178"/>
      <c r="E33" s="4" t="s">
        <v>198</v>
      </c>
    </row>
    <row r="34" spans="2:5" ht="17" customHeight="1" x14ac:dyDescent="0.2">
      <c r="B34" s="12" t="s">
        <v>38</v>
      </c>
      <c r="C34" s="221">
        <v>0.96</v>
      </c>
      <c r="D34" s="103"/>
    </row>
    <row r="35" spans="2:5" ht="17" customHeight="1" x14ac:dyDescent="0.2">
      <c r="B35" s="14" t="s">
        <v>199</v>
      </c>
      <c r="C35" s="463">
        <f>ROUNDDOWN(C33*C34,0)</f>
        <v>1437</v>
      </c>
      <c r="D35" s="103"/>
    </row>
    <row r="36" spans="2:5" ht="17" customHeight="1" x14ac:dyDescent="0.2">
      <c r="B36" s="9" t="s">
        <v>200</v>
      </c>
      <c r="C36" s="390">
        <v>1560</v>
      </c>
      <c r="D36" s="477"/>
    </row>
    <row r="37" spans="2:5" ht="17" customHeight="1" x14ac:dyDescent="0.2">
      <c r="B37" s="14" t="str">
        <f>"-------------------------------&gt;"</f>
        <v>-------------------------------&gt;</v>
      </c>
      <c r="C37" s="463">
        <f>IF(C7="Conservasive",1200-(C20-C35),C36)</f>
        <v>1560</v>
      </c>
      <c r="D37" s="103"/>
      <c r="E37" s="4" t="s">
        <v>201</v>
      </c>
    </row>
    <row r="38" spans="2:5" x14ac:dyDescent="0.2">
      <c r="B38" s="71" t="s">
        <v>19</v>
      </c>
      <c r="C38" s="401">
        <v>9</v>
      </c>
      <c r="D38" s="103"/>
    </row>
    <row r="39" spans="2:5" x14ac:dyDescent="0.2">
      <c r="B39" s="71" t="s">
        <v>202</v>
      </c>
      <c r="C39" s="402">
        <v>0.06</v>
      </c>
      <c r="D39" s="103"/>
    </row>
    <row r="40" spans="2:5" x14ac:dyDescent="0.2">
      <c r="B40" s="9" t="s">
        <v>203</v>
      </c>
      <c r="C40" s="345" t="s">
        <v>212</v>
      </c>
      <c r="D40" s="103"/>
    </row>
    <row r="41" spans="2:5" x14ac:dyDescent="0.2">
      <c r="B41" s="12">
        <v>1</v>
      </c>
      <c r="C41" s="291">
        <v>7</v>
      </c>
      <c r="D41" s="103"/>
    </row>
    <row r="42" spans="2:5" x14ac:dyDescent="0.2">
      <c r="B42" s="12">
        <v>2</v>
      </c>
      <c r="C42" s="291">
        <v>10</v>
      </c>
      <c r="D42" s="103"/>
    </row>
    <row r="43" spans="2:5" x14ac:dyDescent="0.2">
      <c r="B43" s="12">
        <v>3</v>
      </c>
      <c r="C43" s="291">
        <v>1</v>
      </c>
      <c r="D43" s="103"/>
    </row>
    <row r="44" spans="2:5" x14ac:dyDescent="0.2">
      <c r="B44" s="14">
        <v>4</v>
      </c>
      <c r="C44" s="393">
        <v>8</v>
      </c>
      <c r="D44" s="103"/>
    </row>
    <row r="45" spans="2:5" x14ac:dyDescent="0.2">
      <c r="B45" s="9" t="s">
        <v>204</v>
      </c>
      <c r="C45" s="345"/>
      <c r="D45" s="103"/>
    </row>
    <row r="46" spans="2:5" x14ac:dyDescent="0.2">
      <c r="B46" s="12">
        <v>1</v>
      </c>
      <c r="C46" s="291">
        <v>0</v>
      </c>
      <c r="D46" s="103"/>
    </row>
    <row r="47" spans="2:5" x14ac:dyDescent="0.2">
      <c r="B47" s="12">
        <v>2</v>
      </c>
      <c r="C47" s="291">
        <v>0</v>
      </c>
      <c r="D47" s="103"/>
    </row>
    <row r="48" spans="2:5" x14ac:dyDescent="0.2">
      <c r="B48" s="12">
        <v>3</v>
      </c>
      <c r="C48" s="291">
        <v>0</v>
      </c>
      <c r="D48" s="103"/>
    </row>
    <row r="49" spans="2:5" x14ac:dyDescent="0.2">
      <c r="B49" s="14">
        <v>4</v>
      </c>
      <c r="C49" s="393">
        <v>0</v>
      </c>
      <c r="D49" s="103"/>
    </row>
    <row r="50" spans="2:5" x14ac:dyDescent="0.2">
      <c r="B50" s="9" t="s">
        <v>82</v>
      </c>
      <c r="C50" s="390">
        <v>5200</v>
      </c>
      <c r="D50" s="103"/>
    </row>
    <row r="51" spans="2:5" x14ac:dyDescent="0.2">
      <c r="B51" s="12" t="s">
        <v>93</v>
      </c>
      <c r="C51" s="291">
        <v>7</v>
      </c>
      <c r="D51" s="103"/>
    </row>
    <row r="52" spans="2:5" x14ac:dyDescent="0.2">
      <c r="B52" s="12" t="s">
        <v>205</v>
      </c>
      <c r="C52" s="291">
        <v>9</v>
      </c>
      <c r="D52" s="103"/>
    </row>
    <row r="53" spans="2:5" x14ac:dyDescent="0.2">
      <c r="B53" s="14" t="s">
        <v>206</v>
      </c>
      <c r="C53" s="393">
        <v>0</v>
      </c>
      <c r="D53" s="98"/>
      <c r="E53" s="4" t="s">
        <v>207</v>
      </c>
    </row>
  </sheetData>
  <conditionalFormatting sqref="C14">
    <cfRule type="cellIs" dxfId="2" priority="1" operator="greaterThan">
      <formula>0</formula>
    </cfRule>
  </conditionalFormatting>
  <pageMargins left="0.7" right="0.7" top="0.75" bottom="0.75" header="0.3" footer="0.3"/>
  <pageSetup paperSize="9" orientation="portrait" horizontalDpi="0" verticalDpi="0"/>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462007EF-DB5B-6F44-B986-1B644D8C47A2}">
          <x14:formula1>
            <xm:f>Reference!$A$28:$A$29</xm:f>
          </x14:formula1>
          <xm:sqref>C7</xm:sqref>
        </x14:dataValidation>
        <x14:dataValidation type="list" allowBlank="1" showInputMessage="1" showErrorMessage="1" xr:uid="{8ED6616A-1265-CB4C-A276-27BC5F3B8333}">
          <x14:formula1>
            <xm:f>Reference!$A$14:$A$26</xm:f>
          </x14:formula1>
          <xm:sqref>C6</xm:sqref>
        </x14:dataValidation>
        <x14:dataValidation type="list" allowBlank="1" showInputMessage="1" showErrorMessage="1" xr:uid="{8224F5B1-A0DA-2F41-B3E4-B25BA7CA91B2}">
          <x14:formula1>
            <xm:f>Reference!$A$31:$A$32</xm:f>
          </x14:formula1>
          <xm:sqref>C8</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89096-1510-354A-AE88-A5FCCF8EEC3D}">
  <sheetPr>
    <tabColor theme="2" tint="-9.9978637043366805E-2"/>
  </sheetPr>
  <dimension ref="A1:V174"/>
  <sheetViews>
    <sheetView topLeftCell="A56" zoomScaleNormal="120" workbookViewId="0">
      <selection activeCell="D153" sqref="D153"/>
    </sheetView>
  </sheetViews>
  <sheetFormatPr baseColWidth="10" defaultColWidth="11" defaultRowHeight="16" x14ac:dyDescent="0.2"/>
  <cols>
    <col min="1" max="1" width="5.6640625" style="4" customWidth="1"/>
    <col min="2" max="2" width="33.33203125" bestFit="1" customWidth="1"/>
    <col min="3" max="3" width="14" bestFit="1" customWidth="1"/>
    <col min="4" max="4" width="17.83203125" bestFit="1" customWidth="1"/>
    <col min="5" max="5" width="19.5" customWidth="1"/>
    <col min="6" max="6" width="15.33203125" bestFit="1" customWidth="1"/>
    <col min="7" max="7" width="32.66406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178" t="s">
        <v>0</v>
      </c>
      <c r="C2" s="4"/>
      <c r="D2" s="4"/>
      <c r="E2" s="4"/>
      <c r="F2" s="4"/>
      <c r="G2" s="4"/>
      <c r="H2" s="4"/>
      <c r="I2" s="4"/>
      <c r="J2" s="4"/>
      <c r="K2" s="4"/>
      <c r="L2" s="4"/>
      <c r="M2" s="4"/>
      <c r="N2" s="4"/>
      <c r="O2" s="4"/>
      <c r="P2" s="4"/>
      <c r="Q2" s="4"/>
      <c r="R2" s="4"/>
      <c r="S2" s="4"/>
      <c r="T2" s="4"/>
      <c r="U2" s="4"/>
      <c r="V2" s="4"/>
    </row>
    <row r="3" spans="1:22" x14ac:dyDescent="0.2">
      <c r="B3" s="460">
        <v>10</v>
      </c>
      <c r="C3" s="4"/>
      <c r="D3" s="4"/>
      <c r="E3" s="4"/>
      <c r="F3" s="4"/>
      <c r="G3" s="4"/>
      <c r="H3" s="4"/>
      <c r="I3" s="4"/>
      <c r="J3" s="4"/>
      <c r="K3" s="4"/>
      <c r="L3" s="4"/>
      <c r="M3" s="4"/>
      <c r="N3" s="4"/>
      <c r="O3" s="4"/>
      <c r="P3" s="4"/>
      <c r="Q3" s="4"/>
      <c r="R3" s="4"/>
      <c r="S3" s="4"/>
      <c r="T3" s="4"/>
      <c r="U3" s="4"/>
      <c r="V3" s="4"/>
    </row>
    <row r="4" spans="1:22" s="4" customFormat="1" x14ac:dyDescent="0.2">
      <c r="B4" s="178" t="s">
        <v>1</v>
      </c>
    </row>
    <row r="5" spans="1:22" s="4" customFormat="1" x14ac:dyDescent="0.2">
      <c r="B5" s="460" t="s">
        <v>2</v>
      </c>
    </row>
    <row r="6" spans="1:22" s="4" customFormat="1" x14ac:dyDescent="0.2">
      <c r="B6" s="178" t="s">
        <v>3</v>
      </c>
    </row>
    <row r="7" spans="1:22" s="4" customFormat="1" x14ac:dyDescent="0.2">
      <c r="B7" s="461" t="str" cm="1">
        <f t="array" aca="1" ref="B7" ca="1">INDIRECT("'Input_Q"&amp;B3&amp;"-Predict'!C8")</f>
        <v>Overtime</v>
      </c>
    </row>
    <row r="8" spans="1:22" s="4" customFormat="1" x14ac:dyDescent="0.2"/>
    <row r="9" spans="1:22" s="4" customFormat="1" x14ac:dyDescent="0.2">
      <c r="B9" s="99" t="s">
        <v>4</v>
      </c>
    </row>
    <row r="10" spans="1:22" x14ac:dyDescent="0.2">
      <c r="B10" s="69" t="s">
        <v>5</v>
      </c>
      <c r="C10" s="4"/>
      <c r="D10" s="4"/>
      <c r="E10" s="4"/>
      <c r="F10" s="4"/>
      <c r="G10" s="4"/>
      <c r="H10" s="4"/>
      <c r="I10" s="4"/>
      <c r="J10" s="4"/>
      <c r="K10" s="4"/>
      <c r="L10" s="4"/>
      <c r="M10" s="4"/>
      <c r="N10" s="4"/>
      <c r="O10" s="4"/>
      <c r="P10" s="4"/>
      <c r="Q10" s="4"/>
      <c r="R10" s="4"/>
      <c r="S10" s="4"/>
      <c r="T10" s="4"/>
      <c r="U10" s="4"/>
      <c r="V10" s="4"/>
    </row>
    <row r="11" spans="1:22" x14ac:dyDescent="0.2">
      <c r="B11" s="268" t="s">
        <v>6</v>
      </c>
      <c r="C11" s="4"/>
      <c r="D11" s="4"/>
      <c r="E11" s="4"/>
      <c r="F11" s="4"/>
      <c r="G11" s="4"/>
      <c r="H11" s="4"/>
      <c r="I11" s="4"/>
      <c r="J11" s="4"/>
      <c r="K11" s="4"/>
      <c r="L11" s="4"/>
      <c r="M11" s="4"/>
      <c r="N11" s="4"/>
      <c r="O11" s="4"/>
      <c r="P11" s="4"/>
      <c r="Q11" s="4"/>
      <c r="R11" s="4"/>
      <c r="S11" s="4"/>
      <c r="T11" s="4"/>
      <c r="U11" s="4"/>
      <c r="V11" s="4"/>
    </row>
    <row r="12" spans="1:22" x14ac:dyDescent="0.2">
      <c r="B12" s="4"/>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 ca="1">F19*F20</f>
        <v>135000</v>
      </c>
      <c r="E18" s="576" t="s">
        <v>12</v>
      </c>
      <c r="F18" s="577"/>
      <c r="G18" s="578"/>
      <c r="I18" s="71" t="s">
        <v>13</v>
      </c>
      <c r="J18" s="72"/>
      <c r="K18" s="72" t="s">
        <v>14</v>
      </c>
      <c r="L18" s="72" t="s">
        <v>15</v>
      </c>
      <c r="M18" s="72" t="s">
        <v>16</v>
      </c>
      <c r="N18" s="73" t="s">
        <v>17</v>
      </c>
    </row>
    <row r="19" spans="2:22" s="4" customFormat="1" x14ac:dyDescent="0.2">
      <c r="B19" s="12" t="s">
        <v>18</v>
      </c>
      <c r="C19" s="217">
        <f ca="1">N23</f>
        <v>892148.4</v>
      </c>
      <c r="E19" s="284" t="s">
        <v>19</v>
      </c>
      <c r="F19" s="285">
        <v>15000</v>
      </c>
      <c r="G19" s="11" t="s">
        <v>20</v>
      </c>
      <c r="I19" s="12"/>
      <c r="J19" s="4" t="s">
        <v>21</v>
      </c>
      <c r="K19" s="4" t="s">
        <v>22</v>
      </c>
      <c r="L19" s="4">
        <f>VLOOKUP($K$19,$E$24:F59,2,FALSE)</f>
        <v>36</v>
      </c>
      <c r="M19" s="4">
        <f>L19*$F$25</f>
        <v>36</v>
      </c>
      <c r="N19" s="13">
        <f ca="1">M19*$F$24</f>
        <v>56160</v>
      </c>
    </row>
    <row r="20" spans="2:22" s="4" customFormat="1" x14ac:dyDescent="0.2">
      <c r="B20" s="12" t="s">
        <v>23</v>
      </c>
      <c r="C20" s="281">
        <f>C34*0.02*M24</f>
        <v>21349.857600000007</v>
      </c>
      <c r="E20" s="68"/>
      <c r="F20" s="76" cm="1">
        <f t="array" aca="1" ref="F20" ca="1">INDIRECT("'Input_Q"&amp;B3&amp;"-Predict'!C38")</f>
        <v>9</v>
      </c>
      <c r="G20" s="16"/>
      <c r="I20" s="12" t="s">
        <v>24</v>
      </c>
      <c r="J20" s="19" t="s">
        <v>25</v>
      </c>
      <c r="K20" s="4" t="s">
        <v>26</v>
      </c>
      <c r="L20" s="4">
        <f>VLOOKUP($K$20,$E$25:F60,2,FALSE)</f>
        <v>44.52</v>
      </c>
      <c r="M20" s="4">
        <f>L20*$F$28</f>
        <v>89.04</v>
      </c>
      <c r="N20" s="13">
        <f ca="1">M20*$F$24</f>
        <v>138902.40000000002</v>
      </c>
    </row>
    <row r="21" spans="2:22" s="4" customFormat="1" x14ac:dyDescent="0.2">
      <c r="B21" s="14" t="s">
        <v>27</v>
      </c>
      <c r="C21" s="453">
        <v>280000</v>
      </c>
      <c r="E21" s="12" t="s">
        <v>28</v>
      </c>
      <c r="G21" s="103"/>
      <c r="I21" s="12"/>
      <c r="J21" s="20" t="s">
        <v>29</v>
      </c>
      <c r="K21" s="4" t="s">
        <v>30</v>
      </c>
      <c r="L21" s="4">
        <f>VLOOKUP($K$21,$E$26:F63,2,FALSE)</f>
        <v>187.20000000000002</v>
      </c>
      <c r="M21" s="4">
        <f>L21*$F$38</f>
        <v>374.40000000000003</v>
      </c>
      <c r="N21" s="13">
        <f ca="1">M21*$F$24</f>
        <v>584064</v>
      </c>
      <c r="V21" s="19"/>
    </row>
    <row r="22" spans="2:22" s="4" customFormat="1" x14ac:dyDescent="0.2">
      <c r="B22" s="14"/>
      <c r="C22" s="278">
        <f ca="1">SUM(C17:C21)</f>
        <v>1328498.2576000001</v>
      </c>
      <c r="E22" s="12" t="s">
        <v>31</v>
      </c>
      <c r="F22" s="214">
        <v>1300000</v>
      </c>
      <c r="G22" s="103"/>
      <c r="I22" s="12"/>
      <c r="J22" s="70" t="s">
        <v>32</v>
      </c>
      <c r="K22" s="4" t="s">
        <v>33</v>
      </c>
      <c r="L22" s="4">
        <f>VLOOKUP($K$22,$E$21:F60,2,FALSE)</f>
        <v>24.150000000000002</v>
      </c>
      <c r="M22" s="4">
        <f>L22*$F$51</f>
        <v>72.45</v>
      </c>
      <c r="N22" s="13">
        <f ca="1">M22*$F$24</f>
        <v>113022</v>
      </c>
      <c r="V22" s="20"/>
    </row>
    <row r="23" spans="2:22" s="4" customFormat="1" x14ac:dyDescent="0.2">
      <c r="E23" s="12" t="s">
        <v>34</v>
      </c>
      <c r="F23" s="214">
        <v>1500000</v>
      </c>
      <c r="G23" s="103"/>
      <c r="I23" s="71" t="s">
        <v>35</v>
      </c>
      <c r="J23" s="72"/>
      <c r="K23" s="72"/>
      <c r="L23" s="72"/>
      <c r="M23" s="72">
        <f>SUM(M19:M22)</f>
        <v>571.8900000000001</v>
      </c>
      <c r="N23" s="73">
        <f ca="1">SUM(N19:N22)</f>
        <v>892148.4</v>
      </c>
      <c r="V23" s="70"/>
    </row>
    <row r="24" spans="2:22" s="4" customFormat="1" x14ac:dyDescent="0.2">
      <c r="E24" s="14" t="s">
        <v>18</v>
      </c>
      <c r="F24" s="95" cm="1">
        <f t="array" aca="1" ref="F24" ca="1">INDIRECT("'Input_Q"&amp;B3&amp;"-Predict'!C36")</f>
        <v>1560</v>
      </c>
      <c r="G24" s="103" t="s">
        <v>36</v>
      </c>
      <c r="I24" s="14" t="s">
        <v>37</v>
      </c>
      <c r="J24" s="15"/>
      <c r="K24" s="15"/>
      <c r="L24" s="15"/>
      <c r="M24" s="15">
        <f>M23-M19</f>
        <v>535.8900000000001</v>
      </c>
      <c r="N24" s="16">
        <f ca="1">M24*F24</f>
        <v>835988.40000000014</v>
      </c>
    </row>
    <row r="25" spans="2:22" s="4" customFormat="1" x14ac:dyDescent="0.2">
      <c r="B25" s="71" t="s">
        <v>38</v>
      </c>
      <c r="C25" s="454" cm="1">
        <f t="array" aca="1" ref="C25" ca="1">IF(B5="Validation",'Q10-Validation'!C30/'Q10-Validation'!C29,INDIRECT("'Input_Q"&amp;B3&amp;"-Predict'!C34"))</f>
        <v>1.0002670940170941</v>
      </c>
      <c r="E25" s="9" t="s">
        <v>21</v>
      </c>
      <c r="F25" s="10">
        <v>1</v>
      </c>
      <c r="G25" s="103" t="s">
        <v>39</v>
      </c>
    </row>
    <row r="26" spans="2:22" s="4" customFormat="1" x14ac:dyDescent="0.2">
      <c r="E26" s="12" t="s">
        <v>40</v>
      </c>
      <c r="F26" s="214">
        <v>20</v>
      </c>
      <c r="G26" s="103"/>
    </row>
    <row r="27" spans="2:22" s="4" customFormat="1" x14ac:dyDescent="0.2">
      <c r="B27" s="9" t="s">
        <v>41</v>
      </c>
      <c r="C27" s="289">
        <f>INDEX(Data_Stock!B2:N11,MATCH("Left Inventory",Data_Stock!B2:B11,0),MATCH(VALUE(B3-1),Data_Stock!B2:N2,0))</f>
        <v>534</v>
      </c>
      <c r="E27" s="14" t="s">
        <v>22</v>
      </c>
      <c r="F27" s="283">
        <v>36</v>
      </c>
      <c r="G27" s="98"/>
    </row>
    <row r="28" spans="2:22" s="4" customFormat="1" x14ac:dyDescent="0.2">
      <c r="B28" s="12" t="s">
        <v>42</v>
      </c>
      <c r="C28" s="290">
        <f>INDEX(Data_Stock!B2:N11,MATCH("Left",Data_Stock!B2:B11,0),MATCH(VALUE(B3-1),Data_Stock!B2:N2,0))</f>
        <v>1930</v>
      </c>
      <c r="E28" s="9" t="s">
        <v>25</v>
      </c>
      <c r="F28" s="11">
        <v>2</v>
      </c>
      <c r="G28" s="103" t="s">
        <v>39</v>
      </c>
      <c r="P28" s="214"/>
      <c r="V28" s="19"/>
    </row>
    <row r="29" spans="2:22" s="4" customFormat="1" x14ac:dyDescent="0.2">
      <c r="B29" s="12" t="s">
        <v>43</v>
      </c>
      <c r="C29" s="291" cm="1">
        <f t="array" aca="1" ref="C29" ca="1">INDIRECT("'Input_Q"&amp;B3&amp;"-Predict'!C33")</f>
        <v>1497.6</v>
      </c>
      <c r="E29" s="12" t="s">
        <v>44</v>
      </c>
      <c r="F29" s="13">
        <f>(1+F31)*F30</f>
        <v>43.2</v>
      </c>
      <c r="G29" s="103"/>
      <c r="V29" s="20"/>
    </row>
    <row r="30" spans="2:22" s="4" customFormat="1" x14ac:dyDescent="0.2">
      <c r="B30" s="12" t="str">
        <f>IF(B5="Validation","Actual Production","Predict Production")</f>
        <v>Actual Production</v>
      </c>
      <c r="C30" s="292">
        <f>INDEX(Data_Stock!B2:N11,MATCH("Produced",Data_Stock!B2:B11,0),MATCH(VALUE(B3),Data_Stock!B2:N2,0))</f>
        <v>1498</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 ca="1">F24</f>
        <v>1560</v>
      </c>
      <c r="E33" s="67" t="s">
        <v>45</v>
      </c>
      <c r="F33" s="13">
        <v>42</v>
      </c>
      <c r="G33" s="103"/>
    </row>
    <row r="34" spans="2:14" s="4" customFormat="1" x14ac:dyDescent="0.2">
      <c r="B34" s="12" t="s">
        <v>49</v>
      </c>
      <c r="C34" s="222">
        <f>IF(B5="Validation",INDEX(Data_Stock!B2:N11,MATCH("Left",Data_Stock!B2:B11,0),MATCH('Q10-Validation'!B3,Data_Stock!B2:N2,0)),C28+F24-C30)</f>
        <v>1992</v>
      </c>
      <c r="E34" s="67" t="s">
        <v>46</v>
      </c>
      <c r="F34" s="13">
        <v>0.06</v>
      </c>
      <c r="G34" s="103"/>
    </row>
    <row r="35" spans="2:14" s="4" customFormat="1" x14ac:dyDescent="0.2">
      <c r="B35" s="14" t="s">
        <v>50</v>
      </c>
      <c r="C35" s="288">
        <f>C34*M24</f>
        <v>1067492.8800000001</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 ca="1">SUMPRODUCT(F73:I73,F71:I71)</f>
        <v>4562295</v>
      </c>
    </row>
    <row r="69" spans="2:11" s="4" customFormat="1" x14ac:dyDescent="0.2">
      <c r="B69" s="12" t="s">
        <v>61</v>
      </c>
      <c r="C69" s="221">
        <f ca="1">J75</f>
        <v>423771.62</v>
      </c>
      <c r="E69" s="9" t="str">
        <f>IF(B5="Validation","Actual S.C.R","Predict S.C.R")</f>
        <v>Actual S.C.R</v>
      </c>
      <c r="F69" s="311" cm="1">
        <f t="array" aca="1" ref="F69" ca="1">IF($B$5="Validation",F73/F72,INDIRECT("'Input_Q"&amp;$B$3&amp;"-Predict'!D29"))</f>
        <v>0.79474548440065684</v>
      </c>
      <c r="G69" s="311" cm="1">
        <f t="array" aca="1" ref="G69" ca="1">IF($B$5="Validation",G73/G72,INDIRECT("'Input_Q"&amp;$B$3&amp;"-Predict'!D30"))</f>
        <v>0.74384236453201968</v>
      </c>
      <c r="H69" s="311" cm="1">
        <f t="array" aca="1" ref="H69" ca="1">IF($B$5="Validation",H73/H72,INDIRECT("'Input_Q"&amp;$B$3&amp;"-Predict'!D31"))</f>
        <v>0.74384236453201968</v>
      </c>
      <c r="I69" s="311" cm="1">
        <f t="array" aca="1" ref="I69" ca="1">IF($B$5="Validation",I73/I72,INDIRECT("'Input_Q"&amp;$B$3&amp;"-Predict'!D32"))</f>
        <v>0.82063882063882065</v>
      </c>
      <c r="J69" s="11"/>
    </row>
    <row r="70" spans="2:11" s="4" customFormat="1" x14ac:dyDescent="0.2">
      <c r="B70" s="12" t="s">
        <v>62</v>
      </c>
      <c r="C70" s="318">
        <f ca="1">C68*C74</f>
        <v>273737.7</v>
      </c>
      <c r="E70" s="297" t="s">
        <v>63</v>
      </c>
      <c r="F70" s="298">
        <v>1</v>
      </c>
      <c r="G70" s="298">
        <v>2</v>
      </c>
      <c r="H70" s="298">
        <v>3</v>
      </c>
      <c r="I70" s="299">
        <v>4</v>
      </c>
      <c r="J70" s="299" t="s">
        <v>64</v>
      </c>
    </row>
    <row r="71" spans="2:11" s="4" customFormat="1" x14ac:dyDescent="0.2">
      <c r="B71" s="14"/>
      <c r="C71" s="319">
        <f ca="1">SUM(C68:C70)</f>
        <v>5259804.32</v>
      </c>
      <c r="E71" s="300" t="s">
        <v>65</v>
      </c>
      <c r="F71" s="358" cm="1">
        <f t="array" aca="1" ref="F71" ca="1">INDIRECT("'Input_Q"&amp;$B$3&amp;"-Predict'!C10")</f>
        <v>2899</v>
      </c>
      <c r="G71" s="358" cm="1">
        <f t="array" aca="1" ref="G71" ca="1">INDIRECT("'Input_Q"&amp;$B$3&amp;"-Predict'!C11")</f>
        <v>2599</v>
      </c>
      <c r="H71" s="358" cm="1">
        <f t="array" aca="1" ref="H71" ca="1">INDIRECT("'Input_Q"&amp;$B$3&amp;"-Predict'!C12")</f>
        <v>2899</v>
      </c>
      <c r="I71" s="358" cm="1">
        <f t="array" aca="1" ref="I71" ca="1">INDIRECT("'Input_Q"&amp;$B$3&amp;"-Predict'!C13")</f>
        <v>2899</v>
      </c>
      <c r="J71" s="301" t="s">
        <v>66</v>
      </c>
      <c r="K71" s="363"/>
    </row>
    <row r="72" spans="2:11" s="4" customFormat="1" x14ac:dyDescent="0.2">
      <c r="E72" s="300" t="s">
        <v>67</v>
      </c>
      <c r="F72" s="272" cm="1">
        <f t="array" aca="1" ref="F72" ca="1">INDIRECT("'Input_Q"&amp;$B$3&amp;"-Predict'!C24")</f>
        <v>609</v>
      </c>
      <c r="G72" s="272" cm="1">
        <f t="array" aca="1" ref="G72" ca="1">INDIRECT("'Input_Q"&amp;$B$3&amp;"-Predict'!C25")</f>
        <v>406</v>
      </c>
      <c r="H72" s="272" cm="1">
        <f t="array" aca="1" ref="H72" ca="1">INDIRECT("'Input_Q"&amp;$B$3&amp;"-Predict'!C26")</f>
        <v>203</v>
      </c>
      <c r="I72" s="272" cm="1">
        <f t="array" aca="1" ref="I72" ca="1">INDIRECT("'Input_Q"&amp;$B$3&amp;"-Predict'!C27")</f>
        <v>814</v>
      </c>
      <c r="J72" s="303">
        <f>Archived_Testing_Q5!B19</f>
        <v>1600</v>
      </c>
    </row>
    <row r="73" spans="2:11" s="4" customFormat="1" x14ac:dyDescent="0.2">
      <c r="D73" s="199"/>
      <c r="E73" s="300" t="str">
        <f>IF(B5="Validation","Actual Sale","Predict Sale")</f>
        <v>Actual Sale</v>
      </c>
      <c r="F73" s="353">
        <f>IF($E$73="Actual Sale",INDEX(Data_Sales!$B$3:$N$8,MATCH(F70,Data_Sales!$B$3:$B$8,0),MATCH($B$3,Data_Sales!$B$3:$N$3,0)),ROUNDDOWN(F69*F72,0))</f>
        <v>484</v>
      </c>
      <c r="G73" s="353">
        <f>IF($E$73="Actual Sale",INDEX(Data_Sales!$B$3:$N$8,MATCH(G70,Data_Sales!$B$3:$B$8,0),MATCH($B$3,Data_Sales!$B$3:$N$3,0)),ROUNDDOWN(G69*G72,0))</f>
        <v>302</v>
      </c>
      <c r="H73" s="353">
        <f>IF($E$73="Actual Sale",INDEX(Data_Sales!$B$3:$N$8,MATCH(H70,Data_Sales!$B$3:$B$8,0),MATCH($B$3,Data_Sales!$B$3:$N$3,0)),ROUNDDOWN(H69*H72,0))</f>
        <v>151</v>
      </c>
      <c r="I73" s="353">
        <f>IF($E$73="Actual Sale",INDEX(Data_Sales!$B$3:$N$8,MATCH(I70,Data_Sales!$B$3:$B$8,0),MATCH($B$3,Data_Sales!$B$3:$N$3,0)),ROUNDDOWN(I69*I72,0))</f>
        <v>668</v>
      </c>
      <c r="J73" s="383">
        <f>SUM(F73:I73)</f>
        <v>1605</v>
      </c>
    </row>
    <row r="74" spans="2:11" s="4" customFormat="1" x14ac:dyDescent="0.2">
      <c r="B74" s="9" t="s">
        <v>68</v>
      </c>
      <c r="C74" s="406" cm="1">
        <f t="array" aca="1" ref="C74" ca="1">INDIRECT("'Input_Q"&amp;B3&amp;"-Predict'!C39")</f>
        <v>0.06</v>
      </c>
      <c r="D74" s="199"/>
      <c r="E74" s="300" t="s">
        <v>69</v>
      </c>
      <c r="F74" s="256" cm="1">
        <f t="array" aca="1" ref="F74" ca="1">INDIRECT("'Input_Q"&amp;$B$3&amp;"-Predict'!C41")</f>
        <v>7</v>
      </c>
      <c r="G74" s="256" cm="1">
        <f t="array" aca="1" ref="G74" ca="1">INDIRECT("'Input_Q"&amp;$B$3&amp;"-Predict'!C42")</f>
        <v>10</v>
      </c>
      <c r="H74" s="256" cm="1">
        <f t="array" aca="1" ref="H74" ca="1">INDIRECT("'Input_Q"&amp;$B$3&amp;"-Predict'!C43")</f>
        <v>1</v>
      </c>
      <c r="I74" s="256" cm="1">
        <f t="array" aca="1" ref="I74" ca="1">INDIRECT("'Input_Q"&amp;$B$3&amp;"-Predict'!C44")</f>
        <v>8</v>
      </c>
      <c r="J74" s="301"/>
    </row>
    <row r="75" spans="2:11" s="4" customFormat="1" x14ac:dyDescent="0.2">
      <c r="B75" s="12" t="s">
        <v>70</v>
      </c>
      <c r="C75" s="221">
        <f>J72</f>
        <v>1600</v>
      </c>
      <c r="D75" s="357"/>
      <c r="E75" s="300" t="s">
        <v>71</v>
      </c>
      <c r="F75" s="312">
        <f ca="1">F72*F71*F74/100</f>
        <v>123584.37</v>
      </c>
      <c r="G75" s="312">
        <f ca="1">G72*G71*G74/100</f>
        <v>105519.4</v>
      </c>
      <c r="H75" s="312">
        <f ca="1">H72*H71*H74/100</f>
        <v>5884.97</v>
      </c>
      <c r="I75" s="304">
        <f ca="1">I72*I71*I74/100</f>
        <v>188782.88</v>
      </c>
      <c r="J75" s="304">
        <f ca="1">SUM(F75:I75)</f>
        <v>423771.62</v>
      </c>
    </row>
    <row r="76" spans="2:11" s="4" customFormat="1" x14ac:dyDescent="0.2">
      <c r="B76" s="12" t="s">
        <v>72</v>
      </c>
      <c r="C76" s="221">
        <f>J73</f>
        <v>1605</v>
      </c>
      <c r="D76" s="199"/>
      <c r="E76" s="300" t="s">
        <v>73</v>
      </c>
      <c r="F76" s="256" cm="1">
        <f t="array" aca="1" ref="F76" ca="1">INDIRECT("'Input_Q"&amp;$B$3&amp;"-Predict'!C46")</f>
        <v>0</v>
      </c>
      <c r="G76" s="256" cm="1">
        <f t="array" aca="1" ref="G76" ca="1">INDIRECT("'Input_Q"&amp;$B$3&amp;"-Predict'!C47")</f>
        <v>0</v>
      </c>
      <c r="H76" s="256" cm="1">
        <f t="array" aca="1" ref="H76" ca="1">INDIRECT("'Input_Q"&amp;$B$3&amp;"-Predict'!C48")</f>
        <v>0</v>
      </c>
      <c r="I76" s="256" cm="1">
        <f t="array" aca="1" ref="I76" ca="1">INDIRECT("'Input_Q"&amp;$B$3&amp;"-Predict'!C49")</f>
        <v>0</v>
      </c>
      <c r="J76" s="301" t="s">
        <v>66</v>
      </c>
    </row>
    <row r="77" spans="2:11" s="4" customFormat="1" x14ac:dyDescent="0.2">
      <c r="B77" s="14" t="s">
        <v>74</v>
      </c>
      <c r="C77" s="319">
        <f>C75-C76</f>
        <v>-5</v>
      </c>
      <c r="D77" s="199"/>
      <c r="E77" s="305" t="s">
        <v>75</v>
      </c>
      <c r="F77" s="306">
        <f ca="1">INDEX(Data_EmployeeNumber!$A$4:$E$16,MATCH('Q10-Validation'!$B$3-1,Data_EmployeeNumber!$A$4:$A$16,0),MATCH('Q10-Validation'!F70,Data_EmployeeNumber!$A$4:$E$4,0))+'Q10-Validation'!F76</f>
        <v>3</v>
      </c>
      <c r="G77" s="306">
        <f ca="1">INDEX(Data_EmployeeNumber!$A$4:$E$16,MATCH('Q10-Validation'!$B$3-1,Data_EmployeeNumber!$A$4:$A$16,0),MATCH('Q10-Validation'!G70,Data_EmployeeNumber!$A$4:$E$4,0))+'Q10-Validation'!G76</f>
        <v>3</v>
      </c>
      <c r="H77" s="306">
        <f ca="1">INDEX(Data_EmployeeNumber!$A$4:$E$16,MATCH('Q10-Validation'!$B$3-1,Data_EmployeeNumber!$A$4:$A$16,0),MATCH('Q10-Validation'!H70,Data_EmployeeNumber!$A$4:$E$4,0))+'Q10-Validation'!H76</f>
        <v>1</v>
      </c>
      <c r="I77" s="306">
        <f ca="1">INDEX(Data_EmployeeNumber!$A$4:$E$16,MATCH('Q10-Validation'!$B$3-1,Data_EmployeeNumber!$A$4:$A$16,0),MATCH('Q10-Validation'!I70,Data_EmployeeNumber!$A$4:$E$4,0))+'Q10-Validation'!I76</f>
        <v>4</v>
      </c>
      <c r="J77" s="307">
        <f ca="1">SUM(F77:I77)</f>
        <v>11</v>
      </c>
    </row>
    <row r="78" spans="2:11" s="4" customFormat="1" x14ac:dyDescent="0.2">
      <c r="E78" s="300" t="s">
        <v>76</v>
      </c>
      <c r="F78" s="296"/>
      <c r="G78" s="296"/>
      <c r="H78" s="296"/>
      <c r="I78" s="301"/>
      <c r="J78" s="455" t="s">
        <v>77</v>
      </c>
    </row>
    <row r="79" spans="2:11" s="4" customFormat="1" x14ac:dyDescent="0.2">
      <c r="E79" s="305" t="s">
        <v>78</v>
      </c>
      <c r="F79" s="308"/>
      <c r="G79" s="308"/>
      <c r="H79" s="308"/>
      <c r="I79" s="317"/>
      <c r="J79" s="456" t="s">
        <v>77</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 ca="1">I98</f>
        <v>304200</v>
      </c>
      <c r="D92" s="214"/>
      <c r="E92" s="71" t="s">
        <v>82</v>
      </c>
      <c r="F92" s="329" cm="1">
        <f t="array" aca="1" ref="F92" ca="1">INDIRECT("'Input_Q"&amp;$B$3&amp;"-Predict'!C50")</f>
        <v>5200</v>
      </c>
      <c r="H92" s="71" t="s">
        <v>82</v>
      </c>
      <c r="I92" s="72" t="s">
        <v>83</v>
      </c>
      <c r="J92" s="72" t="s">
        <v>84</v>
      </c>
      <c r="K92" s="72" t="s">
        <v>85</v>
      </c>
      <c r="L92" s="73" t="s">
        <v>86</v>
      </c>
    </row>
    <row r="93" spans="1:12" s="4" customFormat="1" x14ac:dyDescent="0.2">
      <c r="B93" s="12" t="s">
        <v>87</v>
      </c>
      <c r="C93" s="217">
        <f ca="1">K103</f>
        <v>70000</v>
      </c>
      <c r="D93" s="214"/>
      <c r="H93" s="12" t="s">
        <v>88</v>
      </c>
      <c r="I93" s="214">
        <f ca="1">$F$92*K93</f>
        <v>26000</v>
      </c>
      <c r="J93" s="4">
        <v>1</v>
      </c>
      <c r="K93" s="4">
        <v>5</v>
      </c>
      <c r="L93" s="13">
        <f>J93*K93</f>
        <v>5</v>
      </c>
    </row>
    <row r="94" spans="1:12" s="4" customFormat="1" x14ac:dyDescent="0.2">
      <c r="B94" s="12" t="s">
        <v>89</v>
      </c>
      <c r="C94" s="217">
        <f ca="1">K104</f>
        <v>18000</v>
      </c>
      <c r="D94" s="321"/>
      <c r="E94" s="71" t="s">
        <v>90</v>
      </c>
      <c r="F94" s="73"/>
      <c r="H94" s="12" t="s">
        <v>91</v>
      </c>
      <c r="I94" s="214">
        <f ca="1">$F$92*K94</f>
        <v>5200</v>
      </c>
      <c r="J94" s="4">
        <v>35</v>
      </c>
      <c r="K94" s="4">
        <v>1</v>
      </c>
      <c r="L94" s="13">
        <f>J94*K94</f>
        <v>35</v>
      </c>
    </row>
    <row r="95" spans="1:12" s="4" customFormat="1" x14ac:dyDescent="0.2">
      <c r="B95" s="12" t="s">
        <v>92</v>
      </c>
      <c r="C95" s="217">
        <f ca="1">K105</f>
        <v>47000</v>
      </c>
      <c r="E95" s="12" t="s">
        <v>93</v>
      </c>
      <c r="F95" s="327">
        <v>10000</v>
      </c>
      <c r="H95" s="12" t="s">
        <v>94</v>
      </c>
      <c r="I95" s="214">
        <f ca="1">$F$92*K95</f>
        <v>13000</v>
      </c>
      <c r="J95" s="4">
        <v>3</v>
      </c>
      <c r="K95" s="4">
        <v>2.5</v>
      </c>
      <c r="L95" s="13">
        <f>J95*K95</f>
        <v>7.5</v>
      </c>
    </row>
    <row r="96" spans="1:12" s="4" customFormat="1" x14ac:dyDescent="0.2">
      <c r="B96" s="71"/>
      <c r="C96" s="324">
        <f ca="1">SUM(C92:C95)</f>
        <v>439200</v>
      </c>
      <c r="E96" s="12" t="s">
        <v>95</v>
      </c>
      <c r="F96" s="194" cm="1">
        <f t="array" aca="1" ref="F96" ca="1">INDIRECT("'Input_Q"&amp;$B$3&amp;"-Predict'!C51")</f>
        <v>7</v>
      </c>
      <c r="H96" s="12" t="s">
        <v>96</v>
      </c>
      <c r="I96" s="214">
        <f ca="1">$F$92*K96</f>
        <v>5200</v>
      </c>
      <c r="J96" s="4">
        <f ca="1">J77</f>
        <v>11</v>
      </c>
      <c r="K96" s="4">
        <v>1</v>
      </c>
      <c r="L96" s="13">
        <f ca="1">J96*K96</f>
        <v>11</v>
      </c>
    </row>
    <row r="97" spans="1:12" s="4" customFormat="1" x14ac:dyDescent="0.2">
      <c r="E97" s="12" t="s">
        <v>97</v>
      </c>
      <c r="F97" s="217">
        <v>2000</v>
      </c>
      <c r="H97" s="12" t="s">
        <v>64</v>
      </c>
      <c r="I97" s="4" t="s">
        <v>66</v>
      </c>
      <c r="J97" s="4">
        <f ca="1">SUM(J93:J96)</f>
        <v>50</v>
      </c>
      <c r="K97" s="4" t="s">
        <v>66</v>
      </c>
      <c r="L97" s="13">
        <f ca="1">SUM(L93:L96)</f>
        <v>58.5</v>
      </c>
    </row>
    <row r="98" spans="1:12" s="4" customFormat="1" x14ac:dyDescent="0.2">
      <c r="B98" s="71" t="s">
        <v>98</v>
      </c>
      <c r="C98" s="73"/>
      <c r="E98" s="14" t="s">
        <v>95</v>
      </c>
      <c r="F98" s="76" cm="1">
        <f t="array" aca="1" ref="F98" ca="1">INDIRECT("'Input_Q"&amp;$B$3&amp;"-Predict'!C52")</f>
        <v>9</v>
      </c>
      <c r="H98" s="14" t="s">
        <v>99</v>
      </c>
      <c r="I98" s="322">
        <f ca="1">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 ca="1">F92</f>
        <v>5200</v>
      </c>
      <c r="J102" s="4">
        <f ca="1">L97</f>
        <v>58.5</v>
      </c>
      <c r="K102" s="217">
        <f ca="1">I102*J102</f>
        <v>304200</v>
      </c>
    </row>
    <row r="103" spans="1:12" s="4" customFormat="1" x14ac:dyDescent="0.2">
      <c r="E103" s="12" t="s">
        <v>106</v>
      </c>
      <c r="F103" s="217">
        <v>175</v>
      </c>
      <c r="H103" s="12" t="s">
        <v>93</v>
      </c>
      <c r="I103" s="214">
        <f>F95</f>
        <v>10000</v>
      </c>
      <c r="J103" s="4">
        <f ca="1">F96</f>
        <v>7</v>
      </c>
      <c r="K103" s="217">
        <f ca="1">F95*J103</f>
        <v>70000</v>
      </c>
    </row>
    <row r="104" spans="1:12" s="4" customFormat="1" ht="17" customHeight="1" x14ac:dyDescent="0.2">
      <c r="E104" s="12" t="s">
        <v>107</v>
      </c>
      <c r="F104" s="217">
        <v>400</v>
      </c>
      <c r="H104" s="12" t="s">
        <v>97</v>
      </c>
      <c r="I104" s="214">
        <f>F97</f>
        <v>2000</v>
      </c>
      <c r="J104" s="4">
        <f ca="1">F98</f>
        <v>9</v>
      </c>
      <c r="K104" s="217">
        <f ca="1">F97*J104</f>
        <v>18000</v>
      </c>
    </row>
    <row r="105" spans="1:12" s="4" customFormat="1" x14ac:dyDescent="0.2">
      <c r="E105" s="12" t="s">
        <v>108</v>
      </c>
      <c r="F105" s="217">
        <v>280</v>
      </c>
      <c r="H105" s="12" t="s">
        <v>109</v>
      </c>
      <c r="I105" s="214">
        <f>F102+F106+F107+F108</f>
        <v>940</v>
      </c>
      <c r="J105" s="4">
        <f ca="1">J97</f>
        <v>50</v>
      </c>
      <c r="K105" s="217">
        <f ca="1">I105*J105</f>
        <v>47000</v>
      </c>
    </row>
    <row r="106" spans="1:12" s="4" customFormat="1" x14ac:dyDescent="0.2">
      <c r="E106" s="325" t="s">
        <v>110</v>
      </c>
      <c r="F106" s="217">
        <v>350</v>
      </c>
      <c r="H106" s="14"/>
      <c r="I106" s="15"/>
      <c r="J106" s="15"/>
      <c r="K106" s="278">
        <f ca="1">SUM(K102:K105)</f>
        <v>439200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457" t="s">
        <v>114</v>
      </c>
      <c r="C113" s="458">
        <v>0</v>
      </c>
    </row>
    <row r="114" spans="1:22" s="4" customFormat="1" x14ac:dyDescent="0.2">
      <c r="B114" s="275" t="s">
        <v>115</v>
      </c>
      <c r="C114" s="459">
        <v>0</v>
      </c>
    </row>
    <row r="115" spans="1:22" s="4" customFormat="1" x14ac:dyDescent="0.2">
      <c r="B115" s="275" t="s">
        <v>116</v>
      </c>
      <c r="C115" s="459">
        <f>C113*C114</f>
        <v>0</v>
      </c>
    </row>
    <row r="116" spans="1:22" s="4" customFormat="1" x14ac:dyDescent="0.2">
      <c r="B116" s="14" t="s">
        <v>117</v>
      </c>
      <c r="C116" s="76" cm="1">
        <f t="array" aca="1" ref="C116" ca="1">INDIRECT("'Input_Q"&amp;$B$3&amp;"-Predict'!C53")</f>
        <v>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118</v>
      </c>
    </row>
    <row r="121" spans="1:22" s="4" customFormat="1" x14ac:dyDescent="0.2"/>
    <row r="122" spans="1:22" s="4" customFormat="1" x14ac:dyDescent="0.2">
      <c r="B122" s="4" t="s">
        <v>119</v>
      </c>
    </row>
    <row r="123" spans="1:22" s="4" customFormat="1" x14ac:dyDescent="0.2">
      <c r="B123" s="9" t="s">
        <v>60</v>
      </c>
      <c r="C123" s="334">
        <f ca="1">IFERROR(VLOOKUP(B123,$B$14:$C$121,2,FALSE),0)</f>
        <v>4562295</v>
      </c>
      <c r="D123" s="286"/>
      <c r="E123" s="286"/>
    </row>
    <row r="124" spans="1:22" s="4" customFormat="1" x14ac:dyDescent="0.2">
      <c r="B124" s="275" t="s">
        <v>120</v>
      </c>
      <c r="C124" s="366">
        <f ca="1">IF(D124="Match",(C74+0.125)*C123+J73*M23,E124)</f>
        <v>1761908.0250000001</v>
      </c>
      <c r="D124" s="302" t="s">
        <v>121</v>
      </c>
      <c r="E124" s="268">
        <v>996058.8</v>
      </c>
      <c r="F124" s="9"/>
      <c r="G124" s="9" t="s">
        <v>122</v>
      </c>
      <c r="H124" s="331"/>
      <c r="I124" s="10">
        <f>H124/$H$128</f>
        <v>0</v>
      </c>
      <c r="J124" s="11"/>
    </row>
    <row r="125" spans="1:22" s="4" customFormat="1" x14ac:dyDescent="0.2">
      <c r="B125" s="12" t="s">
        <v>123</v>
      </c>
      <c r="C125" s="336">
        <f ca="1">C123-C124</f>
        <v>2800386.9749999996</v>
      </c>
      <c r="E125" s="302"/>
      <c r="F125" s="12"/>
      <c r="G125" s="12" t="s">
        <v>124</v>
      </c>
      <c r="H125" s="279">
        <f ca="1">SUMIF(D127:D139,"FC",C127:C139)</f>
        <v>1836521.4776000001</v>
      </c>
      <c r="I125" s="4">
        <f ca="1">H125/$H$128</f>
        <v>1144.2501418068537</v>
      </c>
      <c r="J125" s="13"/>
    </row>
    <row r="126" spans="1:22" s="4" customFormat="1" x14ac:dyDescent="0.2">
      <c r="B126" s="12" t="s">
        <v>125</v>
      </c>
      <c r="C126" s="336"/>
      <c r="F126" s="12"/>
      <c r="G126" s="12" t="s">
        <v>120</v>
      </c>
      <c r="H126" s="279">
        <f ca="1">C124</f>
        <v>1761908.0250000001</v>
      </c>
      <c r="I126" s="4">
        <f ca="1">H126/$H$128</f>
        <v>1097.7620093457945</v>
      </c>
      <c r="J126" s="13"/>
    </row>
    <row r="127" spans="1:22" s="4" customFormat="1" x14ac:dyDescent="0.2">
      <c r="B127" s="12" t="s">
        <v>126</v>
      </c>
      <c r="C127" s="336">
        <f ca="1">IF(B7="Overtime",560000,280000)</f>
        <v>560000</v>
      </c>
      <c r="D127" s="4" t="s">
        <v>124</v>
      </c>
      <c r="F127" s="12"/>
      <c r="G127" s="12" t="s">
        <v>127</v>
      </c>
      <c r="H127" s="279">
        <f ca="1">SUM(H124:H126)</f>
        <v>3598429.5026000002</v>
      </c>
      <c r="J127" s="13"/>
    </row>
    <row r="128" spans="1:22" s="4" customFormat="1" x14ac:dyDescent="0.2">
      <c r="B128" s="12" t="s">
        <v>81</v>
      </c>
      <c r="C128" s="336">
        <f ca="1">IF(B7="Overtime",VALUE(IFERROR(VLOOKUP(B128,$B$14:$C$121,2,FALSE),0))*2,VALUE(IFERROR(VLOOKUP(B128,$B$14:$C$121,2,FALSE),0)))</f>
        <v>608400</v>
      </c>
      <c r="D128" s="4" t="s">
        <v>124</v>
      </c>
      <c r="F128" s="12"/>
      <c r="G128" s="12" t="s">
        <v>128</v>
      </c>
      <c r="H128" s="302">
        <f>C76</f>
        <v>1605</v>
      </c>
      <c r="J128" s="13"/>
    </row>
    <row r="129" spans="2:10" s="4" customFormat="1" x14ac:dyDescent="0.2">
      <c r="B129" s="12" t="s">
        <v>87</v>
      </c>
      <c r="C129" s="336">
        <f t="shared" ref="C129:C136" ca="1" si="0">IFERROR(VLOOKUP(B129,$B$14:$C$121,2,FALSE),0)</f>
        <v>70000</v>
      </c>
      <c r="D129" s="4" t="s">
        <v>124</v>
      </c>
      <c r="F129" s="12"/>
      <c r="G129" s="12" t="s">
        <v>129</v>
      </c>
      <c r="H129" s="339">
        <f ca="1">H127/H128</f>
        <v>2242.0121511526481</v>
      </c>
      <c r="J129" s="13"/>
    </row>
    <row r="130" spans="2:10" s="4" customFormat="1" x14ac:dyDescent="0.2">
      <c r="B130" s="12" t="s">
        <v>92</v>
      </c>
      <c r="C130" s="336">
        <f t="shared" ca="1" si="0"/>
        <v>47000</v>
      </c>
      <c r="D130" s="4" t="s">
        <v>122</v>
      </c>
      <c r="F130" s="12"/>
      <c r="G130" s="12"/>
      <c r="J130" s="13"/>
    </row>
    <row r="131" spans="2:10" s="4" customFormat="1" x14ac:dyDescent="0.2">
      <c r="B131" s="12" t="s">
        <v>89</v>
      </c>
      <c r="C131" s="336">
        <f t="shared" ca="1" si="0"/>
        <v>18000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 ca="1">$H$129*(1+H131)</f>
        <v>2466.213366267913</v>
      </c>
      <c r="I132" s="333">
        <f ca="1">$H$129*(1+I131)</f>
        <v>2690.4145813831778</v>
      </c>
      <c r="J132" s="341">
        <f ca="1">$H$129*(1+J131)</f>
        <v>2914.6157964984427</v>
      </c>
    </row>
    <row r="133" spans="2:10" s="4" customFormat="1" x14ac:dyDescent="0.2">
      <c r="B133" s="12" t="s">
        <v>11</v>
      </c>
      <c r="C133" s="336">
        <f t="shared" ca="1" si="0"/>
        <v>135000</v>
      </c>
      <c r="D133" s="4" t="s">
        <v>124</v>
      </c>
      <c r="F133" s="12"/>
      <c r="G133" s="4" t="s">
        <v>133</v>
      </c>
      <c r="H133" s="302">
        <f ca="1">H132-$H$129</f>
        <v>224.20121511526486</v>
      </c>
      <c r="I133" s="302">
        <f ca="1">I132-$H$129</f>
        <v>448.40243023052972</v>
      </c>
      <c r="J133" s="318">
        <f ca="1">J132-$H$129</f>
        <v>672.60364534579458</v>
      </c>
    </row>
    <row r="134" spans="2:10" s="4" customFormat="1" x14ac:dyDescent="0.2">
      <c r="B134" s="12" t="s">
        <v>61</v>
      </c>
      <c r="C134" s="336">
        <f t="shared" ca="1" si="0"/>
        <v>423771.62</v>
      </c>
      <c r="D134" s="4" t="s">
        <v>124</v>
      </c>
      <c r="F134" s="12"/>
      <c r="G134" s="4" t="s">
        <v>134</v>
      </c>
      <c r="H134" s="355">
        <f ca="1">H133/H132</f>
        <v>9.0909090909090925E-2</v>
      </c>
      <c r="I134" s="355">
        <f ca="1">I133/I132</f>
        <v>0.16666666666666669</v>
      </c>
      <c r="J134" s="326">
        <f ca="1">J133/J132</f>
        <v>0.23076923076923081</v>
      </c>
    </row>
    <row r="135" spans="2:10" s="4" customFormat="1" x14ac:dyDescent="0.2">
      <c r="B135" s="12" t="s">
        <v>23</v>
      </c>
      <c r="C135" s="336">
        <f>IFERROR(VLOOKUP(B135,$B$14:$C$121,2,FALSE),0)</f>
        <v>21349.857600000007</v>
      </c>
      <c r="D135" s="4" t="s">
        <v>124</v>
      </c>
      <c r="F135" s="12"/>
      <c r="G135" s="4" t="s">
        <v>135</v>
      </c>
      <c r="H135" s="279">
        <f ca="1">$H$125/H134</f>
        <v>20201736.253599998</v>
      </c>
      <c r="I135" s="279">
        <f ca="1">$H$125/I134</f>
        <v>11019128.865599999</v>
      </c>
      <c r="J135" s="281">
        <f ca="1">$H$125/J134</f>
        <v>7958259.7362666661</v>
      </c>
    </row>
    <row r="136" spans="2:10" s="4" customFormat="1" x14ac:dyDescent="0.2">
      <c r="B136" s="12" t="s">
        <v>117</v>
      </c>
      <c r="C136" s="336">
        <f t="shared" ca="1" si="0"/>
        <v>0</v>
      </c>
      <c r="D136" s="4" t="s">
        <v>124</v>
      </c>
      <c r="F136" s="14"/>
      <c r="G136" s="15" t="s">
        <v>136</v>
      </c>
      <c r="H136" s="15">
        <f ca="1">H135/H132</f>
        <v>8191.398412608155</v>
      </c>
      <c r="I136" s="15">
        <f ca="1">I135/I132</f>
        <v>4095.699206304078</v>
      </c>
      <c r="J136" s="16">
        <f ca="1">J135/J132</f>
        <v>2730.466137536052</v>
      </c>
    </row>
    <row r="137" spans="2:10" s="4" customFormat="1" x14ac:dyDescent="0.2">
      <c r="B137" s="275" t="s">
        <v>137</v>
      </c>
      <c r="C137" s="335" cm="1">
        <f t="array" ref="C137">IF(B5="Validation",E137,SUMPRODUCT(F80:I80*F73:I73))</f>
        <v>64144</v>
      </c>
      <c r="D137" s="380" t="s">
        <v>138</v>
      </c>
      <c r="E137" s="4">
        <f>INDEX(Data_Sales!B3:N8,MATCH("Freight Cost",Data_Sales!B3:B8,0),MATCH('Q10-Validation'!B3,Data_Sales!B3:N3,0))</f>
        <v>64144</v>
      </c>
    </row>
    <row r="138" spans="2:10" s="4" customFormat="1" x14ac:dyDescent="0.2">
      <c r="B138" s="12" t="s">
        <v>139</v>
      </c>
      <c r="C138" s="336">
        <f>IFERROR(VLOOKUP(B138,$B$14:$C$121,2,FALSE),0)</f>
        <v>0</v>
      </c>
    </row>
    <row r="139" spans="2:10" s="4" customFormat="1" x14ac:dyDescent="0.2">
      <c r="B139" s="365" t="s">
        <v>140</v>
      </c>
      <c r="C139" s="366" cm="1">
        <f t="array" aca="1" ref="C139" ca="1">INDIRECT("'Input_Q"&amp;$B$3&amp;"-Predict'!C18")</f>
        <v>0</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 ca="1">SUM(C127:C141)</f>
        <v>1947665.4776000001</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 ca="1">C125-C142</f>
        <v>852721.49739999953</v>
      </c>
    </row>
    <row r="148" spans="2:5" s="4" customFormat="1" x14ac:dyDescent="0.2">
      <c r="B148" s="12" t="s">
        <v>147</v>
      </c>
      <c r="C148" s="13">
        <f ca="1">IF(C147&gt;0,C147*0.15,0)</f>
        <v>127908.22460999992</v>
      </c>
    </row>
    <row r="149" spans="2:5" s="4" customFormat="1" x14ac:dyDescent="0.2">
      <c r="B149" s="12" t="s">
        <v>148</v>
      </c>
      <c r="C149" s="336">
        <f ca="1">C147-C148</f>
        <v>724813.27278999961</v>
      </c>
    </row>
    <row r="150" spans="2:5" s="4" customFormat="1" x14ac:dyDescent="0.2">
      <c r="B150" s="12" t="s">
        <v>119</v>
      </c>
      <c r="C150" s="13"/>
    </row>
    <row r="151" spans="2:5" s="4" customFormat="1" x14ac:dyDescent="0.2">
      <c r="B151" s="12" t="s">
        <v>149</v>
      </c>
      <c r="C151" s="368">
        <f ca="1">INDEX(Data_IncomeStatement!A1:M33,MATCH("PROFIT AND LOSS STATEMENT RESULTS",Data_IncomeStatement!A1:A33,0),MATCH(VALUE(B3-1),Data_IncomeStatement!A1:M1,0))</f>
        <v>113974.36654000019</v>
      </c>
    </row>
    <row r="152" spans="2:5" s="4" customFormat="1" x14ac:dyDescent="0.2">
      <c r="B152" s="12" t="s">
        <v>148</v>
      </c>
      <c r="C152" s="336">
        <f ca="1">C149</f>
        <v>724813.27278999961</v>
      </c>
    </row>
    <row r="153" spans="2:5" s="4" customFormat="1" x14ac:dyDescent="0.2">
      <c r="B153" s="12" t="s">
        <v>150</v>
      </c>
      <c r="C153" s="13">
        <v>0</v>
      </c>
    </row>
    <row r="154" spans="2:5" s="4" customFormat="1" x14ac:dyDescent="0.2">
      <c r="B154" s="14" t="s">
        <v>151</v>
      </c>
      <c r="C154" s="337">
        <f ca="1">C152+C151</f>
        <v>838787.6393299998</v>
      </c>
    </row>
    <row r="155" spans="2:5" s="4" customFormat="1" x14ac:dyDescent="0.2"/>
    <row r="156" spans="2:5" s="4" customFormat="1" x14ac:dyDescent="0.2">
      <c r="C156" s="330"/>
      <c r="D156" s="214"/>
      <c r="E156" s="279"/>
    </row>
    <row r="157" spans="2:5" s="4" customFormat="1" x14ac:dyDescent="0.2">
      <c r="B157" s="9" t="str">
        <f>B5</f>
        <v>Validation</v>
      </c>
      <c r="C157" s="11"/>
    </row>
    <row r="158" spans="2:5" s="4" customFormat="1" x14ac:dyDescent="0.2">
      <c r="B158" s="63" t="s">
        <v>152</v>
      </c>
      <c r="C158" s="64"/>
    </row>
    <row r="159" spans="2:5" s="4" customFormat="1" x14ac:dyDescent="0.2">
      <c r="B159" s="12" t="s">
        <v>153</v>
      </c>
      <c r="C159" s="336">
        <f ca="1">C142</f>
        <v>1947665.4776000001</v>
      </c>
    </row>
    <row r="160" spans="2:5" s="4" customFormat="1" x14ac:dyDescent="0.2">
      <c r="B160" s="12" t="s">
        <v>154</v>
      </c>
      <c r="C160" s="336">
        <f ca="1">C124</f>
        <v>1761908.0250000001</v>
      </c>
    </row>
    <row r="161" spans="2:3" s="4" customFormat="1" x14ac:dyDescent="0.2">
      <c r="B161" s="12" t="s">
        <v>155</v>
      </c>
      <c r="C161" s="336">
        <f ca="1">C123</f>
        <v>4562295</v>
      </c>
    </row>
    <row r="162" spans="2:3" s="4" customFormat="1" x14ac:dyDescent="0.2">
      <c r="B162" s="12" t="s">
        <v>156</v>
      </c>
      <c r="C162" s="529">
        <f ca="1">C159/(1-C160/C161)</f>
        <v>3173070.2040303168</v>
      </c>
    </row>
    <row r="163" spans="2:3" s="4" customFormat="1" x14ac:dyDescent="0.2">
      <c r="B163" s="12"/>
      <c r="C163" s="13"/>
    </row>
    <row r="164" spans="2:3" s="4" customFormat="1" x14ac:dyDescent="0.2">
      <c r="B164" s="12" t="s">
        <v>157</v>
      </c>
      <c r="C164" s="480">
        <f>J73</f>
        <v>1605</v>
      </c>
    </row>
    <row r="165" spans="2:3" s="4" customFormat="1" x14ac:dyDescent="0.2">
      <c r="B165" s="14" t="s">
        <v>158</v>
      </c>
      <c r="C165" s="530">
        <f ca="1">ROUNDUP(C162/(C161/C164),0)</f>
        <v>1117</v>
      </c>
    </row>
    <row r="166" spans="2:3" s="4" customFormat="1" x14ac:dyDescent="0.2"/>
    <row r="167" spans="2:3" s="4" customFormat="1" x14ac:dyDescent="0.2"/>
    <row r="168" spans="2:3" s="4" customFormat="1" x14ac:dyDescent="0.2"/>
    <row r="169" spans="2:3" s="4" customFormat="1" x14ac:dyDescent="0.2"/>
    <row r="170" spans="2:3" s="4" customFormat="1" x14ac:dyDescent="0.2"/>
    <row r="171" spans="2:3" s="4" customFormat="1" x14ac:dyDescent="0.2"/>
    <row r="172" spans="2:3" s="4" customFormat="1" x14ac:dyDescent="0.2"/>
    <row r="173" spans="2:3" s="4" customFormat="1" x14ac:dyDescent="0.2"/>
    <row r="174" spans="2:3"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DFD0A46B-1C89-184C-ADEC-818AA5BDB4FB}">
          <x14:formula1>
            <xm:f>Reference!$A$31:$A$32</xm:f>
          </x14:formula1>
          <xm:sqref>B7</xm:sqref>
        </x14:dataValidation>
        <x14:dataValidation type="list" allowBlank="1" showInputMessage="1" showErrorMessage="1" xr:uid="{6D96C2F0-4784-1E42-8D23-D05625A0EE9C}">
          <x14:formula1>
            <xm:f>Reference!$B$1:$B$4</xm:f>
          </x14:formula1>
          <xm:sqref>W21 W28 K20</xm:sqref>
        </x14:dataValidation>
        <x14:dataValidation type="list" allowBlank="1" showInputMessage="1" showErrorMessage="1" xr:uid="{421F7FEB-21C1-3C45-AB92-90EC30504AB3}">
          <x14:formula1>
            <xm:f>Reference!$D$1:$D$4</xm:f>
          </x14:formula1>
          <xm:sqref>W23 W30 K22</xm:sqref>
        </x14:dataValidation>
        <x14:dataValidation type="list" allowBlank="1" showInputMessage="1" showErrorMessage="1" xr:uid="{3A927476-C3BA-0343-8B55-FA8E265887F2}">
          <x14:formula1>
            <xm:f>Reference!$A$1:$A$3</xm:f>
          </x14:formula1>
          <xm:sqref>W20 W27 K19</xm:sqref>
        </x14:dataValidation>
        <x14:dataValidation type="list" allowBlank="1" showInputMessage="1" showErrorMessage="1" xr:uid="{7F277E19-E44C-BA41-B6A6-7E512F73C7FB}">
          <x14:formula1>
            <xm:f>Reference!$C$1:$C$5</xm:f>
          </x14:formula1>
          <xm:sqref>W22 W29 K21</xm:sqref>
        </x14:dataValidation>
        <x14:dataValidation type="list" allowBlank="1" showInputMessage="1" showErrorMessage="1" xr:uid="{06DA9CC2-5896-614B-9242-27537FFCC397}">
          <x14:formula1>
            <xm:f>Reference!$A$6:$A$8</xm:f>
          </x14:formula1>
          <xm:sqref>B5</xm:sqref>
        </x14:dataValidation>
        <x14:dataValidation type="list" allowBlank="1" showInputMessage="1" showErrorMessage="1" xr:uid="{F67C8F8F-C29F-E646-B6A1-7BC9E664AEE4}">
          <x14:formula1>
            <xm:f>Reference!$A$10:$A$12</xm:f>
          </x14:formula1>
          <xm:sqref>D124</xm:sqref>
        </x14:dataValidation>
        <x14:dataValidation type="list" allowBlank="1" showInputMessage="1" showErrorMessage="1" xr:uid="{AE6FD52E-67D2-8B45-8D39-409D56E61EF7}">
          <x14:formula1>
            <xm:f>Reference!$A$14:$A$26</xm:f>
          </x14:formula1>
          <xm:sqref>B3</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7076E-8420-4A4D-9628-255AEA504371}">
  <sheetPr>
    <tabColor theme="2" tint="-9.9978637043366805E-2"/>
  </sheetPr>
  <dimension ref="A1:V174"/>
  <sheetViews>
    <sheetView topLeftCell="A12" zoomScale="150" zoomScaleNormal="120" workbookViewId="0">
      <selection activeCell="C130" sqref="C130"/>
    </sheetView>
  </sheetViews>
  <sheetFormatPr baseColWidth="10" defaultColWidth="11" defaultRowHeight="16" x14ac:dyDescent="0.2"/>
  <cols>
    <col min="1" max="1" width="5.6640625" style="4" customWidth="1"/>
    <col min="2" max="2" width="33.33203125" bestFit="1" customWidth="1"/>
    <col min="3" max="3" width="14" bestFit="1" customWidth="1"/>
    <col min="4" max="4" width="17.83203125" bestFit="1" customWidth="1"/>
    <col min="5" max="5" width="19.5" customWidth="1"/>
    <col min="6" max="6" width="15.33203125" bestFit="1" customWidth="1"/>
    <col min="7" max="7" width="32.66406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178" t="s">
        <v>0</v>
      </c>
      <c r="C2" s="4"/>
      <c r="D2" s="4"/>
      <c r="E2" s="4"/>
      <c r="F2" s="4"/>
      <c r="G2" s="4"/>
      <c r="H2" s="4"/>
      <c r="I2" s="4"/>
      <c r="J2" s="4"/>
      <c r="K2" s="4"/>
      <c r="L2" s="4"/>
      <c r="M2" s="4"/>
      <c r="N2" s="4"/>
      <c r="O2" s="4"/>
      <c r="P2" s="4"/>
      <c r="Q2" s="4"/>
      <c r="R2" s="4"/>
      <c r="S2" s="4"/>
      <c r="T2" s="4"/>
      <c r="U2" s="4"/>
      <c r="V2" s="4"/>
    </row>
    <row r="3" spans="1:22" x14ac:dyDescent="0.2">
      <c r="B3" s="460">
        <v>10</v>
      </c>
      <c r="C3" s="4"/>
      <c r="D3" s="4"/>
      <c r="E3" s="4"/>
      <c r="F3" s="4"/>
      <c r="G3" s="4"/>
      <c r="H3" s="4"/>
      <c r="I3" s="4"/>
      <c r="J3" s="4"/>
      <c r="K3" s="4"/>
      <c r="L3" s="4"/>
      <c r="M3" s="4"/>
      <c r="N3" s="4"/>
      <c r="O3" s="4"/>
      <c r="P3" s="4"/>
      <c r="Q3" s="4"/>
      <c r="R3" s="4"/>
      <c r="S3" s="4"/>
      <c r="T3" s="4"/>
      <c r="U3" s="4"/>
      <c r="V3" s="4"/>
    </row>
    <row r="4" spans="1:22" s="4" customFormat="1" x14ac:dyDescent="0.2">
      <c r="B4" s="178" t="s">
        <v>1</v>
      </c>
    </row>
    <row r="5" spans="1:22" s="4" customFormat="1" x14ac:dyDescent="0.2">
      <c r="B5" s="460" t="s">
        <v>6</v>
      </c>
    </row>
    <row r="6" spans="1:22" s="4" customFormat="1" x14ac:dyDescent="0.2">
      <c r="B6" s="178" t="s">
        <v>3</v>
      </c>
    </row>
    <row r="7" spans="1:22" s="4" customFormat="1" x14ac:dyDescent="0.2">
      <c r="B7" s="461" t="str" cm="1">
        <f t="array" aca="1" ref="B7" ca="1">INDIRECT("'Input_Q"&amp;B3&amp;"-Predict'!C8")</f>
        <v>Overtime</v>
      </c>
    </row>
    <row r="8" spans="1:22" s="4" customFormat="1" x14ac:dyDescent="0.2"/>
    <row r="9" spans="1:22" s="4" customFormat="1" x14ac:dyDescent="0.2">
      <c r="B9" s="99" t="s">
        <v>4</v>
      </c>
    </row>
    <row r="10" spans="1:22" x14ac:dyDescent="0.2">
      <c r="B10" s="69" t="s">
        <v>5</v>
      </c>
      <c r="C10" s="4"/>
      <c r="D10" s="4"/>
      <c r="E10" s="4"/>
      <c r="F10" s="4"/>
      <c r="G10" s="4"/>
      <c r="H10" s="4"/>
      <c r="I10" s="4"/>
      <c r="J10" s="4"/>
      <c r="K10" s="4"/>
      <c r="L10" s="4"/>
      <c r="M10" s="4"/>
      <c r="N10" s="4"/>
      <c r="O10" s="4"/>
      <c r="P10" s="4"/>
      <c r="Q10" s="4"/>
      <c r="R10" s="4"/>
      <c r="S10" s="4"/>
      <c r="T10" s="4"/>
      <c r="U10" s="4"/>
      <c r="V10" s="4"/>
    </row>
    <row r="11" spans="1:22" x14ac:dyDescent="0.2">
      <c r="B11" s="268" t="s">
        <v>6</v>
      </c>
      <c r="C11" s="4"/>
      <c r="D11" s="4"/>
      <c r="E11" s="4"/>
      <c r="F11" s="4"/>
      <c r="G11" s="4"/>
      <c r="H11" s="4"/>
      <c r="I11" s="4"/>
      <c r="J11" s="4"/>
      <c r="K11" s="4"/>
      <c r="L11" s="4"/>
      <c r="M11" s="4"/>
      <c r="N11" s="4"/>
      <c r="O11" s="4"/>
      <c r="P11" s="4"/>
      <c r="Q11" s="4"/>
      <c r="R11" s="4"/>
      <c r="S11" s="4"/>
      <c r="T11" s="4"/>
      <c r="U11" s="4"/>
      <c r="V11" s="4"/>
    </row>
    <row r="12" spans="1:22" x14ac:dyDescent="0.2">
      <c r="B12" s="4"/>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 ca="1">F19*F20</f>
        <v>135000</v>
      </c>
      <c r="E18" s="576" t="s">
        <v>12</v>
      </c>
      <c r="F18" s="577"/>
      <c r="G18" s="578"/>
      <c r="I18" s="71" t="s">
        <v>13</v>
      </c>
      <c r="J18" s="72"/>
      <c r="K18" s="72" t="s">
        <v>14</v>
      </c>
      <c r="L18" s="72" t="s">
        <v>15</v>
      </c>
      <c r="M18" s="72" t="s">
        <v>16</v>
      </c>
      <c r="N18" s="73" t="s">
        <v>17</v>
      </c>
    </row>
    <row r="19" spans="2:22" s="4" customFormat="1" x14ac:dyDescent="0.2">
      <c r="B19" s="12" t="s">
        <v>18</v>
      </c>
      <c r="C19" s="217">
        <f ca="1">N23</f>
        <v>892148.4</v>
      </c>
      <c r="E19" s="284" t="s">
        <v>19</v>
      </c>
      <c r="F19" s="285">
        <v>15000</v>
      </c>
      <c r="G19" s="11" t="s">
        <v>20</v>
      </c>
      <c r="I19" s="12"/>
      <c r="J19" s="4" t="s">
        <v>21</v>
      </c>
      <c r="K19" s="4" t="s">
        <v>22</v>
      </c>
      <c r="L19" s="4">
        <f>VLOOKUP($K$19,$E$24:F59,2,FALSE)</f>
        <v>36</v>
      </c>
      <c r="M19" s="4">
        <f>L19*$F$25</f>
        <v>36</v>
      </c>
      <c r="N19" s="13">
        <f ca="1">M19*$F$24</f>
        <v>56160</v>
      </c>
    </row>
    <row r="20" spans="2:22" s="4" customFormat="1" x14ac:dyDescent="0.2">
      <c r="B20" s="12" t="s">
        <v>23</v>
      </c>
      <c r="C20" s="281">
        <f ca="1">C34*0.02*M24</f>
        <v>21349.857600000007</v>
      </c>
      <c r="E20" s="68"/>
      <c r="F20" s="76" cm="1">
        <f t="array" aca="1" ref="F20" ca="1">INDIRECT("'Input_Q"&amp;B3&amp;"-Predict'!C38")</f>
        <v>9</v>
      </c>
      <c r="G20" s="16"/>
      <c r="I20" s="12" t="s">
        <v>24</v>
      </c>
      <c r="J20" s="19" t="s">
        <v>25</v>
      </c>
      <c r="K20" s="4" t="s">
        <v>26</v>
      </c>
      <c r="L20" s="4">
        <f>VLOOKUP($K$20,$E$25:F60,2,FALSE)</f>
        <v>44.52</v>
      </c>
      <c r="M20" s="4">
        <f>L20*$F$28</f>
        <v>89.04</v>
      </c>
      <c r="N20" s="13">
        <f ca="1">M20*$F$24</f>
        <v>138902.40000000002</v>
      </c>
    </row>
    <row r="21" spans="2:22" s="4" customFormat="1" x14ac:dyDescent="0.2">
      <c r="B21" s="14" t="s">
        <v>27</v>
      </c>
      <c r="C21" s="453">
        <v>280000</v>
      </c>
      <c r="E21" s="12" t="s">
        <v>28</v>
      </c>
      <c r="G21" s="103"/>
      <c r="I21" s="12"/>
      <c r="J21" s="20" t="s">
        <v>29</v>
      </c>
      <c r="K21" s="4" t="s">
        <v>30</v>
      </c>
      <c r="L21" s="4">
        <f>VLOOKUP($K$21,$E$26:F63,2,FALSE)</f>
        <v>187.20000000000002</v>
      </c>
      <c r="M21" s="4">
        <f>L21*$F$38</f>
        <v>374.40000000000003</v>
      </c>
      <c r="N21" s="13">
        <f ca="1">M21*$F$24</f>
        <v>584064</v>
      </c>
      <c r="V21" s="19"/>
    </row>
    <row r="22" spans="2:22" s="4" customFormat="1" x14ac:dyDescent="0.2">
      <c r="B22" s="14"/>
      <c r="C22" s="278">
        <f ca="1">SUM(C17:C21)</f>
        <v>1328498.2576000001</v>
      </c>
      <c r="E22" s="12" t="s">
        <v>31</v>
      </c>
      <c r="F22" s="214">
        <v>1300000</v>
      </c>
      <c r="G22" s="103"/>
      <c r="I22" s="12"/>
      <c r="J22" s="70" t="s">
        <v>32</v>
      </c>
      <c r="K22" s="4" t="s">
        <v>33</v>
      </c>
      <c r="L22" s="4">
        <f>VLOOKUP($K$22,$E$21:F60,2,FALSE)</f>
        <v>24.150000000000002</v>
      </c>
      <c r="M22" s="4">
        <f>L22*$F$51</f>
        <v>72.45</v>
      </c>
      <c r="N22" s="13">
        <f ca="1">M22*$F$24</f>
        <v>113022</v>
      </c>
      <c r="V22" s="20"/>
    </row>
    <row r="23" spans="2:22" s="4" customFormat="1" x14ac:dyDescent="0.2">
      <c r="E23" s="12" t="s">
        <v>34</v>
      </c>
      <c r="F23" s="214">
        <v>1500000</v>
      </c>
      <c r="G23" s="103"/>
      <c r="I23" s="71" t="s">
        <v>35</v>
      </c>
      <c r="J23" s="72"/>
      <c r="K23" s="72"/>
      <c r="L23" s="72"/>
      <c r="M23" s="72">
        <f>SUM(M19:M22)</f>
        <v>571.8900000000001</v>
      </c>
      <c r="N23" s="73">
        <f ca="1">SUM(N19:N22)</f>
        <v>892148.4</v>
      </c>
      <c r="V23" s="70"/>
    </row>
    <row r="24" spans="2:22" s="4" customFormat="1" x14ac:dyDescent="0.2">
      <c r="E24" s="14" t="s">
        <v>18</v>
      </c>
      <c r="F24" s="95" cm="1">
        <f t="array" aca="1" ref="F24" ca="1">INDIRECT("'Input_Q"&amp;B3&amp;"-Predict'!C36")</f>
        <v>1560</v>
      </c>
      <c r="G24" s="103" t="s">
        <v>36</v>
      </c>
      <c r="I24" s="14" t="s">
        <v>37</v>
      </c>
      <c r="J24" s="15"/>
      <c r="K24" s="15"/>
      <c r="L24" s="15"/>
      <c r="M24" s="15">
        <f>M23-M19</f>
        <v>535.8900000000001</v>
      </c>
      <c r="N24" s="16">
        <f ca="1">M24*F24</f>
        <v>835988.40000000014</v>
      </c>
    </row>
    <row r="25" spans="2:22" s="4" customFormat="1" x14ac:dyDescent="0.2">
      <c r="B25" s="71" t="s">
        <v>38</v>
      </c>
      <c r="C25" s="454" cm="1">
        <f t="array" aca="1" ref="C25" ca="1">IF(B5="Validation",'Q10-Predict'!C30/'Q10-Predict'!C29,INDIRECT("'Input_Q"&amp;B3&amp;"-Predict'!C34"))</f>
        <v>0.96</v>
      </c>
      <c r="E25" s="9" t="s">
        <v>21</v>
      </c>
      <c r="F25" s="10">
        <v>1</v>
      </c>
      <c r="G25" s="103" t="s">
        <v>39</v>
      </c>
    </row>
    <row r="26" spans="2:22" s="4" customFormat="1" x14ac:dyDescent="0.2">
      <c r="E26" s="12" t="s">
        <v>40</v>
      </c>
      <c r="F26" s="214">
        <v>20</v>
      </c>
      <c r="G26" s="103"/>
    </row>
    <row r="27" spans="2:22" s="4" customFormat="1" x14ac:dyDescent="0.2">
      <c r="B27" s="9" t="s">
        <v>41</v>
      </c>
      <c r="C27" s="289">
        <f>INDEX(Data_Stock!B2:N11,MATCH("Left Inventory",Data_Stock!B2:B11,0),MATCH(VALUE(B3-1),Data_Stock!B2:N2,0))</f>
        <v>534</v>
      </c>
      <c r="E27" s="14" t="s">
        <v>22</v>
      </c>
      <c r="F27" s="283">
        <v>36</v>
      </c>
      <c r="G27" s="98"/>
    </row>
    <row r="28" spans="2:22" s="4" customFormat="1" x14ac:dyDescent="0.2">
      <c r="B28" s="12" t="s">
        <v>42</v>
      </c>
      <c r="C28" s="290">
        <f>INDEX(Data_Stock!B2:N11,MATCH("Left",Data_Stock!B2:B11,0),MATCH(VALUE(B3-1),Data_Stock!B2:N2,0))</f>
        <v>1930</v>
      </c>
      <c r="E28" s="9" t="s">
        <v>25</v>
      </c>
      <c r="F28" s="11">
        <v>2</v>
      </c>
      <c r="G28" s="103" t="s">
        <v>39</v>
      </c>
      <c r="P28" s="214"/>
      <c r="V28" s="19"/>
    </row>
    <row r="29" spans="2:22" s="4" customFormat="1" x14ac:dyDescent="0.2">
      <c r="B29" s="12" t="s">
        <v>43</v>
      </c>
      <c r="C29" s="291" cm="1">
        <f t="array" aca="1" ref="C29" ca="1">INDIRECT("'Input_Q"&amp;B3&amp;"-Predict'!C33")</f>
        <v>1497.6</v>
      </c>
      <c r="E29" s="12" t="s">
        <v>44</v>
      </c>
      <c r="F29" s="13">
        <f>(1+F31)*F30</f>
        <v>43.2</v>
      </c>
      <c r="G29" s="103"/>
      <c r="V29" s="20"/>
    </row>
    <row r="30" spans="2:22" s="4" customFormat="1" x14ac:dyDescent="0.2">
      <c r="B30" s="12" t="str">
        <f>IF(B5="Validation","Actual Production","Predict Production")</f>
        <v>Predict Production</v>
      </c>
      <c r="C30" s="292">
        <f>INDEX(Data_Stock!B2:N11,MATCH("Produced",Data_Stock!B2:B11,0),MATCH(VALUE(B3),Data_Stock!B2:N2,0))</f>
        <v>1498</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 ca="1">F24</f>
        <v>1560</v>
      </c>
      <c r="E33" s="67" t="s">
        <v>45</v>
      </c>
      <c r="F33" s="13">
        <v>42</v>
      </c>
      <c r="G33" s="103"/>
    </row>
    <row r="34" spans="2:14" s="4" customFormat="1" x14ac:dyDescent="0.2">
      <c r="B34" s="12" t="s">
        <v>49</v>
      </c>
      <c r="C34" s="222">
        <f ca="1">IF(B5="Validation",INDEX(Data_Stock!B2:N11,MATCH("Left",Data_Stock!B2:B11,0),MATCH('Q10-Predict'!B3,Data_Stock!B2:N2,0)),C28+F24-C30)</f>
        <v>1992</v>
      </c>
      <c r="E34" s="67" t="s">
        <v>46</v>
      </c>
      <c r="F34" s="13">
        <v>0.06</v>
      </c>
      <c r="G34" s="103"/>
    </row>
    <row r="35" spans="2:14" s="4" customFormat="1" x14ac:dyDescent="0.2">
      <c r="B35" s="14" t="s">
        <v>50</v>
      </c>
      <c r="C35" s="288">
        <f ca="1">C34*M24</f>
        <v>1067492.8800000001</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 ca="1">SUMPRODUCT(F73:I73,F71:I71)</f>
        <v>2881585</v>
      </c>
    </row>
    <row r="69" spans="2:11" s="4" customFormat="1" x14ac:dyDescent="0.2">
      <c r="B69" s="12" t="s">
        <v>61</v>
      </c>
      <c r="C69" s="221">
        <f ca="1">J75</f>
        <v>423771.62</v>
      </c>
      <c r="E69" s="9" t="str">
        <f>IF(B5="Validation","Actual S.C.R","Predict S.C.R")</f>
        <v>Predict S.C.R</v>
      </c>
      <c r="F69" s="311" cm="1">
        <f t="array" aca="1" ref="F69" ca="1">IF($B$5="Validation",F73/F72,INDIRECT("'Input_Q"&amp;$B$3&amp;"-Predict'!D29"))</f>
        <v>0.5</v>
      </c>
      <c r="G69" s="311" cm="1">
        <f t="array" aca="1" ref="G69" ca="1">IF($B$5="Validation",G73/G72,INDIRECT("'Input_Q"&amp;$B$3&amp;"-Predict'!D30"))</f>
        <v>0.5</v>
      </c>
      <c r="H69" s="311" cm="1">
        <f t="array" aca="1" ref="H69" ca="1">IF($B$5="Validation",H73/H72,INDIRECT("'Input_Q"&amp;$B$3&amp;"-Predict'!D31"))</f>
        <v>0.5</v>
      </c>
      <c r="I69" s="311" cm="1">
        <f t="array" aca="1" ref="I69" ca="1">IF($B$5="Validation",I73/I72,INDIRECT("'Input_Q"&amp;$B$3&amp;"-Predict'!D32"))</f>
        <v>0.5</v>
      </c>
      <c r="J69" s="11"/>
    </row>
    <row r="70" spans="2:11" s="4" customFormat="1" x14ac:dyDescent="0.2">
      <c r="B70" s="12" t="s">
        <v>62</v>
      </c>
      <c r="C70" s="318">
        <f ca="1">C68*C74</f>
        <v>172895.1</v>
      </c>
      <c r="E70" s="297" t="s">
        <v>63</v>
      </c>
      <c r="F70" s="298">
        <v>1</v>
      </c>
      <c r="G70" s="298">
        <v>2</v>
      </c>
      <c r="H70" s="298">
        <v>3</v>
      </c>
      <c r="I70" s="299">
        <v>4</v>
      </c>
      <c r="J70" s="299" t="s">
        <v>64</v>
      </c>
    </row>
    <row r="71" spans="2:11" s="4" customFormat="1" x14ac:dyDescent="0.2">
      <c r="B71" s="14"/>
      <c r="C71" s="319">
        <f ca="1">SUM(C68:C70)</f>
        <v>3478251.72</v>
      </c>
      <c r="E71" s="300" t="s">
        <v>65</v>
      </c>
      <c r="F71" s="358" cm="1">
        <f t="array" aca="1" ref="F71" ca="1">INDIRECT("'Input_Q"&amp;$B$3&amp;"-Predict'!C10")</f>
        <v>2899</v>
      </c>
      <c r="G71" s="358" cm="1">
        <f t="array" aca="1" ref="G71" ca="1">INDIRECT("'Input_Q"&amp;$B$3&amp;"-Predict'!C11")</f>
        <v>2599</v>
      </c>
      <c r="H71" s="358" cm="1">
        <f t="array" aca="1" ref="H71" ca="1">INDIRECT("'Input_Q"&amp;$B$3&amp;"-Predict'!C12")</f>
        <v>2899</v>
      </c>
      <c r="I71" s="358" cm="1">
        <f t="array" aca="1" ref="I71" ca="1">INDIRECT("'Input_Q"&amp;$B$3&amp;"-Predict'!C13")</f>
        <v>2899</v>
      </c>
      <c r="J71" s="301" t="s">
        <v>66</v>
      </c>
      <c r="K71" s="363"/>
    </row>
    <row r="72" spans="2:11" s="4" customFormat="1" x14ac:dyDescent="0.2">
      <c r="E72" s="300" t="s">
        <v>67</v>
      </c>
      <c r="F72" s="272" cm="1">
        <f t="array" aca="1" ref="F72" ca="1">INDIRECT("'Input_Q"&amp;$B$3&amp;"-Predict'!C24")</f>
        <v>609</v>
      </c>
      <c r="G72" s="272" cm="1">
        <f t="array" aca="1" ref="G72" ca="1">INDIRECT("'Input_Q"&amp;$B$3&amp;"-Predict'!C25")</f>
        <v>406</v>
      </c>
      <c r="H72" s="272" cm="1">
        <f t="array" aca="1" ref="H72" ca="1">INDIRECT("'Input_Q"&amp;$B$3&amp;"-Predict'!C26")</f>
        <v>203</v>
      </c>
      <c r="I72" s="272" cm="1">
        <f t="array" aca="1" ref="I72" ca="1">INDIRECT("'Input_Q"&amp;$B$3&amp;"-Predict'!C27")</f>
        <v>814</v>
      </c>
      <c r="J72" s="303">
        <f>Archived_Testing_Q5!B19</f>
        <v>1600</v>
      </c>
    </row>
    <row r="73" spans="2:11" s="4" customFormat="1" x14ac:dyDescent="0.2">
      <c r="D73" s="199"/>
      <c r="E73" s="300" t="str">
        <f>IF(B5="Validation","Actual Sale","Predict Sale")</f>
        <v>Predict Sale</v>
      </c>
      <c r="F73" s="353">
        <f ca="1">IF($E$73="Actual Sale",INDEX(Data_Sales!$B$3:$N$8,MATCH(F70,Data_Sales!$B$3:$B$8,0),MATCH($B$3,Data_Sales!$B$3:$N$3,0)),ROUNDDOWN(F69*F72,0))</f>
        <v>304</v>
      </c>
      <c r="G73" s="353">
        <f ca="1">IF($E$73="Actual Sale",INDEX(Data_Sales!$B$3:$N$8,MATCH(G70,Data_Sales!$B$3:$B$8,0),MATCH($B$3,Data_Sales!$B$3:$N$3,0)),ROUNDDOWN(G69*G72,0))</f>
        <v>203</v>
      </c>
      <c r="H73" s="353">
        <f ca="1">IF($E$73="Actual Sale",INDEX(Data_Sales!$B$3:$N$8,MATCH(H70,Data_Sales!$B$3:$B$8,0),MATCH($B$3,Data_Sales!$B$3:$N$3,0)),ROUNDDOWN(H69*H72,0))</f>
        <v>101</v>
      </c>
      <c r="I73" s="353">
        <f ca="1">IF($E$73="Actual Sale",INDEX(Data_Sales!$B$3:$N$8,MATCH(I70,Data_Sales!$B$3:$B$8,0),MATCH($B$3,Data_Sales!$B$3:$N$3,0)),ROUNDDOWN(I69*I72,0))</f>
        <v>407</v>
      </c>
      <c r="J73" s="383">
        <f ca="1">SUM(F73:I73)</f>
        <v>1015</v>
      </c>
    </row>
    <row r="74" spans="2:11" s="4" customFormat="1" x14ac:dyDescent="0.2">
      <c r="B74" s="9" t="s">
        <v>68</v>
      </c>
      <c r="C74" s="406" cm="1">
        <f t="array" aca="1" ref="C74" ca="1">INDIRECT("'Input_Q"&amp;B3&amp;"-Predict'!C39")</f>
        <v>0.06</v>
      </c>
      <c r="D74" s="199"/>
      <c r="E74" s="300" t="s">
        <v>69</v>
      </c>
      <c r="F74" s="256" cm="1">
        <f t="array" aca="1" ref="F74" ca="1">INDIRECT("'Input_Q"&amp;$B$3&amp;"-Predict'!C41")</f>
        <v>7</v>
      </c>
      <c r="G74" s="256" cm="1">
        <f t="array" aca="1" ref="G74" ca="1">INDIRECT("'Input_Q"&amp;$B$3&amp;"-Predict'!C42")</f>
        <v>10</v>
      </c>
      <c r="H74" s="256" cm="1">
        <f t="array" aca="1" ref="H74" ca="1">INDIRECT("'Input_Q"&amp;$B$3&amp;"-Predict'!C43")</f>
        <v>1</v>
      </c>
      <c r="I74" s="256" cm="1">
        <f t="array" aca="1" ref="I74" ca="1">INDIRECT("'Input_Q"&amp;$B$3&amp;"-Predict'!C44")</f>
        <v>8</v>
      </c>
      <c r="J74" s="301"/>
    </row>
    <row r="75" spans="2:11" s="4" customFormat="1" x14ac:dyDescent="0.2">
      <c r="B75" s="12" t="s">
        <v>70</v>
      </c>
      <c r="C75" s="221">
        <f>J72</f>
        <v>1600</v>
      </c>
      <c r="D75" s="357"/>
      <c r="E75" s="300" t="s">
        <v>71</v>
      </c>
      <c r="F75" s="312">
        <f ca="1">F72*F71*F74/100</f>
        <v>123584.37</v>
      </c>
      <c r="G75" s="312">
        <f ca="1">G72*G71*G74/100</f>
        <v>105519.4</v>
      </c>
      <c r="H75" s="312">
        <f ca="1">H72*H71*H74/100</f>
        <v>5884.97</v>
      </c>
      <c r="I75" s="304">
        <f ca="1">I72*I71*I74/100</f>
        <v>188782.88</v>
      </c>
      <c r="J75" s="304">
        <f ca="1">SUM(F75:I75)</f>
        <v>423771.62</v>
      </c>
    </row>
    <row r="76" spans="2:11" s="4" customFormat="1" x14ac:dyDescent="0.2">
      <c r="B76" s="12" t="s">
        <v>72</v>
      </c>
      <c r="C76" s="221">
        <f ca="1">J73</f>
        <v>1015</v>
      </c>
      <c r="D76" s="199"/>
      <c r="E76" s="300" t="s">
        <v>73</v>
      </c>
      <c r="F76" s="256" cm="1">
        <f t="array" aca="1" ref="F76" ca="1">INDIRECT("'Input_Q"&amp;$B$3&amp;"-Predict'!C46")</f>
        <v>0</v>
      </c>
      <c r="G76" s="256" cm="1">
        <f t="array" aca="1" ref="G76" ca="1">INDIRECT("'Input_Q"&amp;$B$3&amp;"-Predict'!C47")</f>
        <v>0</v>
      </c>
      <c r="H76" s="256" cm="1">
        <f t="array" aca="1" ref="H76" ca="1">INDIRECT("'Input_Q"&amp;$B$3&amp;"-Predict'!C48")</f>
        <v>0</v>
      </c>
      <c r="I76" s="256" cm="1">
        <f t="array" aca="1" ref="I76" ca="1">INDIRECT("'Input_Q"&amp;$B$3&amp;"-Predict'!C49")</f>
        <v>0</v>
      </c>
      <c r="J76" s="301" t="s">
        <v>66</v>
      </c>
    </row>
    <row r="77" spans="2:11" s="4" customFormat="1" x14ac:dyDescent="0.2">
      <c r="B77" s="14" t="s">
        <v>74</v>
      </c>
      <c r="C77" s="319">
        <f ca="1">C75-C76</f>
        <v>585</v>
      </c>
      <c r="D77" s="199"/>
      <c r="E77" s="305" t="s">
        <v>75</v>
      </c>
      <c r="F77" s="306">
        <f ca="1">INDEX(Data_EmployeeNumber!$A$4:$E$16,MATCH('Q10-Predict'!$B$3-1,Data_EmployeeNumber!$A$4:$A$16,0),MATCH('Q10-Predict'!F70,Data_EmployeeNumber!$A$4:$E$4,0))+'Q10-Predict'!F76</f>
        <v>3</v>
      </c>
      <c r="G77" s="306">
        <f ca="1">INDEX(Data_EmployeeNumber!$A$4:$E$16,MATCH('Q10-Predict'!$B$3-1,Data_EmployeeNumber!$A$4:$A$16,0),MATCH('Q10-Predict'!G70,Data_EmployeeNumber!$A$4:$E$4,0))+'Q10-Predict'!G76</f>
        <v>3</v>
      </c>
      <c r="H77" s="306">
        <f ca="1">INDEX(Data_EmployeeNumber!$A$4:$E$16,MATCH('Q10-Predict'!$B$3-1,Data_EmployeeNumber!$A$4:$A$16,0),MATCH('Q10-Predict'!H70,Data_EmployeeNumber!$A$4:$E$4,0))+'Q10-Predict'!H76</f>
        <v>1</v>
      </c>
      <c r="I77" s="306">
        <f ca="1">INDEX(Data_EmployeeNumber!$A$4:$E$16,MATCH('Q10-Predict'!$B$3-1,Data_EmployeeNumber!$A$4:$A$16,0),MATCH('Q10-Predict'!I70,Data_EmployeeNumber!$A$4:$E$4,0))+'Q10-Predict'!I76</f>
        <v>4</v>
      </c>
      <c r="J77" s="307">
        <f ca="1">SUM(F77:I77)</f>
        <v>11</v>
      </c>
    </row>
    <row r="78" spans="2:11" s="4" customFormat="1" x14ac:dyDescent="0.2">
      <c r="E78" s="300" t="s">
        <v>76</v>
      </c>
      <c r="F78" s="296"/>
      <c r="G78" s="296"/>
      <c r="H78" s="296"/>
      <c r="I78" s="301"/>
      <c r="J78" s="455" t="s">
        <v>77</v>
      </c>
    </row>
    <row r="79" spans="2:11" s="4" customFormat="1" x14ac:dyDescent="0.2">
      <c r="E79" s="305" t="s">
        <v>78</v>
      </c>
      <c r="F79" s="308"/>
      <c r="G79" s="308"/>
      <c r="H79" s="308"/>
      <c r="I79" s="317"/>
      <c r="J79" s="456" t="s">
        <v>77</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 ca="1">I98</f>
        <v>304200</v>
      </c>
      <c r="D92" s="214"/>
      <c r="E92" s="71" t="s">
        <v>82</v>
      </c>
      <c r="F92" s="329" cm="1">
        <f t="array" aca="1" ref="F92" ca="1">INDIRECT("'Input_Q"&amp;$B$3&amp;"-Predict'!C50")</f>
        <v>5200</v>
      </c>
      <c r="H92" s="71" t="s">
        <v>82</v>
      </c>
      <c r="I92" s="72" t="s">
        <v>83</v>
      </c>
      <c r="J92" s="72" t="s">
        <v>84</v>
      </c>
      <c r="K92" s="72" t="s">
        <v>85</v>
      </c>
      <c r="L92" s="73" t="s">
        <v>86</v>
      </c>
    </row>
    <row r="93" spans="1:12" s="4" customFormat="1" x14ac:dyDescent="0.2">
      <c r="B93" s="12" t="s">
        <v>87</v>
      </c>
      <c r="C93" s="217">
        <f ca="1">K103</f>
        <v>70000</v>
      </c>
      <c r="D93" s="214"/>
      <c r="H93" s="12" t="s">
        <v>88</v>
      </c>
      <c r="I93" s="214">
        <f ca="1">$F$92*K93</f>
        <v>26000</v>
      </c>
      <c r="J93" s="4">
        <v>1</v>
      </c>
      <c r="K93" s="4">
        <v>5</v>
      </c>
      <c r="L93" s="13">
        <f>J93*K93</f>
        <v>5</v>
      </c>
    </row>
    <row r="94" spans="1:12" s="4" customFormat="1" x14ac:dyDescent="0.2">
      <c r="B94" s="12" t="s">
        <v>89</v>
      </c>
      <c r="C94" s="217">
        <f ca="1">K104</f>
        <v>18000</v>
      </c>
      <c r="D94" s="321"/>
      <c r="E94" s="71" t="s">
        <v>90</v>
      </c>
      <c r="F94" s="73"/>
      <c r="H94" s="12" t="s">
        <v>91</v>
      </c>
      <c r="I94" s="214">
        <f ca="1">$F$92*K94</f>
        <v>5200</v>
      </c>
      <c r="J94" s="4">
        <v>35</v>
      </c>
      <c r="K94" s="4">
        <v>1</v>
      </c>
      <c r="L94" s="13">
        <f>J94*K94</f>
        <v>35</v>
      </c>
    </row>
    <row r="95" spans="1:12" s="4" customFormat="1" x14ac:dyDescent="0.2">
      <c r="B95" s="12" t="s">
        <v>92</v>
      </c>
      <c r="C95" s="217">
        <f ca="1">K105</f>
        <v>47000</v>
      </c>
      <c r="E95" s="12" t="s">
        <v>93</v>
      </c>
      <c r="F95" s="327">
        <v>10000</v>
      </c>
      <c r="H95" s="12" t="s">
        <v>94</v>
      </c>
      <c r="I95" s="214">
        <f ca="1">$F$92*K95</f>
        <v>13000</v>
      </c>
      <c r="J95" s="4">
        <v>3</v>
      </c>
      <c r="K95" s="4">
        <v>2.5</v>
      </c>
      <c r="L95" s="13">
        <f>J95*K95</f>
        <v>7.5</v>
      </c>
    </row>
    <row r="96" spans="1:12" s="4" customFormat="1" x14ac:dyDescent="0.2">
      <c r="B96" s="71"/>
      <c r="C96" s="324">
        <f ca="1">SUM(C92:C95)</f>
        <v>439200</v>
      </c>
      <c r="E96" s="12" t="s">
        <v>95</v>
      </c>
      <c r="F96" s="194" cm="1">
        <f t="array" aca="1" ref="F96" ca="1">INDIRECT("'Input_Q"&amp;$B$3&amp;"-Predict'!C51")</f>
        <v>7</v>
      </c>
      <c r="H96" s="12" t="s">
        <v>96</v>
      </c>
      <c r="I96" s="214">
        <f ca="1">$F$92*K96</f>
        <v>5200</v>
      </c>
      <c r="J96" s="4">
        <f ca="1">J77</f>
        <v>11</v>
      </c>
      <c r="K96" s="4">
        <v>1</v>
      </c>
      <c r="L96" s="13">
        <f ca="1">J96*K96</f>
        <v>11</v>
      </c>
    </row>
    <row r="97" spans="1:12" s="4" customFormat="1" x14ac:dyDescent="0.2">
      <c r="E97" s="12" t="s">
        <v>97</v>
      </c>
      <c r="F97" s="217">
        <v>2000</v>
      </c>
      <c r="H97" s="12" t="s">
        <v>64</v>
      </c>
      <c r="I97" s="4" t="s">
        <v>66</v>
      </c>
      <c r="J97" s="4">
        <f ca="1">SUM(J93:J96)</f>
        <v>50</v>
      </c>
      <c r="K97" s="4" t="s">
        <v>66</v>
      </c>
      <c r="L97" s="13">
        <f ca="1">SUM(L93:L96)</f>
        <v>58.5</v>
      </c>
    </row>
    <row r="98" spans="1:12" s="4" customFormat="1" x14ac:dyDescent="0.2">
      <c r="B98" s="71" t="s">
        <v>98</v>
      </c>
      <c r="C98" s="73"/>
      <c r="E98" s="14" t="s">
        <v>95</v>
      </c>
      <c r="F98" s="76" cm="1">
        <f t="array" aca="1" ref="F98" ca="1">INDIRECT("'Input_Q"&amp;$B$3&amp;"-Predict'!C52")</f>
        <v>9</v>
      </c>
      <c r="H98" s="14" t="s">
        <v>99</v>
      </c>
      <c r="I98" s="322">
        <f ca="1">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 ca="1">F92</f>
        <v>5200</v>
      </c>
      <c r="J102" s="4">
        <f ca="1">L97</f>
        <v>58.5</v>
      </c>
      <c r="K102" s="217">
        <f ca="1">I102*J102</f>
        <v>304200</v>
      </c>
    </row>
    <row r="103" spans="1:12" s="4" customFormat="1" x14ac:dyDescent="0.2">
      <c r="E103" s="12" t="s">
        <v>106</v>
      </c>
      <c r="F103" s="217">
        <v>175</v>
      </c>
      <c r="H103" s="12" t="s">
        <v>93</v>
      </c>
      <c r="I103" s="214">
        <f>F95</f>
        <v>10000</v>
      </c>
      <c r="J103" s="4">
        <f ca="1">F96</f>
        <v>7</v>
      </c>
      <c r="K103" s="217">
        <f ca="1">F95*J103</f>
        <v>70000</v>
      </c>
    </row>
    <row r="104" spans="1:12" s="4" customFormat="1" ht="17" customHeight="1" x14ac:dyDescent="0.2">
      <c r="E104" s="12" t="s">
        <v>107</v>
      </c>
      <c r="F104" s="217">
        <v>400</v>
      </c>
      <c r="H104" s="12" t="s">
        <v>97</v>
      </c>
      <c r="I104" s="214">
        <f>F97</f>
        <v>2000</v>
      </c>
      <c r="J104" s="4">
        <f ca="1">F98</f>
        <v>9</v>
      </c>
      <c r="K104" s="217">
        <f ca="1">F97*J104</f>
        <v>18000</v>
      </c>
    </row>
    <row r="105" spans="1:12" s="4" customFormat="1" x14ac:dyDescent="0.2">
      <c r="E105" s="12" t="s">
        <v>108</v>
      </c>
      <c r="F105" s="217">
        <v>280</v>
      </c>
      <c r="H105" s="12" t="s">
        <v>109</v>
      </c>
      <c r="I105" s="214">
        <f>F102+F106+F107+F108</f>
        <v>940</v>
      </c>
      <c r="J105" s="4">
        <f ca="1">J97</f>
        <v>50</v>
      </c>
      <c r="K105" s="217">
        <f ca="1">I105*J105</f>
        <v>47000</v>
      </c>
    </row>
    <row r="106" spans="1:12" s="4" customFormat="1" x14ac:dyDescent="0.2">
      <c r="E106" s="325" t="s">
        <v>110</v>
      </c>
      <c r="F106" s="217">
        <v>350</v>
      </c>
      <c r="H106" s="14"/>
      <c r="I106" s="15"/>
      <c r="J106" s="15"/>
      <c r="K106" s="278">
        <f ca="1">SUM(K102:K105)</f>
        <v>439200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457" t="s">
        <v>114</v>
      </c>
      <c r="C113" s="458">
        <v>0</v>
      </c>
    </row>
    <row r="114" spans="1:22" s="4" customFormat="1" x14ac:dyDescent="0.2">
      <c r="B114" s="275" t="s">
        <v>115</v>
      </c>
      <c r="C114" s="459">
        <v>0</v>
      </c>
    </row>
    <row r="115" spans="1:22" s="4" customFormat="1" x14ac:dyDescent="0.2">
      <c r="B115" s="275" t="s">
        <v>116</v>
      </c>
      <c r="C115" s="459">
        <f>C113*C114</f>
        <v>0</v>
      </c>
    </row>
    <row r="116" spans="1:22" s="4" customFormat="1" x14ac:dyDescent="0.2">
      <c r="B116" s="14" t="s">
        <v>117</v>
      </c>
      <c r="C116" s="76" cm="1">
        <f t="array" aca="1" ref="C116" ca="1">INDIRECT("'Input_Q"&amp;$B$3&amp;"-Predict'!C53")</f>
        <v>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118</v>
      </c>
    </row>
    <row r="121" spans="1:22" s="4" customFormat="1" x14ac:dyDescent="0.2"/>
    <row r="122" spans="1:22" s="4" customFormat="1" x14ac:dyDescent="0.2">
      <c r="B122" s="4" t="s">
        <v>119</v>
      </c>
    </row>
    <row r="123" spans="1:22" s="4" customFormat="1" x14ac:dyDescent="0.2">
      <c r="B123" s="9" t="s">
        <v>60</v>
      </c>
      <c r="C123" s="334">
        <f ca="1">IFERROR(VLOOKUP(B123,$B$14:$C$121,2,FALSE),0)</f>
        <v>2881585</v>
      </c>
      <c r="D123" s="286"/>
      <c r="E123" s="286"/>
    </row>
    <row r="124" spans="1:22" s="4" customFormat="1" x14ac:dyDescent="0.2">
      <c r="B124" s="275" t="s">
        <v>120</v>
      </c>
      <c r="C124" s="366">
        <f ca="1">IF(D124="Match",(C74+0.125)*C123+J73*M23,E124)</f>
        <v>1113561.5750000002</v>
      </c>
      <c r="D124" s="302" t="s">
        <v>121</v>
      </c>
      <c r="E124" s="268">
        <v>996058.8</v>
      </c>
      <c r="F124" s="9"/>
      <c r="G124" s="9" t="s">
        <v>122</v>
      </c>
      <c r="H124" s="331"/>
      <c r="I124" s="10">
        <f ca="1">H124/$H$128</f>
        <v>0</v>
      </c>
      <c r="J124" s="11"/>
    </row>
    <row r="125" spans="1:22" s="4" customFormat="1" x14ac:dyDescent="0.2">
      <c r="B125" s="12" t="s">
        <v>123</v>
      </c>
      <c r="C125" s="336">
        <f ca="1">C123-C124</f>
        <v>1768023.4249999998</v>
      </c>
      <c r="E125" s="302"/>
      <c r="F125" s="12"/>
      <c r="G125" s="12" t="s">
        <v>124</v>
      </c>
      <c r="H125" s="279">
        <f ca="1">SUMIF(D127:D139,"FC",C127:C139)</f>
        <v>1836521.4776000001</v>
      </c>
      <c r="I125" s="4">
        <f ca="1">H125/$H$128</f>
        <v>1809.3807661083745</v>
      </c>
      <c r="J125" s="13"/>
    </row>
    <row r="126" spans="1:22" s="4" customFormat="1" x14ac:dyDescent="0.2">
      <c r="B126" s="12" t="s">
        <v>125</v>
      </c>
      <c r="C126" s="336"/>
      <c r="F126" s="12"/>
      <c r="G126" s="12" t="s">
        <v>120</v>
      </c>
      <c r="H126" s="279">
        <f ca="1">C124</f>
        <v>1113561.5750000002</v>
      </c>
      <c r="I126" s="4">
        <f ca="1">H126/$H$128</f>
        <v>1097.1050000000002</v>
      </c>
      <c r="J126" s="13"/>
    </row>
    <row r="127" spans="1:22" s="4" customFormat="1" x14ac:dyDescent="0.2">
      <c r="B127" s="12" t="s">
        <v>126</v>
      </c>
      <c r="C127" s="336">
        <f ca="1">IF(B7="Overtime",560000,280000)</f>
        <v>560000</v>
      </c>
      <c r="D127" s="4" t="s">
        <v>124</v>
      </c>
      <c r="F127" s="12"/>
      <c r="G127" s="12" t="s">
        <v>127</v>
      </c>
      <c r="H127" s="279">
        <f ca="1">SUM(H124:H126)</f>
        <v>2950083.0526000001</v>
      </c>
      <c r="J127" s="13"/>
    </row>
    <row r="128" spans="1:22" s="4" customFormat="1" x14ac:dyDescent="0.2">
      <c r="B128" s="12" t="s">
        <v>81</v>
      </c>
      <c r="C128" s="336">
        <f ca="1">IF(B7="Overtime",VALUE(IFERROR(VLOOKUP(B128,$B$14:$C$121,2,FALSE),0))*2,VALUE(IFERROR(VLOOKUP(B128,$B$14:$C$121,2,FALSE),0)))</f>
        <v>608400</v>
      </c>
      <c r="D128" s="4" t="s">
        <v>124</v>
      </c>
      <c r="F128" s="12"/>
      <c r="G128" s="12" t="s">
        <v>128</v>
      </c>
      <c r="H128" s="302">
        <f ca="1">C76</f>
        <v>1015</v>
      </c>
      <c r="J128" s="13"/>
    </row>
    <row r="129" spans="2:10" s="4" customFormat="1" x14ac:dyDescent="0.2">
      <c r="B129" s="12" t="s">
        <v>87</v>
      </c>
      <c r="C129" s="336">
        <f t="shared" ref="C129:C136" ca="1" si="0">IFERROR(VLOOKUP(B129,$B$14:$C$121,2,FALSE),0)</f>
        <v>70000</v>
      </c>
      <c r="D129" s="4" t="s">
        <v>124</v>
      </c>
      <c r="F129" s="12"/>
      <c r="G129" s="12" t="s">
        <v>129</v>
      </c>
      <c r="H129" s="339">
        <f ca="1">H127/H128</f>
        <v>2906.4857661083743</v>
      </c>
      <c r="J129" s="13"/>
    </row>
    <row r="130" spans="2:10" s="4" customFormat="1" x14ac:dyDescent="0.2">
      <c r="B130" s="12" t="s">
        <v>92</v>
      </c>
      <c r="C130" s="336">
        <f t="shared" ca="1" si="0"/>
        <v>47000</v>
      </c>
      <c r="D130" s="4" t="s">
        <v>122</v>
      </c>
      <c r="F130" s="12"/>
      <c r="G130" s="12"/>
      <c r="J130" s="13"/>
    </row>
    <row r="131" spans="2:10" s="4" customFormat="1" x14ac:dyDescent="0.2">
      <c r="B131" s="12" t="s">
        <v>89</v>
      </c>
      <c r="C131" s="336">
        <f t="shared" ca="1" si="0"/>
        <v>18000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 ca="1">$H$129*(1+H131)</f>
        <v>3197.1343427192119</v>
      </c>
      <c r="I132" s="333">
        <f ca="1">$H$129*(1+I131)</f>
        <v>3487.782919330049</v>
      </c>
      <c r="J132" s="341">
        <f ca="1">$H$129*(1+J131)</f>
        <v>3778.4314959408866</v>
      </c>
    </row>
    <row r="133" spans="2:10" s="4" customFormat="1" x14ac:dyDescent="0.2">
      <c r="B133" s="12" t="s">
        <v>11</v>
      </c>
      <c r="C133" s="336">
        <f t="shared" ca="1" si="0"/>
        <v>135000</v>
      </c>
      <c r="D133" s="4" t="s">
        <v>124</v>
      </c>
      <c r="F133" s="12"/>
      <c r="G133" s="4" t="s">
        <v>133</v>
      </c>
      <c r="H133" s="302">
        <f ca="1">H132-$H$129</f>
        <v>290.64857661083761</v>
      </c>
      <c r="I133" s="302">
        <f ca="1">I132-$H$129</f>
        <v>581.29715322167476</v>
      </c>
      <c r="J133" s="318">
        <f ca="1">J132-$H$129</f>
        <v>871.94572983251237</v>
      </c>
    </row>
    <row r="134" spans="2:10" s="4" customFormat="1" x14ac:dyDescent="0.2">
      <c r="B134" s="12" t="s">
        <v>61</v>
      </c>
      <c r="C134" s="336">
        <f t="shared" ca="1" si="0"/>
        <v>423771.62</v>
      </c>
      <c r="D134" s="4" t="s">
        <v>124</v>
      </c>
      <c r="F134" s="12"/>
      <c r="G134" s="4" t="s">
        <v>134</v>
      </c>
      <c r="H134" s="355">
        <f ca="1">H133/H132</f>
        <v>9.0909090909090967E-2</v>
      </c>
      <c r="I134" s="355">
        <f ca="1">I133/I132</f>
        <v>0.16666666666666666</v>
      </c>
      <c r="J134" s="326">
        <f ca="1">J133/J132</f>
        <v>0.23076923076923078</v>
      </c>
    </row>
    <row r="135" spans="2:10" s="4" customFormat="1" x14ac:dyDescent="0.2">
      <c r="B135" s="12" t="s">
        <v>23</v>
      </c>
      <c r="C135" s="336">
        <f ca="1">IFERROR(VLOOKUP(B135,$B$14:$C$121,2,FALSE),0)</f>
        <v>21349.857600000007</v>
      </c>
      <c r="D135" s="4" t="s">
        <v>124</v>
      </c>
      <c r="F135" s="12"/>
      <c r="G135" s="4" t="s">
        <v>135</v>
      </c>
      <c r="H135" s="279">
        <f ca="1">$H$125/H134</f>
        <v>20201736.253599986</v>
      </c>
      <c r="I135" s="279">
        <f ca="1">$H$125/I134</f>
        <v>11019128.865600001</v>
      </c>
      <c r="J135" s="281">
        <f ca="1">$H$125/J134</f>
        <v>7958259.736266667</v>
      </c>
    </row>
    <row r="136" spans="2:10" s="4" customFormat="1" x14ac:dyDescent="0.2">
      <c r="B136" s="12" t="s">
        <v>117</v>
      </c>
      <c r="C136" s="336">
        <f t="shared" ca="1" si="0"/>
        <v>0</v>
      </c>
      <c r="D136" s="4" t="s">
        <v>124</v>
      </c>
      <c r="F136" s="14"/>
      <c r="G136" s="15" t="s">
        <v>136</v>
      </c>
      <c r="H136" s="15">
        <f ca="1">H135/H132</f>
        <v>6318.7010891816635</v>
      </c>
      <c r="I136" s="15">
        <f ca="1">I135/I132</f>
        <v>3159.3505445908345</v>
      </c>
      <c r="J136" s="16">
        <f ca="1">J135/J132</f>
        <v>2106.2336963938897</v>
      </c>
    </row>
    <row r="137" spans="2:10" s="4" customFormat="1" x14ac:dyDescent="0.2">
      <c r="B137" s="275" t="s">
        <v>137</v>
      </c>
      <c r="C137" s="335" cm="1">
        <f t="array" aca="1" ref="C137" ca="1">IF(B5="Validation",E137,SUMPRODUCT(F80:I80*F73:I73))</f>
        <v>39700.22</v>
      </c>
      <c r="D137" s="380" t="s">
        <v>138</v>
      </c>
      <c r="E137" s="4">
        <f>INDEX(Data_Sales!B3:N8,MATCH("Freight Cost",Data_Sales!B3:B8,0),MATCH('Q10-Predict'!B3,Data_Sales!B3:N3,0))</f>
        <v>64144</v>
      </c>
    </row>
    <row r="138" spans="2:10" s="4" customFormat="1" x14ac:dyDescent="0.2">
      <c r="B138" s="12" t="s">
        <v>139</v>
      </c>
      <c r="C138" s="336">
        <f>IFERROR(VLOOKUP(B138,$B$14:$C$121,2,FALSE),0)</f>
        <v>0</v>
      </c>
    </row>
    <row r="139" spans="2:10" s="4" customFormat="1" x14ac:dyDescent="0.2">
      <c r="B139" s="365" t="s">
        <v>140</v>
      </c>
      <c r="C139" s="366" cm="1">
        <f t="array" aca="1" ref="C139" ca="1">INDIRECT("'Input_Q"&amp;$B$3&amp;"-Predict'!C18")</f>
        <v>0</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 ca="1">SUM(C127:C141)</f>
        <v>1923221.6976000001</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 ca="1">C125-C142</f>
        <v>-155198.27260000026</v>
      </c>
    </row>
    <row r="148" spans="2:5" s="4" customFormat="1" x14ac:dyDescent="0.2">
      <c r="B148" s="12" t="s">
        <v>147</v>
      </c>
      <c r="C148" s="13">
        <f ca="1">IF(C147&gt;0,C147*0.15,0)</f>
        <v>0</v>
      </c>
    </row>
    <row r="149" spans="2:5" s="4" customFormat="1" x14ac:dyDescent="0.2">
      <c r="B149" s="12" t="s">
        <v>148</v>
      </c>
      <c r="C149" s="336">
        <f ca="1">C147-C148</f>
        <v>-155198.27260000026</v>
      </c>
    </row>
    <row r="150" spans="2:5" s="4" customFormat="1" x14ac:dyDescent="0.2">
      <c r="B150" s="12" t="s">
        <v>119</v>
      </c>
      <c r="C150" s="13"/>
    </row>
    <row r="151" spans="2:5" s="4" customFormat="1" x14ac:dyDescent="0.2">
      <c r="B151" s="12" t="s">
        <v>149</v>
      </c>
      <c r="C151" s="368">
        <f ca="1">INDEX(Data_IncomeStatement!A1:M33,MATCH("PROFIT AND LOSS STATEMENT RESULTS",Data_IncomeStatement!A1:A33,0),MATCH(VALUE(B3-1),Data_IncomeStatement!A1:M1,0))</f>
        <v>113974.36654000019</v>
      </c>
    </row>
    <row r="152" spans="2:5" s="4" customFormat="1" x14ac:dyDescent="0.2">
      <c r="B152" s="12" t="s">
        <v>148</v>
      </c>
      <c r="C152" s="336">
        <f ca="1">C149</f>
        <v>-155198.27260000026</v>
      </c>
    </row>
    <row r="153" spans="2:5" s="4" customFormat="1" x14ac:dyDescent="0.2">
      <c r="B153" s="12" t="s">
        <v>150</v>
      </c>
      <c r="C153" s="13">
        <v>0</v>
      </c>
    </row>
    <row r="154" spans="2:5" s="4" customFormat="1" x14ac:dyDescent="0.2">
      <c r="B154" s="14" t="s">
        <v>151</v>
      </c>
      <c r="C154" s="337">
        <f ca="1">C152+C151</f>
        <v>-41223.906060000067</v>
      </c>
    </row>
    <row r="155" spans="2:5" s="4" customFormat="1" x14ac:dyDescent="0.2"/>
    <row r="156" spans="2:5" s="4" customFormat="1" x14ac:dyDescent="0.2">
      <c r="C156" s="330"/>
      <c r="D156" s="214"/>
      <c r="E156" s="279"/>
    </row>
    <row r="157" spans="2:5" s="4" customFormat="1" x14ac:dyDescent="0.2">
      <c r="B157" s="9" t="str">
        <f>B5</f>
        <v>Prediction</v>
      </c>
      <c r="C157" s="11"/>
    </row>
    <row r="158" spans="2:5" s="4" customFormat="1" x14ac:dyDescent="0.2">
      <c r="B158" s="63" t="s">
        <v>152</v>
      </c>
      <c r="C158" s="64"/>
    </row>
    <row r="159" spans="2:5" s="4" customFormat="1" x14ac:dyDescent="0.2">
      <c r="B159" s="12" t="s">
        <v>153</v>
      </c>
      <c r="C159" s="336">
        <f ca="1">C142</f>
        <v>1923221.6976000001</v>
      </c>
    </row>
    <row r="160" spans="2:5" s="4" customFormat="1" x14ac:dyDescent="0.2">
      <c r="B160" s="12" t="s">
        <v>154</v>
      </c>
      <c r="C160" s="336">
        <f ca="1">C124</f>
        <v>1113561.5750000002</v>
      </c>
    </row>
    <row r="161" spans="2:3" s="4" customFormat="1" x14ac:dyDescent="0.2">
      <c r="B161" s="12" t="s">
        <v>155</v>
      </c>
      <c r="C161" s="336">
        <f ca="1">C123</f>
        <v>2881585</v>
      </c>
    </row>
    <row r="162" spans="2:3" s="4" customFormat="1" x14ac:dyDescent="0.2">
      <c r="B162" s="12" t="s">
        <v>156</v>
      </c>
      <c r="C162" s="529">
        <f ca="1">C159/(1-C160/C161)</f>
        <v>3134532.4485611366</v>
      </c>
    </row>
    <row r="163" spans="2:3" s="4" customFormat="1" x14ac:dyDescent="0.2">
      <c r="B163" s="12"/>
      <c r="C163" s="13"/>
    </row>
    <row r="164" spans="2:3" s="4" customFormat="1" x14ac:dyDescent="0.2">
      <c r="B164" s="12" t="s">
        <v>157</v>
      </c>
      <c r="C164" s="480">
        <f ca="1">J73</f>
        <v>1015</v>
      </c>
    </row>
    <row r="165" spans="2:3" s="4" customFormat="1" x14ac:dyDescent="0.2">
      <c r="B165" s="14" t="s">
        <v>158</v>
      </c>
      <c r="C165" s="530">
        <f ca="1">ROUNDUP(C162/(C161/C164),0)</f>
        <v>1105</v>
      </c>
    </row>
    <row r="166" spans="2:3" s="4" customFormat="1" x14ac:dyDescent="0.2"/>
    <row r="167" spans="2:3" s="4" customFormat="1" x14ac:dyDescent="0.2"/>
    <row r="168" spans="2:3" s="4" customFormat="1" x14ac:dyDescent="0.2"/>
    <row r="169" spans="2:3" s="4" customFormat="1" x14ac:dyDescent="0.2"/>
    <row r="170" spans="2:3" s="4" customFormat="1" x14ac:dyDescent="0.2"/>
    <row r="171" spans="2:3" s="4" customFormat="1" x14ac:dyDescent="0.2"/>
    <row r="172" spans="2:3" s="4" customFormat="1" x14ac:dyDescent="0.2"/>
    <row r="173" spans="2:3" s="4" customFormat="1" x14ac:dyDescent="0.2"/>
    <row r="174" spans="2:3"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985E489D-F740-B64C-9FA8-C54FAA067B39}">
          <x14:formula1>
            <xm:f>Reference!$A$31:$A$32</xm:f>
          </x14:formula1>
          <xm:sqref>B7</xm:sqref>
        </x14:dataValidation>
        <x14:dataValidation type="list" allowBlank="1" showInputMessage="1" showErrorMessage="1" xr:uid="{1A795181-600C-8C4D-A68A-7F7E58342873}">
          <x14:formula1>
            <xm:f>Reference!$B$1:$B$4</xm:f>
          </x14:formula1>
          <xm:sqref>W21 W28 K20</xm:sqref>
        </x14:dataValidation>
        <x14:dataValidation type="list" allowBlank="1" showInputMessage="1" showErrorMessage="1" xr:uid="{4D666A2E-C582-F74C-9C9D-11A434D5BE8C}">
          <x14:formula1>
            <xm:f>Reference!$D$1:$D$4</xm:f>
          </x14:formula1>
          <xm:sqref>W23 W30 K22</xm:sqref>
        </x14:dataValidation>
        <x14:dataValidation type="list" allowBlank="1" showInputMessage="1" showErrorMessage="1" xr:uid="{565770FF-0AF7-6246-8BDE-3A31F64B0F9D}">
          <x14:formula1>
            <xm:f>Reference!$A$1:$A$3</xm:f>
          </x14:formula1>
          <xm:sqref>W20 W27 K19</xm:sqref>
        </x14:dataValidation>
        <x14:dataValidation type="list" allowBlank="1" showInputMessage="1" showErrorMessage="1" xr:uid="{7F943B2F-0BDB-9641-95B0-3D7CBF37090F}">
          <x14:formula1>
            <xm:f>Reference!$C$1:$C$5</xm:f>
          </x14:formula1>
          <xm:sqref>W22 W29 K21</xm:sqref>
        </x14:dataValidation>
        <x14:dataValidation type="list" allowBlank="1" showInputMessage="1" showErrorMessage="1" xr:uid="{18EA5C2D-18E5-2845-952A-579792ECDBF4}">
          <x14:formula1>
            <xm:f>Reference!$A$6:$A$8</xm:f>
          </x14:formula1>
          <xm:sqref>B5</xm:sqref>
        </x14:dataValidation>
        <x14:dataValidation type="list" allowBlank="1" showInputMessage="1" showErrorMessage="1" xr:uid="{A69D061C-FB7A-AB4E-9D26-4B06D223305E}">
          <x14:formula1>
            <xm:f>Reference!$A$10:$A$12</xm:f>
          </x14:formula1>
          <xm:sqref>D124</xm:sqref>
        </x14:dataValidation>
        <x14:dataValidation type="list" allowBlank="1" showInputMessage="1" showErrorMessage="1" xr:uid="{FE2883EA-751E-4545-9D2A-49B6AAFDFDC4}">
          <x14:formula1>
            <xm:f>Reference!$A$14:$A$26</xm:f>
          </x14:formula1>
          <xm:sqref>B3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1BA2E-0446-1D4A-B6D7-6DD88FC7CFAE}">
  <sheetPr>
    <tabColor theme="2" tint="-9.9978637043366805E-2"/>
  </sheetPr>
  <dimension ref="A1:V174"/>
  <sheetViews>
    <sheetView topLeftCell="A67" zoomScale="75" zoomScaleNormal="120" workbookViewId="0">
      <selection activeCell="C20" sqref="C20"/>
    </sheetView>
  </sheetViews>
  <sheetFormatPr baseColWidth="10" defaultColWidth="11" defaultRowHeight="16" x14ac:dyDescent="0.2"/>
  <cols>
    <col min="1" max="1" width="5.6640625" style="4" customWidth="1"/>
    <col min="2" max="2" width="33.33203125" bestFit="1" customWidth="1"/>
    <col min="3" max="3" width="14" bestFit="1" customWidth="1"/>
    <col min="4" max="4" width="17.83203125" bestFit="1" customWidth="1"/>
    <col min="5" max="5" width="19.5" customWidth="1"/>
    <col min="6" max="6" width="15.33203125" bestFit="1" customWidth="1"/>
    <col min="7" max="7" width="32.66406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178" t="s">
        <v>0</v>
      </c>
      <c r="C2" s="4"/>
      <c r="D2" s="4"/>
      <c r="E2" s="4"/>
      <c r="F2" s="4"/>
      <c r="G2" s="4"/>
      <c r="H2" s="4"/>
      <c r="I2" s="4"/>
      <c r="J2" s="4"/>
      <c r="K2" s="4"/>
      <c r="L2" s="4"/>
      <c r="M2" s="4"/>
      <c r="N2" s="4"/>
      <c r="O2" s="4"/>
      <c r="P2" s="4"/>
      <c r="Q2" s="4"/>
      <c r="R2" s="4"/>
      <c r="S2" s="4"/>
      <c r="T2" s="4"/>
      <c r="U2" s="4"/>
      <c r="V2" s="4"/>
    </row>
    <row r="3" spans="1:22" x14ac:dyDescent="0.2">
      <c r="B3" s="460">
        <v>9</v>
      </c>
      <c r="C3" s="4"/>
      <c r="D3" s="4"/>
      <c r="E3" s="4"/>
      <c r="F3" s="4"/>
      <c r="G3" s="4"/>
      <c r="H3" s="4"/>
      <c r="I3" s="4"/>
      <c r="J3" s="4"/>
      <c r="K3" s="4"/>
      <c r="L3" s="4"/>
      <c r="M3" s="4"/>
      <c r="N3" s="4"/>
      <c r="O3" s="4"/>
      <c r="P3" s="4"/>
      <c r="Q3" s="4"/>
      <c r="R3" s="4"/>
      <c r="S3" s="4"/>
      <c r="T3" s="4"/>
      <c r="U3" s="4"/>
      <c r="V3" s="4"/>
    </row>
    <row r="4" spans="1:22" s="4" customFormat="1" x14ac:dyDescent="0.2">
      <c r="B4" s="178" t="s">
        <v>1</v>
      </c>
    </row>
    <row r="5" spans="1:22" s="4" customFormat="1" x14ac:dyDescent="0.2">
      <c r="B5" s="460" t="s">
        <v>2</v>
      </c>
    </row>
    <row r="6" spans="1:22" s="4" customFormat="1" x14ac:dyDescent="0.2">
      <c r="B6" s="178" t="s">
        <v>3</v>
      </c>
    </row>
    <row r="7" spans="1:22" s="4" customFormat="1" x14ac:dyDescent="0.2">
      <c r="B7" s="461" t="str" cm="1">
        <f t="array" aca="1" ref="B7" ca="1">INDIRECT("'Input_Q"&amp;B3&amp;"-Predict'!C8")</f>
        <v>Overtime</v>
      </c>
    </row>
    <row r="8" spans="1:22" s="4" customFormat="1" x14ac:dyDescent="0.2"/>
    <row r="9" spans="1:22" s="4" customFormat="1" x14ac:dyDescent="0.2">
      <c r="B9" s="99" t="s">
        <v>4</v>
      </c>
    </row>
    <row r="10" spans="1:22" x14ac:dyDescent="0.2">
      <c r="B10" s="69" t="s">
        <v>5</v>
      </c>
      <c r="C10" s="4"/>
      <c r="D10" s="4"/>
      <c r="E10" s="4"/>
      <c r="F10" s="4"/>
      <c r="G10" s="4"/>
      <c r="H10" s="4"/>
      <c r="I10" s="4"/>
      <c r="J10" s="4"/>
      <c r="K10" s="4"/>
      <c r="L10" s="4"/>
      <c r="M10" s="4"/>
      <c r="N10" s="4"/>
      <c r="O10" s="4"/>
      <c r="P10" s="4"/>
      <c r="Q10" s="4"/>
      <c r="R10" s="4"/>
      <c r="S10" s="4"/>
      <c r="T10" s="4"/>
      <c r="U10" s="4"/>
      <c r="V10" s="4"/>
    </row>
    <row r="11" spans="1:22" x14ac:dyDescent="0.2">
      <c r="B11" s="268" t="s">
        <v>6</v>
      </c>
      <c r="C11" s="4"/>
      <c r="D11" s="4"/>
      <c r="E11" s="4"/>
      <c r="F11" s="4"/>
      <c r="G11" s="4"/>
      <c r="H11" s="4"/>
      <c r="I11" s="4"/>
      <c r="J11" s="4"/>
      <c r="K11" s="4"/>
      <c r="L11" s="4"/>
      <c r="M11" s="4"/>
      <c r="N11" s="4"/>
      <c r="O11" s="4"/>
      <c r="P11" s="4"/>
      <c r="Q11" s="4"/>
      <c r="R11" s="4"/>
      <c r="S11" s="4"/>
      <c r="T11" s="4"/>
      <c r="U11" s="4"/>
      <c r="V11" s="4"/>
    </row>
    <row r="12" spans="1:22" x14ac:dyDescent="0.2">
      <c r="B12" s="4"/>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 ca="1">F19*F20</f>
        <v>135000</v>
      </c>
      <c r="E18" s="576" t="s">
        <v>12</v>
      </c>
      <c r="F18" s="577"/>
      <c r="G18" s="578"/>
      <c r="I18" s="71" t="s">
        <v>13</v>
      </c>
      <c r="J18" s="72"/>
      <c r="K18" s="72" t="s">
        <v>14</v>
      </c>
      <c r="L18" s="72" t="s">
        <v>15</v>
      </c>
      <c r="M18" s="72" t="s">
        <v>16</v>
      </c>
      <c r="N18" s="73" t="s">
        <v>17</v>
      </c>
    </row>
    <row r="19" spans="2:22" s="4" customFormat="1" x14ac:dyDescent="0.2">
      <c r="B19" s="12" t="s">
        <v>18</v>
      </c>
      <c r="C19" s="217">
        <f ca="1">N23</f>
        <v>892148.4</v>
      </c>
      <c r="E19" s="284" t="s">
        <v>19</v>
      </c>
      <c r="F19" s="285">
        <v>15000</v>
      </c>
      <c r="G19" s="11" t="s">
        <v>20</v>
      </c>
      <c r="I19" s="12"/>
      <c r="J19" s="4" t="s">
        <v>21</v>
      </c>
      <c r="K19" s="4" t="s">
        <v>22</v>
      </c>
      <c r="L19" s="4">
        <f>VLOOKUP($K$19,$E$24:F59,2,FALSE)</f>
        <v>36</v>
      </c>
      <c r="M19" s="4">
        <f>L19*$F$25</f>
        <v>36</v>
      </c>
      <c r="N19" s="13">
        <f ca="1">M19*$F$24</f>
        <v>56160</v>
      </c>
    </row>
    <row r="20" spans="2:22" s="4" customFormat="1" x14ac:dyDescent="0.2">
      <c r="B20" s="12" t="s">
        <v>23</v>
      </c>
      <c r="C20" s="281">
        <f>C34*0.02*M24</f>
        <v>20685.354000000003</v>
      </c>
      <c r="E20" s="68"/>
      <c r="F20" s="76" cm="1">
        <f t="array" aca="1" ref="F20" ca="1">INDIRECT("'Input_Q"&amp;B3&amp;"-Predict'!C38")</f>
        <v>9</v>
      </c>
      <c r="G20" s="16"/>
      <c r="I20" s="12" t="s">
        <v>24</v>
      </c>
      <c r="J20" s="19" t="s">
        <v>25</v>
      </c>
      <c r="K20" s="4" t="s">
        <v>26</v>
      </c>
      <c r="L20" s="4">
        <f>VLOOKUP($K$20,$E$25:F60,2,FALSE)</f>
        <v>44.52</v>
      </c>
      <c r="M20" s="4">
        <f>L20*$F$28</f>
        <v>89.04</v>
      </c>
      <c r="N20" s="13">
        <f ca="1">M20*$F$24</f>
        <v>138902.40000000002</v>
      </c>
    </row>
    <row r="21" spans="2:22" s="4" customFormat="1" x14ac:dyDescent="0.2">
      <c r="B21" s="14" t="s">
        <v>27</v>
      </c>
      <c r="C21" s="453">
        <v>280000</v>
      </c>
      <c r="E21" s="12" t="s">
        <v>28</v>
      </c>
      <c r="G21" s="103"/>
      <c r="I21" s="12"/>
      <c r="J21" s="20" t="s">
        <v>29</v>
      </c>
      <c r="K21" s="4" t="s">
        <v>30</v>
      </c>
      <c r="L21" s="4">
        <f>VLOOKUP($K$21,$E$26:F63,2,FALSE)</f>
        <v>187.20000000000002</v>
      </c>
      <c r="M21" s="4">
        <f>L21*$F$38</f>
        <v>374.40000000000003</v>
      </c>
      <c r="N21" s="13">
        <f ca="1">M21*$F$24</f>
        <v>584064</v>
      </c>
      <c r="V21" s="19"/>
    </row>
    <row r="22" spans="2:22" s="4" customFormat="1" x14ac:dyDescent="0.2">
      <c r="B22" s="14"/>
      <c r="C22" s="278">
        <f ca="1">SUM(C17:C21)</f>
        <v>1327833.7540000002</v>
      </c>
      <c r="E22" s="12" t="s">
        <v>31</v>
      </c>
      <c r="F22" s="214">
        <v>1300000</v>
      </c>
      <c r="G22" s="103"/>
      <c r="I22" s="12"/>
      <c r="J22" s="70" t="s">
        <v>32</v>
      </c>
      <c r="K22" s="4" t="s">
        <v>33</v>
      </c>
      <c r="L22" s="4">
        <f>VLOOKUP($K$22,$E$21:F60,2,FALSE)</f>
        <v>24.150000000000002</v>
      </c>
      <c r="M22" s="4">
        <f>L22*$F$51</f>
        <v>72.45</v>
      </c>
      <c r="N22" s="13">
        <f ca="1">M22*$F$24</f>
        <v>113022</v>
      </c>
      <c r="V22" s="20"/>
    </row>
    <row r="23" spans="2:22" s="4" customFormat="1" x14ac:dyDescent="0.2">
      <c r="E23" s="12" t="s">
        <v>34</v>
      </c>
      <c r="F23" s="214">
        <v>1500000</v>
      </c>
      <c r="G23" s="103"/>
      <c r="I23" s="71" t="s">
        <v>35</v>
      </c>
      <c r="J23" s="72"/>
      <c r="K23" s="72"/>
      <c r="L23" s="72"/>
      <c r="M23" s="72">
        <f>SUM(M19:M22)</f>
        <v>571.8900000000001</v>
      </c>
      <c r="N23" s="73">
        <f ca="1">SUM(N19:N22)</f>
        <v>892148.4</v>
      </c>
      <c r="V23" s="70"/>
    </row>
    <row r="24" spans="2:22" s="4" customFormat="1" x14ac:dyDescent="0.2">
      <c r="E24" s="14" t="s">
        <v>18</v>
      </c>
      <c r="F24" s="95" cm="1">
        <f t="array" aca="1" ref="F24" ca="1">INDIRECT("'Input_Q"&amp;B3&amp;"-Predict'!C36")</f>
        <v>1560</v>
      </c>
      <c r="G24" s="103" t="s">
        <v>36</v>
      </c>
      <c r="I24" s="14" t="s">
        <v>37</v>
      </c>
      <c r="J24" s="15"/>
      <c r="K24" s="15"/>
      <c r="L24" s="15"/>
      <c r="M24" s="15">
        <f>M23-M19</f>
        <v>535.8900000000001</v>
      </c>
      <c r="N24" s="16">
        <f ca="1">M24*F24</f>
        <v>835988.40000000014</v>
      </c>
    </row>
    <row r="25" spans="2:22" s="4" customFormat="1" x14ac:dyDescent="0.2">
      <c r="B25" s="71" t="s">
        <v>38</v>
      </c>
      <c r="C25" s="454" cm="1">
        <f t="array" aca="1" ref="C25" ca="1">IF(B5="Validation",'Q9-Validation'!C30/'Q9-Validation'!C29,INDIRECT("'Input_Q"&amp;B3&amp;"-Predict'!C34"))</f>
        <v>0.96025641025641029</v>
      </c>
      <c r="E25" s="9" t="s">
        <v>21</v>
      </c>
      <c r="F25" s="10">
        <v>1</v>
      </c>
      <c r="G25" s="103" t="s">
        <v>39</v>
      </c>
    </row>
    <row r="26" spans="2:22" s="4" customFormat="1" x14ac:dyDescent="0.2">
      <c r="E26" s="12" t="s">
        <v>40</v>
      </c>
      <c r="F26" s="214">
        <v>20</v>
      </c>
      <c r="G26" s="103"/>
    </row>
    <row r="27" spans="2:22" s="4" customFormat="1" x14ac:dyDescent="0.2">
      <c r="B27" s="9" t="s">
        <v>41</v>
      </c>
      <c r="C27" s="289">
        <f>INDEX(Data_Stock!B2:N11,MATCH("Left Inventory",Data_Stock!B2:B11,0),MATCH(VALUE(B3-1),Data_Stock!B2:N2,0))</f>
        <v>541</v>
      </c>
      <c r="E27" s="14" t="s">
        <v>22</v>
      </c>
      <c r="F27" s="283">
        <v>36</v>
      </c>
      <c r="G27" s="98"/>
    </row>
    <row r="28" spans="2:22" s="4" customFormat="1" x14ac:dyDescent="0.2">
      <c r="B28" s="12" t="s">
        <v>42</v>
      </c>
      <c r="C28" s="290">
        <f>INDEX(Data_Stock!B2:N11,MATCH("Left",Data_Stock!B2:B11,0),MATCH(VALUE(B3-1),Data_Stock!B2:N2,0))</f>
        <v>1868</v>
      </c>
      <c r="E28" s="9" t="s">
        <v>25</v>
      </c>
      <c r="F28" s="11">
        <v>2</v>
      </c>
      <c r="G28" s="103" t="s">
        <v>39</v>
      </c>
      <c r="P28" s="214"/>
      <c r="V28" s="19"/>
    </row>
    <row r="29" spans="2:22" s="4" customFormat="1" x14ac:dyDescent="0.2">
      <c r="B29" s="12" t="s">
        <v>43</v>
      </c>
      <c r="C29" s="291" cm="1">
        <f t="array" aca="1" ref="C29" ca="1">INDIRECT("'Input_Q"&amp;B3&amp;"-Predict'!C33")</f>
        <v>1560</v>
      </c>
      <c r="E29" s="12" t="s">
        <v>44</v>
      </c>
      <c r="F29" s="13">
        <f>(1+F31)*F30</f>
        <v>43.2</v>
      </c>
      <c r="G29" s="103"/>
      <c r="V29" s="20"/>
    </row>
    <row r="30" spans="2:22" s="4" customFormat="1" x14ac:dyDescent="0.2">
      <c r="B30" s="12" t="str">
        <f>IF(B5="Validation","Actual Production","Predict Production")</f>
        <v>Actual Production</v>
      </c>
      <c r="C30" s="292">
        <f>INDEX(Data_Stock!B2:N11,MATCH("Produced",Data_Stock!B2:B11,0),MATCH(VALUE(B3),Data_Stock!B2:N2,0))</f>
        <v>1498</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 ca="1">F24</f>
        <v>1560</v>
      </c>
      <c r="E33" s="67" t="s">
        <v>45</v>
      </c>
      <c r="F33" s="13">
        <v>42</v>
      </c>
      <c r="G33" s="103"/>
    </row>
    <row r="34" spans="2:14" s="4" customFormat="1" x14ac:dyDescent="0.2">
      <c r="B34" s="12" t="s">
        <v>49</v>
      </c>
      <c r="C34" s="222">
        <f>IF(B5="Validation",INDEX(Data_Stock!B2:N11,MATCH("Left",Data_Stock!B2:B11,0),MATCH('Q9-Validation'!B3,Data_Stock!B2:N2,0)),C28+F24-C30)</f>
        <v>1930</v>
      </c>
      <c r="E34" s="67" t="s">
        <v>46</v>
      </c>
      <c r="F34" s="13">
        <v>0.06</v>
      </c>
      <c r="G34" s="103"/>
    </row>
    <row r="35" spans="2:14" s="4" customFormat="1" x14ac:dyDescent="0.2">
      <c r="B35" s="14" t="s">
        <v>50</v>
      </c>
      <c r="C35" s="288">
        <f>C34*M24</f>
        <v>1034267.7000000002</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 ca="1">SUMPRODUCT(F73:I73,F71:I71)</f>
        <v>4158295</v>
      </c>
    </row>
    <row r="69" spans="2:11" s="4" customFormat="1" x14ac:dyDescent="0.2">
      <c r="B69" s="12" t="s">
        <v>61</v>
      </c>
      <c r="C69" s="221">
        <f ca="1">J75</f>
        <v>427041.03</v>
      </c>
      <c r="E69" s="9" t="str">
        <f>IF(B5="Validation","Actual S.C.R","Predict S.C.R")</f>
        <v>Actual S.C.R</v>
      </c>
      <c r="F69" s="311" cm="1">
        <f t="array" aca="1" ref="F69" ca="1">IF($B$5="Validation",F73/F72,INDIRECT("'Input_Q"&amp;$B$3&amp;"-Predict'!D29"))</f>
        <v>0.71885521885521886</v>
      </c>
      <c r="G69" s="311" cm="1">
        <f t="array" aca="1" ref="G69" ca="1">IF($B$5="Validation",G73/G72,INDIRECT("'Input_Q"&amp;$B$3&amp;"-Predict'!D30"))</f>
        <v>0.80654761904761907</v>
      </c>
      <c r="H69" s="311" cm="1">
        <f t="array" aca="1" ref="H69" ca="1">IF($B$5="Validation",H73/H72,INDIRECT("'Input_Q"&amp;$B$3&amp;"-Predict'!D31"))</f>
        <v>0.81355932203389836</v>
      </c>
      <c r="I69" s="311" cm="1">
        <f t="array" aca="1" ref="I69" ca="1">IF($B$5="Validation",I73/I72,INDIRECT("'Input_Q"&amp;$B$3&amp;"-Predict'!D32"))</f>
        <v>0.76666666666666672</v>
      </c>
      <c r="J69" s="11"/>
    </row>
    <row r="70" spans="2:11" s="4" customFormat="1" x14ac:dyDescent="0.2">
      <c r="B70" s="12" t="s">
        <v>62</v>
      </c>
      <c r="C70" s="318">
        <f ca="1">C68*C74</f>
        <v>249497.69999999998</v>
      </c>
      <c r="E70" s="297" t="s">
        <v>63</v>
      </c>
      <c r="F70" s="298">
        <v>1</v>
      </c>
      <c r="G70" s="298">
        <v>2</v>
      </c>
      <c r="H70" s="298">
        <v>3</v>
      </c>
      <c r="I70" s="299">
        <v>4</v>
      </c>
      <c r="J70" s="299" t="s">
        <v>64</v>
      </c>
    </row>
    <row r="71" spans="2:11" s="4" customFormat="1" x14ac:dyDescent="0.2">
      <c r="B71" s="14"/>
      <c r="C71" s="319">
        <f ca="1">SUM(C68:C70)</f>
        <v>4834833.7300000004</v>
      </c>
      <c r="E71" s="300" t="s">
        <v>65</v>
      </c>
      <c r="F71" s="358" cm="1">
        <f t="array" aca="1" ref="F71" ca="1">INDIRECT("'Input_Q"&amp;$B$3&amp;"-Predict'!C10")</f>
        <v>2799</v>
      </c>
      <c r="G71" s="358" cm="1">
        <f t="array" aca="1" ref="G71" ca="1">INDIRECT("'Input_Q"&amp;$B$3&amp;"-Predict'!C11")</f>
        <v>2599</v>
      </c>
      <c r="H71" s="358" cm="1">
        <f t="array" aca="1" ref="H71" ca="1">INDIRECT("'Input_Q"&amp;$B$3&amp;"-Predict'!C12")</f>
        <v>2799</v>
      </c>
      <c r="I71" s="358" cm="1">
        <f t="array" aca="1" ref="I71" ca="1">INDIRECT("'Input_Q"&amp;$B$3&amp;"-Predict'!C13")</f>
        <v>2799</v>
      </c>
      <c r="J71" s="301" t="s">
        <v>66</v>
      </c>
      <c r="K71" s="363"/>
    </row>
    <row r="72" spans="2:11" s="4" customFormat="1" x14ac:dyDescent="0.2">
      <c r="E72" s="300" t="s">
        <v>67</v>
      </c>
      <c r="F72" s="272" cm="1">
        <f t="array" aca="1" ref="F72" ca="1">INDIRECT("'Input_Q"&amp;$B$3&amp;"-Predict'!C24")</f>
        <v>594</v>
      </c>
      <c r="G72" s="272" cm="1">
        <f t="array" aca="1" ref="G72" ca="1">INDIRECT("'Input_Q"&amp;$B$3&amp;"-Predict'!C25")</f>
        <v>336</v>
      </c>
      <c r="H72" s="272" cm="1">
        <f t="array" aca="1" ref="H72" ca="1">INDIRECT("'Input_Q"&amp;$B$3&amp;"-Predict'!C26")</f>
        <v>59</v>
      </c>
      <c r="I72" s="272" cm="1">
        <f t="array" aca="1" ref="I72" ca="1">INDIRECT("'Input_Q"&amp;$B$3&amp;"-Predict'!C27")</f>
        <v>990</v>
      </c>
      <c r="J72" s="303">
        <f>Archived_Testing_Q5!B19</f>
        <v>1600</v>
      </c>
    </row>
    <row r="73" spans="2:11" s="4" customFormat="1" x14ac:dyDescent="0.2">
      <c r="D73" s="199"/>
      <c r="E73" s="300" t="str">
        <f>IF(B5="Validation","Actual Sale","Predict Sale")</f>
        <v>Actual Sale</v>
      </c>
      <c r="F73" s="353">
        <f>IF($E$73="Actual Sale",INDEX(Data_Sales!$B$3:$N$8,MATCH(F70,Data_Sales!$B$3:$B$8,0),MATCH($B$3,Data_Sales!$B$3:$N$3,0)),ROUNDDOWN(F69*F72,0))</f>
        <v>427</v>
      </c>
      <c r="G73" s="353">
        <f>IF($E$73="Actual Sale",INDEX(Data_Sales!$B$3:$N$8,MATCH(G70,Data_Sales!$B$3:$B$8,0),MATCH($B$3,Data_Sales!$B$3:$N$3,0)),ROUNDDOWN(G69*G72,0))</f>
        <v>271</v>
      </c>
      <c r="H73" s="353">
        <f>IF($E$73="Actual Sale",INDEX(Data_Sales!$B$3:$N$8,MATCH(H70,Data_Sales!$B$3:$B$8,0),MATCH($B$3,Data_Sales!$B$3:$N$3,0)),ROUNDDOWN(H69*H72,0))</f>
        <v>48</v>
      </c>
      <c r="I73" s="353">
        <f>IF($E$73="Actual Sale",INDEX(Data_Sales!$B$3:$N$8,MATCH(I70,Data_Sales!$B$3:$B$8,0),MATCH($B$3,Data_Sales!$B$3:$N$3,0)),ROUNDDOWN(I69*I72,0))</f>
        <v>759</v>
      </c>
      <c r="J73" s="383">
        <f>SUM(F73:I73)</f>
        <v>1505</v>
      </c>
    </row>
    <row r="74" spans="2:11" s="4" customFormat="1" x14ac:dyDescent="0.2">
      <c r="B74" s="9" t="s">
        <v>68</v>
      </c>
      <c r="C74" s="406" cm="1">
        <f t="array" aca="1" ref="C74" ca="1">INDIRECT("'Input_Q"&amp;B3&amp;"-Predict'!C39")</f>
        <v>0.06</v>
      </c>
      <c r="D74" s="199"/>
      <c r="E74" s="300" t="s">
        <v>69</v>
      </c>
      <c r="F74" s="256" cm="1">
        <f t="array" aca="1" ref="F74" ca="1">INDIRECT("'Input_Q"&amp;$B$3&amp;"-Predict'!C41")</f>
        <v>7</v>
      </c>
      <c r="G74" s="256" cm="1">
        <f t="array" aca="1" ref="G74" ca="1">INDIRECT("'Input_Q"&amp;$B$3&amp;"-Predict'!C42")</f>
        <v>10</v>
      </c>
      <c r="H74" s="256" cm="1">
        <f t="array" aca="1" ref="H74" ca="1">INDIRECT("'Input_Q"&amp;$B$3&amp;"-Predict'!C43")</f>
        <v>1</v>
      </c>
      <c r="I74" s="256" cm="1">
        <f t="array" aca="1" ref="I74" ca="1">INDIRECT("'Input_Q"&amp;$B$3&amp;"-Predict'!C44")</f>
        <v>8</v>
      </c>
      <c r="J74" s="301"/>
    </row>
    <row r="75" spans="2:11" s="4" customFormat="1" x14ac:dyDescent="0.2">
      <c r="B75" s="12" t="s">
        <v>70</v>
      </c>
      <c r="C75" s="221">
        <f>J72</f>
        <v>1600</v>
      </c>
      <c r="D75" s="357"/>
      <c r="E75" s="300" t="s">
        <v>71</v>
      </c>
      <c r="F75" s="312">
        <f ca="1">F72*F71*F74/100</f>
        <v>116382.42</v>
      </c>
      <c r="G75" s="312">
        <f ca="1">G72*G71*G74/100</f>
        <v>87326.399999999994</v>
      </c>
      <c r="H75" s="312">
        <f ca="1">H72*H71*H74/100</f>
        <v>1651.41</v>
      </c>
      <c r="I75" s="304">
        <f ca="1">I72*I71*I74/100</f>
        <v>221680.8</v>
      </c>
      <c r="J75" s="304">
        <f ca="1">SUM(F75:I75)</f>
        <v>427041.03</v>
      </c>
    </row>
    <row r="76" spans="2:11" s="4" customFormat="1" x14ac:dyDescent="0.2">
      <c r="B76" s="12" t="s">
        <v>72</v>
      </c>
      <c r="C76" s="221">
        <f>J73</f>
        <v>1505</v>
      </c>
      <c r="D76" s="199"/>
      <c r="E76" s="300" t="s">
        <v>73</v>
      </c>
      <c r="F76" s="256" cm="1">
        <f t="array" aca="1" ref="F76" ca="1">INDIRECT("'Input_Q"&amp;$B$3&amp;"-Predict'!C46")</f>
        <v>0</v>
      </c>
      <c r="G76" s="256" cm="1">
        <f t="array" aca="1" ref="G76" ca="1">INDIRECT("'Input_Q"&amp;$B$3&amp;"-Predict'!C47")</f>
        <v>0</v>
      </c>
      <c r="H76" s="256" cm="1">
        <f t="array" aca="1" ref="H76" ca="1">INDIRECT("'Input_Q"&amp;$B$3&amp;"-Predict'!C48")</f>
        <v>0</v>
      </c>
      <c r="I76" s="256" cm="1">
        <f t="array" aca="1" ref="I76" ca="1">INDIRECT("'Input_Q"&amp;$B$3&amp;"-Predict'!C49")</f>
        <v>0</v>
      </c>
      <c r="J76" s="301" t="s">
        <v>66</v>
      </c>
    </row>
    <row r="77" spans="2:11" s="4" customFormat="1" x14ac:dyDescent="0.2">
      <c r="B77" s="14" t="s">
        <v>74</v>
      </c>
      <c r="C77" s="319">
        <f>C75-C76</f>
        <v>95</v>
      </c>
      <c r="D77" s="199"/>
      <c r="E77" s="305" t="s">
        <v>75</v>
      </c>
      <c r="F77" s="306">
        <f ca="1">INDEX(Data_EmployeeNumber!$A$4:$E$16,MATCH('Q9-Validation'!$B$3-1,Data_EmployeeNumber!$A$4:$A$16,0),MATCH('Q9-Validation'!F70,Data_EmployeeNumber!$A$4:$E$4,0))+'Q9-Validation'!F76</f>
        <v>3</v>
      </c>
      <c r="G77" s="306">
        <f ca="1">INDEX(Data_EmployeeNumber!$A$4:$E$16,MATCH('Q9-Validation'!$B$3-1,Data_EmployeeNumber!$A$4:$A$16,0),MATCH('Q9-Validation'!G70,Data_EmployeeNumber!$A$4:$E$4,0))+'Q9-Validation'!G76</f>
        <v>3</v>
      </c>
      <c r="H77" s="306">
        <f ca="1">INDEX(Data_EmployeeNumber!$A$4:$E$16,MATCH('Q9-Validation'!$B$3-1,Data_EmployeeNumber!$A$4:$A$16,0),MATCH('Q9-Validation'!H70,Data_EmployeeNumber!$A$4:$E$4,0))+'Q9-Validation'!H76</f>
        <v>1</v>
      </c>
      <c r="I77" s="306">
        <f ca="1">INDEX(Data_EmployeeNumber!$A$4:$E$16,MATCH('Q9-Validation'!$B$3-1,Data_EmployeeNumber!$A$4:$A$16,0),MATCH('Q9-Validation'!I70,Data_EmployeeNumber!$A$4:$E$4,0))+'Q9-Validation'!I76</f>
        <v>4</v>
      </c>
      <c r="J77" s="307">
        <f ca="1">SUM(F77:I77)</f>
        <v>11</v>
      </c>
    </row>
    <row r="78" spans="2:11" s="4" customFormat="1" x14ac:dyDescent="0.2">
      <c r="E78" s="300" t="s">
        <v>76</v>
      </c>
      <c r="F78" s="296"/>
      <c r="G78" s="296"/>
      <c r="H78" s="296"/>
      <c r="I78" s="301"/>
      <c r="J78" s="455" t="s">
        <v>77</v>
      </c>
    </row>
    <row r="79" spans="2:11" s="4" customFormat="1" x14ac:dyDescent="0.2">
      <c r="E79" s="305" t="s">
        <v>78</v>
      </c>
      <c r="F79" s="308"/>
      <c r="G79" s="308"/>
      <c r="H79" s="308"/>
      <c r="I79" s="317"/>
      <c r="J79" s="456" t="s">
        <v>77</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 ca="1">I98</f>
        <v>304200</v>
      </c>
      <c r="D92" s="214"/>
      <c r="E92" s="71" t="s">
        <v>82</v>
      </c>
      <c r="F92" s="329" cm="1">
        <f t="array" aca="1" ref="F92" ca="1">INDIRECT("'Input_Q"&amp;$B$3&amp;"-Predict'!C50")</f>
        <v>5200</v>
      </c>
      <c r="H92" s="71" t="s">
        <v>82</v>
      </c>
      <c r="I92" s="72" t="s">
        <v>83</v>
      </c>
      <c r="J92" s="72" t="s">
        <v>84</v>
      </c>
      <c r="K92" s="72" t="s">
        <v>85</v>
      </c>
      <c r="L92" s="73" t="s">
        <v>86</v>
      </c>
    </row>
    <row r="93" spans="1:12" s="4" customFormat="1" x14ac:dyDescent="0.2">
      <c r="B93" s="12" t="s">
        <v>87</v>
      </c>
      <c r="C93" s="217">
        <f ca="1">K103</f>
        <v>70000</v>
      </c>
      <c r="D93" s="214"/>
      <c r="H93" s="12" t="s">
        <v>88</v>
      </c>
      <c r="I93" s="214">
        <f ca="1">$F$92*K93</f>
        <v>26000</v>
      </c>
      <c r="J93" s="4">
        <v>1</v>
      </c>
      <c r="K93" s="4">
        <v>5</v>
      </c>
      <c r="L93" s="13">
        <f>J93*K93</f>
        <v>5</v>
      </c>
    </row>
    <row r="94" spans="1:12" s="4" customFormat="1" x14ac:dyDescent="0.2">
      <c r="B94" s="12" t="s">
        <v>89</v>
      </c>
      <c r="C94" s="217">
        <f ca="1">K104</f>
        <v>18000</v>
      </c>
      <c r="D94" s="321"/>
      <c r="E94" s="71" t="s">
        <v>90</v>
      </c>
      <c r="F94" s="73"/>
      <c r="H94" s="12" t="s">
        <v>91</v>
      </c>
      <c r="I94" s="214">
        <f ca="1">$F$92*K94</f>
        <v>5200</v>
      </c>
      <c r="J94" s="4">
        <v>35</v>
      </c>
      <c r="K94" s="4">
        <v>1</v>
      </c>
      <c r="L94" s="13">
        <f>J94*K94</f>
        <v>35</v>
      </c>
    </row>
    <row r="95" spans="1:12" s="4" customFormat="1" x14ac:dyDescent="0.2">
      <c r="B95" s="12" t="s">
        <v>92</v>
      </c>
      <c r="C95" s="217">
        <f ca="1">K105</f>
        <v>47000</v>
      </c>
      <c r="E95" s="12" t="s">
        <v>93</v>
      </c>
      <c r="F95" s="327">
        <v>10000</v>
      </c>
      <c r="H95" s="12" t="s">
        <v>94</v>
      </c>
      <c r="I95" s="214">
        <f ca="1">$F$92*K95</f>
        <v>13000</v>
      </c>
      <c r="J95" s="4">
        <v>3</v>
      </c>
      <c r="K95" s="4">
        <v>2.5</v>
      </c>
      <c r="L95" s="13">
        <f>J95*K95</f>
        <v>7.5</v>
      </c>
    </row>
    <row r="96" spans="1:12" s="4" customFormat="1" x14ac:dyDescent="0.2">
      <c r="B96" s="71"/>
      <c r="C96" s="324">
        <f ca="1">SUM(C92:C95)</f>
        <v>439200</v>
      </c>
      <c r="E96" s="12" t="s">
        <v>95</v>
      </c>
      <c r="F96" s="194" cm="1">
        <f t="array" aca="1" ref="F96" ca="1">INDIRECT("'Input_Q"&amp;$B$3&amp;"-Predict'!C51")</f>
        <v>7</v>
      </c>
      <c r="H96" s="12" t="s">
        <v>96</v>
      </c>
      <c r="I96" s="214">
        <f ca="1">$F$92*K96</f>
        <v>5200</v>
      </c>
      <c r="J96" s="4">
        <f ca="1">J77</f>
        <v>11</v>
      </c>
      <c r="K96" s="4">
        <v>1</v>
      </c>
      <c r="L96" s="13">
        <f ca="1">J96*K96</f>
        <v>11</v>
      </c>
    </row>
    <row r="97" spans="1:12" s="4" customFormat="1" x14ac:dyDescent="0.2">
      <c r="E97" s="12" t="s">
        <v>97</v>
      </c>
      <c r="F97" s="217">
        <v>2000</v>
      </c>
      <c r="H97" s="12" t="s">
        <v>64</v>
      </c>
      <c r="I97" s="4" t="s">
        <v>66</v>
      </c>
      <c r="J97" s="4">
        <f ca="1">SUM(J93:J96)</f>
        <v>50</v>
      </c>
      <c r="K97" s="4" t="s">
        <v>66</v>
      </c>
      <c r="L97" s="13">
        <f ca="1">SUM(L93:L96)</f>
        <v>58.5</v>
      </c>
    </row>
    <row r="98" spans="1:12" s="4" customFormat="1" x14ac:dyDescent="0.2">
      <c r="B98" s="71" t="s">
        <v>98</v>
      </c>
      <c r="C98" s="73"/>
      <c r="E98" s="14" t="s">
        <v>95</v>
      </c>
      <c r="F98" s="76" cm="1">
        <f t="array" aca="1" ref="F98" ca="1">INDIRECT("'Input_Q"&amp;$B$3&amp;"-Predict'!C52")</f>
        <v>9</v>
      </c>
      <c r="H98" s="14" t="s">
        <v>99</v>
      </c>
      <c r="I98" s="322">
        <f ca="1">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 ca="1">F92</f>
        <v>5200</v>
      </c>
      <c r="J102" s="4">
        <f ca="1">L97</f>
        <v>58.5</v>
      </c>
      <c r="K102" s="217">
        <f ca="1">I102*J102</f>
        <v>304200</v>
      </c>
    </row>
    <row r="103" spans="1:12" s="4" customFormat="1" x14ac:dyDescent="0.2">
      <c r="E103" s="12" t="s">
        <v>106</v>
      </c>
      <c r="F103" s="217">
        <v>175</v>
      </c>
      <c r="H103" s="12" t="s">
        <v>93</v>
      </c>
      <c r="I103" s="214">
        <f>F95</f>
        <v>10000</v>
      </c>
      <c r="J103" s="4">
        <f ca="1">F96</f>
        <v>7</v>
      </c>
      <c r="K103" s="217">
        <f ca="1">F95*J103</f>
        <v>70000</v>
      </c>
    </row>
    <row r="104" spans="1:12" s="4" customFormat="1" ht="17" customHeight="1" x14ac:dyDescent="0.2">
      <c r="E104" s="12" t="s">
        <v>107</v>
      </c>
      <c r="F104" s="217">
        <v>400</v>
      </c>
      <c r="H104" s="12" t="s">
        <v>97</v>
      </c>
      <c r="I104" s="214">
        <f>F97</f>
        <v>2000</v>
      </c>
      <c r="J104" s="4">
        <f ca="1">F98</f>
        <v>9</v>
      </c>
      <c r="K104" s="217">
        <f ca="1">F97*J104</f>
        <v>18000</v>
      </c>
    </row>
    <row r="105" spans="1:12" s="4" customFormat="1" x14ac:dyDescent="0.2">
      <c r="E105" s="12" t="s">
        <v>108</v>
      </c>
      <c r="F105" s="217">
        <v>280</v>
      </c>
      <c r="H105" s="12" t="s">
        <v>109</v>
      </c>
      <c r="I105" s="214">
        <f>F102+F106+F107+F108</f>
        <v>940</v>
      </c>
      <c r="J105" s="4">
        <f ca="1">J97</f>
        <v>50</v>
      </c>
      <c r="K105" s="217">
        <f ca="1">I105*J105</f>
        <v>47000</v>
      </c>
    </row>
    <row r="106" spans="1:12" s="4" customFormat="1" x14ac:dyDescent="0.2">
      <c r="E106" s="325" t="s">
        <v>110</v>
      </c>
      <c r="F106" s="217">
        <v>350</v>
      </c>
      <c r="H106" s="14"/>
      <c r="I106" s="15"/>
      <c r="J106" s="15"/>
      <c r="K106" s="278">
        <f ca="1">SUM(K102:K105)</f>
        <v>439200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457" t="s">
        <v>114</v>
      </c>
      <c r="C113" s="458">
        <v>0</v>
      </c>
    </row>
    <row r="114" spans="1:22" s="4" customFormat="1" x14ac:dyDescent="0.2">
      <c r="B114" s="275" t="s">
        <v>115</v>
      </c>
      <c r="C114" s="459">
        <v>0</v>
      </c>
    </row>
    <row r="115" spans="1:22" s="4" customFormat="1" x14ac:dyDescent="0.2">
      <c r="B115" s="275" t="s">
        <v>116</v>
      </c>
      <c r="C115" s="459">
        <f>C113*C114</f>
        <v>0</v>
      </c>
    </row>
    <row r="116" spans="1:22" s="4" customFormat="1" x14ac:dyDescent="0.2">
      <c r="B116" s="14" t="s">
        <v>117</v>
      </c>
      <c r="C116" s="76" cm="1">
        <f t="array" aca="1" ref="C116" ca="1">INDIRECT("'Input_Q"&amp;$B$3&amp;"-Predict'!C53")</f>
        <v>80000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118</v>
      </c>
    </row>
    <row r="121" spans="1:22" s="4" customFormat="1" x14ac:dyDescent="0.2"/>
    <row r="122" spans="1:22" s="4" customFormat="1" x14ac:dyDescent="0.2">
      <c r="B122" s="4" t="s">
        <v>119</v>
      </c>
    </row>
    <row r="123" spans="1:22" s="4" customFormat="1" x14ac:dyDescent="0.2">
      <c r="B123" s="9" t="s">
        <v>60</v>
      </c>
      <c r="C123" s="334">
        <f ca="1">IFERROR(VLOOKUP(B123,$B$14:$C$121,2,FALSE),0)</f>
        <v>4158295</v>
      </c>
      <c r="D123" s="286"/>
      <c r="E123" s="286"/>
    </row>
    <row r="124" spans="1:22" s="4" customFormat="1" x14ac:dyDescent="0.2">
      <c r="B124" s="275" t="s">
        <v>120</v>
      </c>
      <c r="C124" s="366">
        <f>IF(D124="Match",(C74+0.125)*C123+J73*M23,E124)</f>
        <v>1575799.01</v>
      </c>
      <c r="D124" s="302" t="s">
        <v>297</v>
      </c>
      <c r="E124" s="268">
        <v>1575799.01</v>
      </c>
      <c r="F124" s="9"/>
      <c r="G124" s="9" t="s">
        <v>122</v>
      </c>
      <c r="H124" s="331"/>
      <c r="I124" s="10">
        <f>H124/$H$128</f>
        <v>0</v>
      </c>
      <c r="J124" s="11"/>
    </row>
    <row r="125" spans="1:22" s="4" customFormat="1" x14ac:dyDescent="0.2">
      <c r="B125" s="12" t="s">
        <v>123</v>
      </c>
      <c r="C125" s="336">
        <f ca="1">C123-C124</f>
        <v>2582495.9900000002</v>
      </c>
      <c r="E125" s="302"/>
      <c r="F125" s="12"/>
      <c r="G125" s="12" t="s">
        <v>124</v>
      </c>
      <c r="H125" s="279">
        <f ca="1">SUMIF(D127:D139,"FC",C127:C139)</f>
        <v>1919126.3840000001</v>
      </c>
      <c r="I125" s="4">
        <f ca="1">H125/$H$128</f>
        <v>1275.1670325581397</v>
      </c>
      <c r="J125" s="13"/>
    </row>
    <row r="126" spans="1:22" s="4" customFormat="1" x14ac:dyDescent="0.2">
      <c r="B126" s="12" t="s">
        <v>125</v>
      </c>
      <c r="C126" s="336"/>
      <c r="F126" s="12"/>
      <c r="G126" s="12" t="s">
        <v>120</v>
      </c>
      <c r="H126" s="279">
        <f>C124</f>
        <v>1575799.01</v>
      </c>
      <c r="I126" s="4">
        <f>H126/$H$128</f>
        <v>1047.0425315614618</v>
      </c>
      <c r="J126" s="13"/>
    </row>
    <row r="127" spans="1:22" s="4" customFormat="1" x14ac:dyDescent="0.2">
      <c r="B127" s="12" t="s">
        <v>126</v>
      </c>
      <c r="C127" s="336">
        <f ca="1">IF(B7="Overtime",560000,280000)</f>
        <v>560000</v>
      </c>
      <c r="D127" s="4" t="s">
        <v>124</v>
      </c>
      <c r="F127" s="12"/>
      <c r="G127" s="12" t="s">
        <v>127</v>
      </c>
      <c r="H127" s="279">
        <f ca="1">SUM(H124:H126)</f>
        <v>3494925.3940000003</v>
      </c>
      <c r="J127" s="13"/>
    </row>
    <row r="128" spans="1:22" s="4" customFormat="1" x14ac:dyDescent="0.2">
      <c r="B128" s="12" t="s">
        <v>81</v>
      </c>
      <c r="C128" s="336">
        <f ca="1">IF(B7="Overtime",VALUE(IFERROR(VLOOKUP(B128,$B$14:$C$121,2,FALSE),0))*2,VALUE(IFERROR(VLOOKUP(B128,$B$14:$C$121,2,FALSE),0)))</f>
        <v>608400</v>
      </c>
      <c r="D128" s="4" t="s">
        <v>124</v>
      </c>
      <c r="F128" s="12"/>
      <c r="G128" s="12" t="s">
        <v>128</v>
      </c>
      <c r="H128" s="302">
        <f>C76</f>
        <v>1505</v>
      </c>
      <c r="J128" s="13"/>
    </row>
    <row r="129" spans="2:10" s="4" customFormat="1" x14ac:dyDescent="0.2">
      <c r="B129" s="12" t="s">
        <v>87</v>
      </c>
      <c r="C129" s="336">
        <f t="shared" ref="C129:C136" ca="1" si="0">IFERROR(VLOOKUP(B129,$B$14:$C$121,2,FALSE),0)</f>
        <v>70000</v>
      </c>
      <c r="D129" s="4" t="s">
        <v>124</v>
      </c>
      <c r="F129" s="12"/>
      <c r="G129" s="12" t="s">
        <v>129</v>
      </c>
      <c r="H129" s="339">
        <f ca="1">H127/H128</f>
        <v>2322.2095641196015</v>
      </c>
      <c r="J129" s="13"/>
    </row>
    <row r="130" spans="2:10" s="4" customFormat="1" x14ac:dyDescent="0.2">
      <c r="B130" s="12" t="s">
        <v>92</v>
      </c>
      <c r="C130" s="336">
        <f t="shared" ca="1" si="0"/>
        <v>47000</v>
      </c>
      <c r="D130" s="4" t="s">
        <v>122</v>
      </c>
      <c r="F130" s="12"/>
      <c r="G130" s="12"/>
      <c r="J130" s="13"/>
    </row>
    <row r="131" spans="2:10" s="4" customFormat="1" x14ac:dyDescent="0.2">
      <c r="B131" s="12" t="s">
        <v>89</v>
      </c>
      <c r="C131" s="336">
        <f t="shared" ca="1" si="0"/>
        <v>18000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 ca="1">$H$129*(1+H131)</f>
        <v>2554.4305205315618</v>
      </c>
      <c r="I132" s="333">
        <f ca="1">$H$129*(1+I131)</f>
        <v>2786.6514769435216</v>
      </c>
      <c r="J132" s="341">
        <f ca="1">$H$129*(1+J131)</f>
        <v>3018.8724333554819</v>
      </c>
    </row>
    <row r="133" spans="2:10" s="4" customFormat="1" x14ac:dyDescent="0.2">
      <c r="B133" s="12" t="s">
        <v>11</v>
      </c>
      <c r="C133" s="336">
        <f t="shared" ca="1" si="0"/>
        <v>135000</v>
      </c>
      <c r="D133" s="4" t="s">
        <v>124</v>
      </c>
      <c r="F133" s="12"/>
      <c r="G133" s="4" t="s">
        <v>133</v>
      </c>
      <c r="H133" s="302">
        <f ca="1">H132-$H$129</f>
        <v>232.22095641196029</v>
      </c>
      <c r="I133" s="302">
        <f ca="1">I132-$H$129</f>
        <v>464.44191282392012</v>
      </c>
      <c r="J133" s="318">
        <f ca="1">J132-$H$129</f>
        <v>696.66286923588041</v>
      </c>
    </row>
    <row r="134" spans="2:10" s="4" customFormat="1" x14ac:dyDescent="0.2">
      <c r="B134" s="12" t="s">
        <v>61</v>
      </c>
      <c r="C134" s="336">
        <f t="shared" ca="1" si="0"/>
        <v>427041.03</v>
      </c>
      <c r="D134" s="4" t="s">
        <v>124</v>
      </c>
      <c r="F134" s="12"/>
      <c r="G134" s="4" t="s">
        <v>134</v>
      </c>
      <c r="H134" s="355">
        <f ca="1">H133/H132</f>
        <v>9.0909090909090953E-2</v>
      </c>
      <c r="I134" s="355">
        <f ca="1">I133/I132</f>
        <v>0.1666666666666666</v>
      </c>
      <c r="J134" s="326">
        <f ca="1">J133/J132</f>
        <v>0.23076923076923075</v>
      </c>
    </row>
    <row r="135" spans="2:10" s="4" customFormat="1" x14ac:dyDescent="0.2">
      <c r="B135" s="12" t="s">
        <v>23</v>
      </c>
      <c r="C135" s="336">
        <f>IFERROR(VLOOKUP(B135,$B$14:$C$121,2,FALSE),0)</f>
        <v>20685.354000000003</v>
      </c>
      <c r="D135" s="4" t="s">
        <v>124</v>
      </c>
      <c r="F135" s="12"/>
      <c r="G135" s="4" t="s">
        <v>135</v>
      </c>
      <c r="H135" s="279">
        <f ca="1">$H$125/H134</f>
        <v>21110390.223999992</v>
      </c>
      <c r="I135" s="279">
        <f ca="1">$H$125/I134</f>
        <v>11514758.304000005</v>
      </c>
      <c r="J135" s="281">
        <f ca="1">$H$125/J134</f>
        <v>8316214.3306666678</v>
      </c>
    </row>
    <row r="136" spans="2:10" s="4" customFormat="1" x14ac:dyDescent="0.2">
      <c r="B136" s="12" t="s">
        <v>117</v>
      </c>
      <c r="C136" s="336">
        <f t="shared" ca="1" si="0"/>
        <v>80000</v>
      </c>
      <c r="D136" s="4" t="s">
        <v>124</v>
      </c>
      <c r="F136" s="14"/>
      <c r="G136" s="15" t="s">
        <v>136</v>
      </c>
      <c r="H136" s="15">
        <f ca="1">H135/H132</f>
        <v>8264.2256480740161</v>
      </c>
      <c r="I136" s="15">
        <f ca="1">I135/I132</f>
        <v>4132.1128240370117</v>
      </c>
      <c r="J136" s="16">
        <f ca="1">J135/J132</f>
        <v>2754.7418826913404</v>
      </c>
    </row>
    <row r="137" spans="2:10" s="4" customFormat="1" x14ac:dyDescent="0.2">
      <c r="B137" s="275" t="s">
        <v>137</v>
      </c>
      <c r="C137" s="335" cm="1">
        <f t="array" ref="C137">IF(B5="Validation",E137,SUMPRODUCT(F80:I80*F73:I73))</f>
        <v>63022</v>
      </c>
      <c r="D137" s="380" t="s">
        <v>138</v>
      </c>
      <c r="E137" s="4">
        <f>INDEX(Data_Sales!B3:N8,MATCH("Freight Cost",Data_Sales!B3:B8,0),MATCH('Q9-Validation'!B3,Data_Sales!B3:N3,0))</f>
        <v>63022</v>
      </c>
    </row>
    <row r="138" spans="2:10" s="4" customFormat="1" x14ac:dyDescent="0.2">
      <c r="B138" s="12" t="s">
        <v>139</v>
      </c>
      <c r="C138" s="336">
        <f>IFERROR(VLOOKUP(B138,$B$14:$C$121,2,FALSE),0)</f>
        <v>0</v>
      </c>
    </row>
    <row r="139" spans="2:10" s="4" customFormat="1" x14ac:dyDescent="0.2">
      <c r="B139" s="365" t="s">
        <v>140</v>
      </c>
      <c r="C139" s="366" cm="1">
        <f t="array" aca="1" ref="C139" ca="1">INDIRECT("'Input_Q"&amp;$B$3&amp;"-Predict'!C18")</f>
        <v>0</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 ca="1">SUM(C127:C141)</f>
        <v>2029148.3840000001</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 ca="1">C125-C142</f>
        <v>553347.60600000015</v>
      </c>
    </row>
    <row r="148" spans="2:5" s="4" customFormat="1" x14ac:dyDescent="0.2">
      <c r="B148" s="12" t="s">
        <v>147</v>
      </c>
      <c r="C148" s="13">
        <f ca="1">IF(C147&gt;0,C147*0.15,0)</f>
        <v>83002.140900000013</v>
      </c>
    </row>
    <row r="149" spans="2:5" s="4" customFormat="1" x14ac:dyDescent="0.2">
      <c r="B149" s="12" t="s">
        <v>148</v>
      </c>
      <c r="C149" s="336">
        <f ca="1">C147-C148</f>
        <v>470345.46510000015</v>
      </c>
    </row>
    <row r="150" spans="2:5" s="4" customFormat="1" x14ac:dyDescent="0.2">
      <c r="B150" s="12" t="s">
        <v>119</v>
      </c>
      <c r="C150" s="13"/>
    </row>
    <row r="151" spans="2:5" s="4" customFormat="1" x14ac:dyDescent="0.2">
      <c r="B151" s="12" t="s">
        <v>149</v>
      </c>
      <c r="C151" s="368">
        <f ca="1">INDEX(Data_IncomeStatement!A1:M33,MATCH("PROFIT AND LOSS STATEMENT RESULTS",Data_IncomeStatement!A1:A33,0),MATCH(VALUE(B3-1),Data_IncomeStatement!A1:M1,0))</f>
        <v>-356371.09855999995</v>
      </c>
    </row>
    <row r="152" spans="2:5" s="4" customFormat="1" x14ac:dyDescent="0.2">
      <c r="B152" s="12" t="s">
        <v>148</v>
      </c>
      <c r="C152" s="336">
        <f ca="1">C149</f>
        <v>470345.46510000015</v>
      </c>
    </row>
    <row r="153" spans="2:5" s="4" customFormat="1" x14ac:dyDescent="0.2">
      <c r="B153" s="12" t="s">
        <v>150</v>
      </c>
      <c r="C153" s="13">
        <v>0</v>
      </c>
    </row>
    <row r="154" spans="2:5" s="4" customFormat="1" x14ac:dyDescent="0.2">
      <c r="B154" s="14" t="s">
        <v>151</v>
      </c>
      <c r="C154" s="337">
        <f ca="1">C152+C151</f>
        <v>113974.36654000019</v>
      </c>
    </row>
    <row r="155" spans="2:5" s="4" customFormat="1" x14ac:dyDescent="0.2"/>
    <row r="156" spans="2:5" s="4" customFormat="1" x14ac:dyDescent="0.2">
      <c r="C156" s="330"/>
      <c r="D156" s="214"/>
      <c r="E156" s="279"/>
    </row>
    <row r="157" spans="2:5" s="4" customFormat="1" x14ac:dyDescent="0.2">
      <c r="B157" s="9" t="str">
        <f>B5</f>
        <v>Validation</v>
      </c>
      <c r="C157" s="11"/>
    </row>
    <row r="158" spans="2:5" s="4" customFormat="1" x14ac:dyDescent="0.2">
      <c r="B158" s="63" t="s">
        <v>152</v>
      </c>
      <c r="C158" s="64"/>
    </row>
    <row r="159" spans="2:5" s="4" customFormat="1" x14ac:dyDescent="0.2">
      <c r="B159" s="12" t="s">
        <v>153</v>
      </c>
      <c r="C159" s="336">
        <f ca="1">C142</f>
        <v>2029148.3840000001</v>
      </c>
    </row>
    <row r="160" spans="2:5" s="4" customFormat="1" x14ac:dyDescent="0.2">
      <c r="B160" s="12" t="s">
        <v>154</v>
      </c>
      <c r="C160" s="336">
        <f>C124</f>
        <v>1575799.01</v>
      </c>
    </row>
    <row r="161" spans="2:3" s="4" customFormat="1" x14ac:dyDescent="0.2">
      <c r="B161" s="12" t="s">
        <v>155</v>
      </c>
      <c r="C161" s="336">
        <f ca="1">C123</f>
        <v>4158295</v>
      </c>
    </row>
    <row r="162" spans="2:3" s="4" customFormat="1" x14ac:dyDescent="0.2">
      <c r="B162" s="12" t="s">
        <v>156</v>
      </c>
      <c r="C162" s="529">
        <f ca="1">C159/(1-C160/C161)</f>
        <v>3267303.2647943362</v>
      </c>
    </row>
    <row r="163" spans="2:3" s="4" customFormat="1" x14ac:dyDescent="0.2">
      <c r="B163" s="12"/>
      <c r="C163" s="13"/>
    </row>
    <row r="164" spans="2:3" s="4" customFormat="1" x14ac:dyDescent="0.2">
      <c r="B164" s="12" t="s">
        <v>157</v>
      </c>
      <c r="C164" s="480">
        <f>J73</f>
        <v>1505</v>
      </c>
    </row>
    <row r="165" spans="2:3" s="4" customFormat="1" x14ac:dyDescent="0.2">
      <c r="B165" s="14" t="s">
        <v>158</v>
      </c>
      <c r="C165" s="530">
        <f ca="1">ROUNDUP(C162/(C161/C164),0)</f>
        <v>1183</v>
      </c>
    </row>
    <row r="166" spans="2:3" s="4" customFormat="1" x14ac:dyDescent="0.2"/>
    <row r="167" spans="2:3" s="4" customFormat="1" x14ac:dyDescent="0.2"/>
    <row r="168" spans="2:3" s="4" customFormat="1" x14ac:dyDescent="0.2"/>
    <row r="169" spans="2:3" s="4" customFormat="1" x14ac:dyDescent="0.2"/>
    <row r="170" spans="2:3" s="4" customFormat="1" x14ac:dyDescent="0.2"/>
    <row r="171" spans="2:3" s="4" customFormat="1" x14ac:dyDescent="0.2"/>
    <row r="172" spans="2:3" s="4" customFormat="1" x14ac:dyDescent="0.2"/>
    <row r="173" spans="2:3" s="4" customFormat="1" x14ac:dyDescent="0.2"/>
    <row r="174" spans="2:3"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AC6766C9-63B3-9048-B58F-993884C652B9}">
          <x14:formula1>
            <xm:f>Reference!$A$31:$A$32</xm:f>
          </x14:formula1>
          <xm:sqref>B7</xm:sqref>
        </x14:dataValidation>
        <x14:dataValidation type="list" allowBlank="1" showInputMessage="1" showErrorMessage="1" xr:uid="{36888171-FF09-F14A-ADC4-FBA5ED5A6091}">
          <x14:formula1>
            <xm:f>Reference!$B$1:$B$4</xm:f>
          </x14:formula1>
          <xm:sqref>W21 W28 K20</xm:sqref>
        </x14:dataValidation>
        <x14:dataValidation type="list" allowBlank="1" showInputMessage="1" showErrorMessage="1" xr:uid="{D0A65D45-DF67-7C42-8E82-F6AA58E08622}">
          <x14:formula1>
            <xm:f>Reference!$D$1:$D$4</xm:f>
          </x14:formula1>
          <xm:sqref>W23 W30 K22</xm:sqref>
        </x14:dataValidation>
        <x14:dataValidation type="list" allowBlank="1" showInputMessage="1" showErrorMessage="1" xr:uid="{862C0344-0825-B44C-AA77-236478B4ED1E}">
          <x14:formula1>
            <xm:f>Reference!$A$1:$A$3</xm:f>
          </x14:formula1>
          <xm:sqref>W20 W27 K19</xm:sqref>
        </x14:dataValidation>
        <x14:dataValidation type="list" allowBlank="1" showInputMessage="1" showErrorMessage="1" xr:uid="{CF8EF065-A458-884B-ACCB-5445823E3EA4}">
          <x14:formula1>
            <xm:f>Reference!$C$1:$C$5</xm:f>
          </x14:formula1>
          <xm:sqref>W22 W29 K21</xm:sqref>
        </x14:dataValidation>
        <x14:dataValidation type="list" allowBlank="1" showInputMessage="1" showErrorMessage="1" xr:uid="{9618D632-E9C8-FB48-BA62-522F036E2F2C}">
          <x14:formula1>
            <xm:f>Reference!$A$6:$A$8</xm:f>
          </x14:formula1>
          <xm:sqref>B5</xm:sqref>
        </x14:dataValidation>
        <x14:dataValidation type="list" allowBlank="1" showInputMessage="1" showErrorMessage="1" xr:uid="{D16E99F8-5EA8-8044-9559-C9F22E483427}">
          <x14:formula1>
            <xm:f>Reference!$A$10:$A$12</xm:f>
          </x14:formula1>
          <xm:sqref>D124</xm:sqref>
        </x14:dataValidation>
        <x14:dataValidation type="list" allowBlank="1" showInputMessage="1" showErrorMessage="1" xr:uid="{07821826-8654-974A-AE93-03AE9BE7FF61}">
          <x14:formula1>
            <xm:f>Reference!$A$14:$A$26</xm:f>
          </x14:formula1>
          <xm:sqref>B3</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CC7E6-934B-E746-BA1D-B77AB0ECD957}">
  <sheetPr>
    <tabColor theme="2" tint="-9.9978637043366805E-2"/>
  </sheetPr>
  <dimension ref="B1:G53"/>
  <sheetViews>
    <sheetView workbookViewId="0">
      <selection activeCell="C25" sqref="C25"/>
    </sheetView>
  </sheetViews>
  <sheetFormatPr baseColWidth="10" defaultColWidth="11" defaultRowHeight="16" x14ac:dyDescent="0.2"/>
  <cols>
    <col min="1" max="1" width="11" style="4"/>
    <col min="2" max="2" width="33.83203125" style="4" bestFit="1" customWidth="1"/>
    <col min="3" max="3" width="11.33203125" style="462" customWidth="1"/>
    <col min="4" max="5" width="11" style="4" customWidth="1"/>
    <col min="6" max="6" width="13.1640625" style="4" customWidth="1"/>
    <col min="7" max="7" width="15" style="4" customWidth="1"/>
    <col min="8" max="9" width="11" style="4"/>
    <col min="10" max="10" width="34.6640625" style="4" bestFit="1" customWidth="1"/>
    <col min="11" max="16384" width="11" style="4"/>
  </cols>
  <sheetData>
    <row r="1" spans="2:7" x14ac:dyDescent="0.2">
      <c r="B1" s="9" t="s">
        <v>159</v>
      </c>
      <c r="C1" s="10"/>
      <c r="D1" s="464"/>
      <c r="E1" s="10"/>
      <c r="F1" s="10"/>
      <c r="G1" s="465"/>
    </row>
    <row r="2" spans="2:7" x14ac:dyDescent="0.2">
      <c r="B2" s="466" t="b">
        <v>1</v>
      </c>
      <c r="C2" s="4" t="s">
        <v>160</v>
      </c>
      <c r="D2" s="449"/>
      <c r="G2" s="13"/>
    </row>
    <row r="3" spans="2:7" x14ac:dyDescent="0.2">
      <c r="B3" s="466" t="b">
        <v>0</v>
      </c>
      <c r="C3" s="4" t="s">
        <v>161</v>
      </c>
      <c r="D3" s="449"/>
      <c r="G3" s="13"/>
    </row>
    <row r="4" spans="2:7" x14ac:dyDescent="0.2">
      <c r="B4" s="466" t="b">
        <v>0</v>
      </c>
      <c r="C4" s="4" t="s">
        <v>162</v>
      </c>
      <c r="D4" s="449"/>
      <c r="G4" s="13"/>
    </row>
    <row r="5" spans="2:7" x14ac:dyDescent="0.2">
      <c r="B5" s="467" t="b">
        <v>0</v>
      </c>
      <c r="C5" s="15" t="s">
        <v>163</v>
      </c>
      <c r="D5" s="468"/>
      <c r="E5" s="15"/>
      <c r="F5" s="15"/>
      <c r="G5" s="16"/>
    </row>
    <row r="6" spans="2:7" x14ac:dyDescent="0.2">
      <c r="B6" s="12" t="s">
        <v>164</v>
      </c>
      <c r="C6" s="395">
        <v>9</v>
      </c>
    </row>
    <row r="7" spans="2:7" x14ac:dyDescent="0.2">
      <c r="B7" s="71" t="s">
        <v>165</v>
      </c>
      <c r="C7" s="469" t="s">
        <v>166</v>
      </c>
      <c r="E7" s="199" t="s">
        <v>167</v>
      </c>
    </row>
    <row r="8" spans="2:7" x14ac:dyDescent="0.2">
      <c r="B8" s="71" t="s">
        <v>168</v>
      </c>
      <c r="C8" s="469" t="s">
        <v>169</v>
      </c>
      <c r="E8" s="199"/>
    </row>
    <row r="9" spans="2:7" x14ac:dyDescent="0.2">
      <c r="B9" s="12" t="s">
        <v>170</v>
      </c>
      <c r="C9" s="222"/>
      <c r="F9" s="178" t="s">
        <v>192</v>
      </c>
    </row>
    <row r="10" spans="2:7" x14ac:dyDescent="0.2">
      <c r="B10" s="12">
        <v>1</v>
      </c>
      <c r="C10" s="470">
        <v>2799</v>
      </c>
      <c r="F10" s="481">
        <f>C28</f>
        <v>1335</v>
      </c>
    </row>
    <row r="11" spans="2:7" x14ac:dyDescent="0.2">
      <c r="B11" s="12">
        <v>2</v>
      </c>
      <c r="C11" s="470">
        <v>2599</v>
      </c>
      <c r="F11" s="178" t="s">
        <v>209</v>
      </c>
    </row>
    <row r="12" spans="2:7" x14ac:dyDescent="0.2">
      <c r="B12" s="12">
        <v>3</v>
      </c>
      <c r="C12" s="470">
        <v>2799</v>
      </c>
      <c r="F12" s="98" cm="1">
        <f t="array" aca="1" ref="F12" ca="1">INDIRECT("'Q"&amp;C6&amp;"-Predict'!C165")</f>
        <v>1202</v>
      </c>
    </row>
    <row r="13" spans="2:7" x14ac:dyDescent="0.2">
      <c r="B13" s="14">
        <v>4</v>
      </c>
      <c r="C13" s="470">
        <v>2799</v>
      </c>
      <c r="F13" s="476" t="str">
        <f ca="1">IF(F12&gt;F10,"Adjust Cost!!!!", "All Good")</f>
        <v>All Good</v>
      </c>
    </row>
    <row r="14" spans="2:7" x14ac:dyDescent="0.2">
      <c r="B14" s="9" t="s">
        <v>148</v>
      </c>
      <c r="C14" s="479" cm="1">
        <f t="array" aca="1" ref="C14" ca="1">INDIRECT("'Q"&amp;C6&amp;"-Predict'!C149")</f>
        <v>190300.77184999976</v>
      </c>
      <c r="G14" s="4">
        <v>578000</v>
      </c>
    </row>
    <row r="15" spans="2:7" x14ac:dyDescent="0.2">
      <c r="B15" s="14" t="s">
        <v>151</v>
      </c>
      <c r="C15" s="463" cm="1">
        <f t="array" aca="1" ref="C15" ca="1">INDIRECT("'Q"&amp;C6&amp;"-Predict'!C154")</f>
        <v>-166070.3267100002</v>
      </c>
      <c r="G15" s="4">
        <v>670</v>
      </c>
    </row>
    <row r="17" spans="2:7" x14ac:dyDescent="0.2">
      <c r="B17" s="9" t="s">
        <v>171</v>
      </c>
      <c r="C17" s="345">
        <f ca="1">INDEX(Data_IncomeStatement!A1:M33,MATCH("PROFIT AND LOSS STATEMENT RESULTS", Data_IncomeStatement!A1:A33, 0),MATCH(VALUE(C6-1), Data_IncomeStatement!A1:M1, 0))</f>
        <v>-356371.09855999995</v>
      </c>
      <c r="D17" s="178"/>
      <c r="E17" s="199" t="s">
        <v>172</v>
      </c>
    </row>
    <row r="18" spans="2:7" x14ac:dyDescent="0.2">
      <c r="B18" s="12" t="s">
        <v>175</v>
      </c>
      <c r="C18" s="222">
        <v>0</v>
      </c>
      <c r="D18" s="103"/>
      <c r="E18" s="4" t="s">
        <v>177</v>
      </c>
    </row>
    <row r="19" spans="2:7" x14ac:dyDescent="0.2">
      <c r="B19" s="12" t="s">
        <v>41</v>
      </c>
      <c r="C19" s="222">
        <f>INDEX(Data_Stock!B2:N11,MATCH("Left Inventory",Data_Stock!B2:B11,0),MATCH(VALUE(C6-1),Data_Stock!B2:N2,0))</f>
        <v>541</v>
      </c>
      <c r="D19" s="103"/>
      <c r="E19" s="199" t="s">
        <v>172</v>
      </c>
    </row>
    <row r="20" spans="2:7" x14ac:dyDescent="0.2">
      <c r="B20" s="12" t="s">
        <v>42</v>
      </c>
      <c r="C20" s="222">
        <f>INDEX(Data_Stock!B2:N11,MATCH("Left",Data_Stock!B2:B11,0),MATCH(VALUE(C6-1),Data_Stock!B2:N2,0))</f>
        <v>1868</v>
      </c>
      <c r="D20" s="103"/>
      <c r="E20" s="199" t="s">
        <v>172</v>
      </c>
    </row>
    <row r="21" spans="2:7" x14ac:dyDescent="0.2">
      <c r="B21" s="14" t="s">
        <v>180</v>
      </c>
      <c r="C21" s="463">
        <f>IF(C8="Overtime",MIN((1500*C34+C19),(C19+(C20*C34))),MIN((1200*C34+C19),(C19+(C20*C34))))</f>
        <v>1981</v>
      </c>
      <c r="D21" s="476" t="s">
        <v>399</v>
      </c>
    </row>
    <row r="22" spans="2:7" x14ac:dyDescent="0.2">
      <c r="B22" s="9" t="s">
        <v>181</v>
      </c>
      <c r="C22" s="390">
        <f>C21</f>
        <v>1981</v>
      </c>
      <c r="D22" s="472"/>
      <c r="E22" s="4" t="s">
        <v>182</v>
      </c>
    </row>
    <row r="23" spans="2:7" x14ac:dyDescent="0.2">
      <c r="B23" s="67" t="str">
        <f>"-----------------------------------------------&gt;&gt;"</f>
        <v>-----------------------------------------------&gt;&gt;</v>
      </c>
      <c r="C23" s="222">
        <f>MIN(C22,C21)</f>
        <v>1981</v>
      </c>
      <c r="D23" s="473"/>
      <c r="E23" s="4" t="s">
        <v>183</v>
      </c>
    </row>
    <row r="24" spans="2:7" x14ac:dyDescent="0.2">
      <c r="B24" s="12">
        <v>1</v>
      </c>
      <c r="C24" s="222">
        <f>ROUNDDOWN($C$23*D24,0)</f>
        <v>594</v>
      </c>
      <c r="D24" s="474">
        <v>0.3</v>
      </c>
      <c r="E24" s="4" t="s">
        <v>185</v>
      </c>
    </row>
    <row r="25" spans="2:7" x14ac:dyDescent="0.2">
      <c r="B25" s="12">
        <v>2</v>
      </c>
      <c r="C25" s="222">
        <f t="shared" ref="C25:C27" si="0">ROUNDDOWN($C$23*D25,0)</f>
        <v>336</v>
      </c>
      <c r="D25" s="474">
        <v>0.17</v>
      </c>
      <c r="E25" s="4" t="s">
        <v>187</v>
      </c>
    </row>
    <row r="26" spans="2:7" x14ac:dyDescent="0.2">
      <c r="B26" s="12">
        <v>3</v>
      </c>
      <c r="C26" s="222">
        <f t="shared" si="0"/>
        <v>59</v>
      </c>
      <c r="D26" s="474">
        <f>1-D27-D25-D24</f>
        <v>2.9999999999999971E-2</v>
      </c>
    </row>
    <row r="27" spans="2:7" x14ac:dyDescent="0.2">
      <c r="B27" s="14">
        <v>4</v>
      </c>
      <c r="C27" s="222">
        <f t="shared" si="0"/>
        <v>990</v>
      </c>
      <c r="D27" s="475">
        <v>0.5</v>
      </c>
      <c r="E27" s="4" t="s">
        <v>190</v>
      </c>
    </row>
    <row r="28" spans="2:7" x14ac:dyDescent="0.2">
      <c r="B28" s="9" t="s">
        <v>192</v>
      </c>
      <c r="C28" s="345">
        <f>SUM(C29:C32)</f>
        <v>1335</v>
      </c>
      <c r="D28" s="178"/>
      <c r="E28" s="4" t="s">
        <v>211</v>
      </c>
    </row>
    <row r="29" spans="2:7" x14ac:dyDescent="0.2">
      <c r="B29" s="12">
        <v>1</v>
      </c>
      <c r="C29" s="222">
        <f>ROUNDDOWN(C24*D29,0)</f>
        <v>386</v>
      </c>
      <c r="D29" s="478">
        <v>0.65</v>
      </c>
      <c r="E29" s="4">
        <v>1082</v>
      </c>
      <c r="F29" s="302">
        <f>C29/E29</f>
        <v>0.35674676524953791</v>
      </c>
    </row>
    <row r="30" spans="2:7" x14ac:dyDescent="0.2">
      <c r="B30" s="12">
        <v>2</v>
      </c>
      <c r="C30" s="222">
        <f t="shared" ref="C30:C31" si="1">ROUNDDOWN(C25*D30,0)</f>
        <v>218</v>
      </c>
      <c r="D30" s="478">
        <v>0.65</v>
      </c>
      <c r="E30" s="4">
        <v>734</v>
      </c>
      <c r="F30" s="302">
        <v>0.3</v>
      </c>
      <c r="G30" s="302">
        <f>E30*F30</f>
        <v>220.2</v>
      </c>
    </row>
    <row r="31" spans="2:7" x14ac:dyDescent="0.2">
      <c r="B31" s="12">
        <v>3</v>
      </c>
      <c r="C31" s="222">
        <f t="shared" si="1"/>
        <v>38</v>
      </c>
      <c r="D31" s="478">
        <v>0.65</v>
      </c>
      <c r="E31" s="4">
        <v>811</v>
      </c>
      <c r="F31" s="302">
        <f t="shared" ref="F31" si="2">C31/E31</f>
        <v>4.6855733662145502E-2</v>
      </c>
    </row>
    <row r="32" spans="2:7" x14ac:dyDescent="0.2">
      <c r="B32" s="14">
        <v>4</v>
      </c>
      <c r="C32" s="463">
        <f>ROUNDDOWN(C27*D32,0)</f>
        <v>693</v>
      </c>
      <c r="D32" s="478">
        <v>0.7</v>
      </c>
      <c r="E32" s="4">
        <v>1236</v>
      </c>
      <c r="F32" s="4">
        <v>0.6</v>
      </c>
      <c r="G32" s="302">
        <f>E32*0.6</f>
        <v>741.6</v>
      </c>
    </row>
    <row r="33" spans="2:5" ht="17" customHeight="1" x14ac:dyDescent="0.2">
      <c r="B33" s="9" t="s">
        <v>197</v>
      </c>
      <c r="C33" s="345">
        <v>1560</v>
      </c>
      <c r="D33" s="178"/>
      <c r="E33" s="4" t="s">
        <v>198</v>
      </c>
    </row>
    <row r="34" spans="2:5" ht="17" customHeight="1" x14ac:dyDescent="0.2">
      <c r="B34" s="12" t="s">
        <v>38</v>
      </c>
      <c r="C34" s="221">
        <v>0.96</v>
      </c>
      <c r="D34" s="103"/>
    </row>
    <row r="35" spans="2:5" ht="17" customHeight="1" x14ac:dyDescent="0.2">
      <c r="B35" s="14" t="s">
        <v>199</v>
      </c>
      <c r="C35" s="463">
        <f>ROUNDDOWN(C33*C34,0)</f>
        <v>1497</v>
      </c>
      <c r="D35" s="103"/>
    </row>
    <row r="36" spans="2:5" ht="17" customHeight="1" x14ac:dyDescent="0.2">
      <c r="B36" s="9" t="s">
        <v>200</v>
      </c>
      <c r="C36" s="390">
        <v>1560</v>
      </c>
      <c r="D36" s="477"/>
    </row>
    <row r="37" spans="2:5" ht="17" customHeight="1" x14ac:dyDescent="0.2">
      <c r="B37" s="14" t="str">
        <f>"-------------------------------&gt;"</f>
        <v>-------------------------------&gt;</v>
      </c>
      <c r="C37" s="463">
        <f>IF(C7="Conservative",1200-(C20-C35),C36)</f>
        <v>1560</v>
      </c>
      <c r="D37" s="103"/>
      <c r="E37" s="4" t="s">
        <v>201</v>
      </c>
    </row>
    <row r="38" spans="2:5" x14ac:dyDescent="0.2">
      <c r="B38" s="71" t="s">
        <v>19</v>
      </c>
      <c r="C38" s="401">
        <v>9</v>
      </c>
      <c r="D38" s="103"/>
    </row>
    <row r="39" spans="2:5" x14ac:dyDescent="0.2">
      <c r="B39" s="71" t="s">
        <v>202</v>
      </c>
      <c r="C39" s="402">
        <v>0.06</v>
      </c>
      <c r="D39" s="103"/>
    </row>
    <row r="40" spans="2:5" x14ac:dyDescent="0.2">
      <c r="B40" s="9" t="s">
        <v>203</v>
      </c>
      <c r="C40" s="345" t="s">
        <v>212</v>
      </c>
      <c r="D40" s="103"/>
    </row>
    <row r="41" spans="2:5" x14ac:dyDescent="0.2">
      <c r="B41" s="12">
        <v>1</v>
      </c>
      <c r="C41" s="291">
        <v>7</v>
      </c>
      <c r="D41" s="103"/>
    </row>
    <row r="42" spans="2:5" x14ac:dyDescent="0.2">
      <c r="B42" s="12">
        <v>2</v>
      </c>
      <c r="C42" s="291">
        <v>10</v>
      </c>
      <c r="D42" s="103"/>
    </row>
    <row r="43" spans="2:5" x14ac:dyDescent="0.2">
      <c r="B43" s="12">
        <v>3</v>
      </c>
      <c r="C43" s="291">
        <v>1</v>
      </c>
      <c r="D43" s="103"/>
    </row>
    <row r="44" spans="2:5" x14ac:dyDescent="0.2">
      <c r="B44" s="14">
        <v>4</v>
      </c>
      <c r="C44" s="393">
        <v>8</v>
      </c>
      <c r="D44" s="103"/>
    </row>
    <row r="45" spans="2:5" x14ac:dyDescent="0.2">
      <c r="B45" s="9" t="s">
        <v>204</v>
      </c>
      <c r="C45" s="345"/>
      <c r="D45" s="103"/>
    </row>
    <row r="46" spans="2:5" x14ac:dyDescent="0.2">
      <c r="B46" s="12">
        <v>1</v>
      </c>
      <c r="C46" s="291">
        <v>0</v>
      </c>
      <c r="D46" s="103"/>
    </row>
    <row r="47" spans="2:5" x14ac:dyDescent="0.2">
      <c r="B47" s="12">
        <v>2</v>
      </c>
      <c r="C47" s="291">
        <v>0</v>
      </c>
      <c r="D47" s="103"/>
    </row>
    <row r="48" spans="2:5" x14ac:dyDescent="0.2">
      <c r="B48" s="12">
        <v>3</v>
      </c>
      <c r="C48" s="291">
        <v>0</v>
      </c>
      <c r="D48" s="103"/>
    </row>
    <row r="49" spans="2:5" x14ac:dyDescent="0.2">
      <c r="B49" s="14">
        <v>4</v>
      </c>
      <c r="C49" s="393">
        <v>0</v>
      </c>
      <c r="D49" s="103"/>
    </row>
    <row r="50" spans="2:5" x14ac:dyDescent="0.2">
      <c r="B50" s="9" t="s">
        <v>82</v>
      </c>
      <c r="C50" s="390">
        <v>5200</v>
      </c>
      <c r="D50" s="103"/>
    </row>
    <row r="51" spans="2:5" x14ac:dyDescent="0.2">
      <c r="B51" s="12" t="s">
        <v>93</v>
      </c>
      <c r="C51" s="291">
        <v>7</v>
      </c>
      <c r="D51" s="103"/>
    </row>
    <row r="52" spans="2:5" x14ac:dyDescent="0.2">
      <c r="B52" s="12" t="s">
        <v>205</v>
      </c>
      <c r="C52" s="291">
        <v>9</v>
      </c>
      <c r="D52" s="103"/>
    </row>
    <row r="53" spans="2:5" x14ac:dyDescent="0.2">
      <c r="B53" s="14" t="s">
        <v>206</v>
      </c>
      <c r="C53" s="393">
        <v>80000</v>
      </c>
      <c r="D53" s="98"/>
      <c r="E53" s="4" t="s">
        <v>207</v>
      </c>
    </row>
  </sheetData>
  <conditionalFormatting sqref="C14">
    <cfRule type="cellIs" dxfId="1" priority="1" operator="greaterThan">
      <formula>0</formula>
    </cfRule>
  </conditionalFormatting>
  <pageMargins left="0.7" right="0.7" top="0.75" bottom="0.75" header="0.3" footer="0.3"/>
  <pageSetup paperSize="9" orientation="portrait" horizontalDpi="0" verticalDpi="0"/>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B0A01A65-4627-E247-A403-658C7E130F7B}">
          <x14:formula1>
            <xm:f>Reference!$A$28:$A$29</xm:f>
          </x14:formula1>
          <xm:sqref>C7</xm:sqref>
        </x14:dataValidation>
        <x14:dataValidation type="list" allowBlank="1" showInputMessage="1" showErrorMessage="1" xr:uid="{CFF327B6-9DFA-AA47-AD7E-915FA4C3162C}">
          <x14:formula1>
            <xm:f>Reference!$A$14:$A$26</xm:f>
          </x14:formula1>
          <xm:sqref>C6</xm:sqref>
        </x14:dataValidation>
        <x14:dataValidation type="list" allowBlank="1" showInputMessage="1" showErrorMessage="1" xr:uid="{CAAF1632-B108-D34E-9CC6-7B034CBFE4E1}">
          <x14:formula1>
            <xm:f>Reference!$A$31:$A$32</xm:f>
          </x14:formula1>
          <xm:sqref>C8</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9AB79-C3F3-D84E-8D2C-6C00059C675E}">
  <sheetPr>
    <tabColor theme="2" tint="-9.9978637043366805E-2"/>
  </sheetPr>
  <dimension ref="A1:V174"/>
  <sheetViews>
    <sheetView topLeftCell="A50" zoomScale="125" zoomScaleNormal="120" workbookViewId="0">
      <selection activeCell="G118" sqref="G118"/>
    </sheetView>
  </sheetViews>
  <sheetFormatPr baseColWidth="10" defaultColWidth="11" defaultRowHeight="16" x14ac:dyDescent="0.2"/>
  <cols>
    <col min="1" max="1" width="5.6640625" style="4" customWidth="1"/>
    <col min="2" max="2" width="33.33203125" bestFit="1" customWidth="1"/>
    <col min="3" max="3" width="14" bestFit="1" customWidth="1"/>
    <col min="4" max="4" width="17.83203125" bestFit="1"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178" t="s">
        <v>0</v>
      </c>
      <c r="C2" s="4"/>
      <c r="D2" s="4"/>
      <c r="E2" s="4"/>
      <c r="F2" s="4"/>
      <c r="G2" s="4"/>
      <c r="H2" s="4"/>
      <c r="I2" s="4"/>
      <c r="J2" s="4"/>
      <c r="K2" s="4"/>
      <c r="L2" s="4"/>
      <c r="M2" s="4"/>
      <c r="N2" s="4"/>
      <c r="O2" s="4"/>
      <c r="P2" s="4"/>
      <c r="Q2" s="4"/>
      <c r="R2" s="4"/>
      <c r="S2" s="4"/>
      <c r="T2" s="4"/>
      <c r="U2" s="4"/>
      <c r="V2" s="4"/>
    </row>
    <row r="3" spans="1:22" x14ac:dyDescent="0.2">
      <c r="B3" s="460">
        <v>9</v>
      </c>
      <c r="C3" s="4"/>
      <c r="D3" s="4"/>
      <c r="E3" s="4"/>
      <c r="F3" s="4"/>
      <c r="G3" s="4"/>
      <c r="H3" s="4"/>
      <c r="I3" s="4"/>
      <c r="J3" s="4"/>
      <c r="K3" s="4"/>
      <c r="L3" s="4"/>
      <c r="M3" s="4"/>
      <c r="N3" s="4"/>
      <c r="O3" s="4"/>
      <c r="P3" s="4"/>
      <c r="Q3" s="4"/>
      <c r="R3" s="4"/>
      <c r="S3" s="4"/>
      <c r="T3" s="4"/>
      <c r="U3" s="4"/>
      <c r="V3" s="4"/>
    </row>
    <row r="4" spans="1:22" s="4" customFormat="1" x14ac:dyDescent="0.2">
      <c r="B4" s="178" t="s">
        <v>1</v>
      </c>
    </row>
    <row r="5" spans="1:22" s="4" customFormat="1" x14ac:dyDescent="0.2">
      <c r="B5" s="460" t="s">
        <v>6</v>
      </c>
    </row>
    <row r="6" spans="1:22" s="4" customFormat="1" x14ac:dyDescent="0.2">
      <c r="B6" s="178" t="s">
        <v>3</v>
      </c>
    </row>
    <row r="7" spans="1:22" s="4" customFormat="1" x14ac:dyDescent="0.2">
      <c r="B7" s="461" t="str" cm="1">
        <f t="array" aca="1" ref="B7" ca="1">INDIRECT("'Input_Q"&amp;B3&amp;"-Predict'!C8")</f>
        <v>Overtime</v>
      </c>
    </row>
    <row r="8" spans="1:22" s="4" customFormat="1" x14ac:dyDescent="0.2"/>
    <row r="9" spans="1:22" s="4" customFormat="1" x14ac:dyDescent="0.2">
      <c r="B9" s="99" t="s">
        <v>4</v>
      </c>
    </row>
    <row r="10" spans="1:22" x14ac:dyDescent="0.2">
      <c r="B10" s="69" t="s">
        <v>5</v>
      </c>
      <c r="C10" s="4"/>
      <c r="D10" s="4"/>
      <c r="E10" s="4"/>
      <c r="F10" s="4"/>
      <c r="G10" s="4"/>
      <c r="H10" s="4"/>
      <c r="I10" s="4"/>
      <c r="J10" s="4"/>
      <c r="K10" s="4"/>
      <c r="L10" s="4"/>
      <c r="M10" s="4"/>
      <c r="N10" s="4"/>
      <c r="O10" s="4"/>
      <c r="P10" s="4"/>
      <c r="Q10" s="4"/>
      <c r="R10" s="4"/>
      <c r="S10" s="4"/>
      <c r="T10" s="4"/>
      <c r="U10" s="4"/>
      <c r="V10" s="4"/>
    </row>
    <row r="11" spans="1:22" x14ac:dyDescent="0.2">
      <c r="B11" s="268" t="s">
        <v>6</v>
      </c>
      <c r="C11" s="4"/>
      <c r="D11" s="4"/>
      <c r="E11" s="4"/>
      <c r="F11" s="4"/>
      <c r="G11" s="4"/>
      <c r="H11" s="4"/>
      <c r="I11" s="4"/>
      <c r="J11" s="4"/>
      <c r="K11" s="4"/>
      <c r="L11" s="4"/>
      <c r="M11" s="4"/>
      <c r="N11" s="4"/>
      <c r="O11" s="4"/>
      <c r="P11" s="4"/>
      <c r="Q11" s="4"/>
      <c r="R11" s="4"/>
      <c r="S11" s="4"/>
      <c r="T11" s="4"/>
      <c r="U11" s="4"/>
      <c r="V11" s="4"/>
    </row>
    <row r="12" spans="1:22" x14ac:dyDescent="0.2">
      <c r="B12" s="4"/>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 ca="1">F19*F20</f>
        <v>135000</v>
      </c>
      <c r="E18" s="576" t="s">
        <v>12</v>
      </c>
      <c r="F18" s="577"/>
      <c r="G18" s="578"/>
      <c r="I18" s="71" t="s">
        <v>13</v>
      </c>
      <c r="J18" s="72"/>
      <c r="K18" s="72" t="s">
        <v>14</v>
      </c>
      <c r="L18" s="72" t="s">
        <v>15</v>
      </c>
      <c r="M18" s="72" t="s">
        <v>16</v>
      </c>
      <c r="N18" s="73" t="s">
        <v>17</v>
      </c>
    </row>
    <row r="19" spans="2:22" s="4" customFormat="1" x14ac:dyDescent="0.2">
      <c r="B19" s="12" t="s">
        <v>18</v>
      </c>
      <c r="C19" s="217">
        <f ca="1">N23</f>
        <v>892148.4</v>
      </c>
      <c r="E19" s="284" t="s">
        <v>19</v>
      </c>
      <c r="F19" s="285">
        <v>15000</v>
      </c>
      <c r="G19" s="11" t="s">
        <v>20</v>
      </c>
      <c r="I19" s="12"/>
      <c r="J19" s="4" t="s">
        <v>21</v>
      </c>
      <c r="K19" s="4" t="s">
        <v>22</v>
      </c>
      <c r="L19" s="4">
        <f>VLOOKUP($K$19,$E$24:F59,2,FALSE)</f>
        <v>36</v>
      </c>
      <c r="M19" s="4">
        <f>L19*$F$25</f>
        <v>36</v>
      </c>
      <c r="N19" s="13">
        <f ca="1">M19*$F$24</f>
        <v>56160</v>
      </c>
    </row>
    <row r="20" spans="2:22" s="4" customFormat="1" x14ac:dyDescent="0.2">
      <c r="B20" s="12" t="s">
        <v>23</v>
      </c>
      <c r="C20" s="281">
        <f ca="1">C34*0.02*M24</f>
        <v>20685.354000000003</v>
      </c>
      <c r="E20" s="68"/>
      <c r="F20" s="76" cm="1">
        <f t="array" aca="1" ref="F20" ca="1">INDIRECT("'Input_Q"&amp;B3&amp;"-Predict'!C38")</f>
        <v>9</v>
      </c>
      <c r="G20" s="16"/>
      <c r="I20" s="12" t="s">
        <v>24</v>
      </c>
      <c r="J20" s="19" t="s">
        <v>25</v>
      </c>
      <c r="K20" s="4" t="s">
        <v>26</v>
      </c>
      <c r="L20" s="4">
        <f>VLOOKUP($K$20,$E$25:F60,2,FALSE)</f>
        <v>44.52</v>
      </c>
      <c r="M20" s="4">
        <f>L20*$F$28</f>
        <v>89.04</v>
      </c>
      <c r="N20" s="13">
        <f ca="1">M20*$F$24</f>
        <v>138902.40000000002</v>
      </c>
    </row>
    <row r="21" spans="2:22" s="4" customFormat="1" x14ac:dyDescent="0.2">
      <c r="B21" s="14" t="s">
        <v>27</v>
      </c>
      <c r="C21" s="453">
        <v>280000</v>
      </c>
      <c r="E21" s="12" t="s">
        <v>28</v>
      </c>
      <c r="G21" s="103"/>
      <c r="I21" s="12"/>
      <c r="J21" s="20" t="s">
        <v>29</v>
      </c>
      <c r="K21" s="4" t="s">
        <v>30</v>
      </c>
      <c r="L21" s="4">
        <f>VLOOKUP($K$21,$E$26:F63,2,FALSE)</f>
        <v>187.20000000000002</v>
      </c>
      <c r="M21" s="4">
        <f>L21*$F$38</f>
        <v>374.40000000000003</v>
      </c>
      <c r="N21" s="13">
        <f ca="1">M21*$F$24</f>
        <v>584064</v>
      </c>
      <c r="V21" s="19"/>
    </row>
    <row r="22" spans="2:22" s="4" customFormat="1" x14ac:dyDescent="0.2">
      <c r="B22" s="14"/>
      <c r="C22" s="278">
        <f ca="1">SUM(C17:C21)</f>
        <v>1327833.7540000002</v>
      </c>
      <c r="E22" s="12" t="s">
        <v>31</v>
      </c>
      <c r="F22" s="214">
        <v>1300000</v>
      </c>
      <c r="G22" s="103"/>
      <c r="I22" s="12"/>
      <c r="J22" s="70" t="s">
        <v>32</v>
      </c>
      <c r="K22" s="4" t="s">
        <v>33</v>
      </c>
      <c r="L22" s="4">
        <f>VLOOKUP($K$22,$E$21:F60,2,FALSE)</f>
        <v>24.150000000000002</v>
      </c>
      <c r="M22" s="4">
        <f>L22*$F$51</f>
        <v>72.45</v>
      </c>
      <c r="N22" s="13">
        <f ca="1">M22*$F$24</f>
        <v>113022</v>
      </c>
      <c r="V22" s="20"/>
    </row>
    <row r="23" spans="2:22" s="4" customFormat="1" x14ac:dyDescent="0.2">
      <c r="E23" s="12" t="s">
        <v>34</v>
      </c>
      <c r="F23" s="214">
        <v>1500000</v>
      </c>
      <c r="G23" s="103"/>
      <c r="I23" s="71" t="s">
        <v>35</v>
      </c>
      <c r="J23" s="72"/>
      <c r="K23" s="72"/>
      <c r="L23" s="72"/>
      <c r="M23" s="72">
        <f>SUM(M19:M22)</f>
        <v>571.8900000000001</v>
      </c>
      <c r="N23" s="73">
        <f ca="1">SUM(N19:N22)</f>
        <v>892148.4</v>
      </c>
      <c r="V23" s="70"/>
    </row>
    <row r="24" spans="2:22" s="4" customFormat="1" x14ac:dyDescent="0.2">
      <c r="E24" s="14" t="s">
        <v>18</v>
      </c>
      <c r="F24" s="95" cm="1">
        <f t="array" aca="1" ref="F24" ca="1">INDIRECT("'Input_Q"&amp;B3&amp;"-Predict'!C36")</f>
        <v>1560</v>
      </c>
      <c r="G24" s="103" t="s">
        <v>36</v>
      </c>
      <c r="I24" s="14" t="s">
        <v>37</v>
      </c>
      <c r="J24" s="15"/>
      <c r="K24" s="15"/>
      <c r="L24" s="15"/>
      <c r="M24" s="15">
        <f>M23-M19</f>
        <v>535.8900000000001</v>
      </c>
      <c r="N24" s="16">
        <f ca="1">M24*F24</f>
        <v>835988.40000000014</v>
      </c>
    </row>
    <row r="25" spans="2:22" s="4" customFormat="1" x14ac:dyDescent="0.2">
      <c r="B25" s="71" t="s">
        <v>38</v>
      </c>
      <c r="C25" s="454" cm="1">
        <f t="array" aca="1" ref="C25" ca="1">IF(B5="Validation",'Q9-Predict'!C30/'Q9-Predict'!C29,INDIRECT("'Input_Q"&amp;B3&amp;"-Predict'!C34"))</f>
        <v>0.96</v>
      </c>
      <c r="E25" s="9" t="s">
        <v>21</v>
      </c>
      <c r="F25" s="10">
        <v>1</v>
      </c>
      <c r="G25" s="103" t="s">
        <v>39</v>
      </c>
    </row>
    <row r="26" spans="2:22" s="4" customFormat="1" x14ac:dyDescent="0.2">
      <c r="E26" s="12" t="s">
        <v>40</v>
      </c>
      <c r="F26" s="214">
        <v>20</v>
      </c>
      <c r="G26" s="103"/>
    </row>
    <row r="27" spans="2:22" s="4" customFormat="1" x14ac:dyDescent="0.2">
      <c r="B27" s="9" t="s">
        <v>41</v>
      </c>
      <c r="C27" s="289">
        <f>INDEX(Data_Stock!B2:N11,MATCH("Left Inventory",Data_Stock!B2:B11,0),MATCH(VALUE(B3-1),Data_Stock!B2:N2,0))</f>
        <v>541</v>
      </c>
      <c r="E27" s="14" t="s">
        <v>22</v>
      </c>
      <c r="F27" s="283">
        <v>36</v>
      </c>
      <c r="G27" s="98"/>
    </row>
    <row r="28" spans="2:22" s="4" customFormat="1" x14ac:dyDescent="0.2">
      <c r="B28" s="12" t="s">
        <v>42</v>
      </c>
      <c r="C28" s="290">
        <f>INDEX(Data_Stock!B2:N11,MATCH("Left",Data_Stock!B2:B11,0),MATCH(VALUE(B3-1),Data_Stock!B2:N2,0))</f>
        <v>1868</v>
      </c>
      <c r="E28" s="9" t="s">
        <v>25</v>
      </c>
      <c r="F28" s="11">
        <v>2</v>
      </c>
      <c r="G28" s="103" t="s">
        <v>39</v>
      </c>
      <c r="P28" s="214"/>
      <c r="V28" s="19"/>
    </row>
    <row r="29" spans="2:22" s="4" customFormat="1" x14ac:dyDescent="0.2">
      <c r="B29" s="12" t="s">
        <v>43</v>
      </c>
      <c r="C29" s="291" cm="1">
        <f t="array" aca="1" ref="C29" ca="1">INDIRECT("'Input_Q"&amp;B3&amp;"-Predict'!C33")</f>
        <v>1560</v>
      </c>
      <c r="E29" s="12" t="s">
        <v>44</v>
      </c>
      <c r="F29" s="13">
        <f>(1+F31)*F30</f>
        <v>43.2</v>
      </c>
      <c r="G29" s="103"/>
      <c r="V29" s="20"/>
    </row>
    <row r="30" spans="2:22" s="4" customFormat="1" x14ac:dyDescent="0.2">
      <c r="B30" s="12" t="str">
        <f>IF(B5="Validation","Actual Production","Predict Production")</f>
        <v>Predict Production</v>
      </c>
      <c r="C30" s="292">
        <f>INDEX(Data_Stock!B2:N11,MATCH("Produced",Data_Stock!B2:B11,0),MATCH(VALUE(B3),Data_Stock!B2:N2,0))</f>
        <v>1498</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 ca="1">F24</f>
        <v>1560</v>
      </c>
      <c r="E33" s="67" t="s">
        <v>45</v>
      </c>
      <c r="F33" s="13">
        <v>42</v>
      </c>
      <c r="G33" s="103"/>
    </row>
    <row r="34" spans="2:14" s="4" customFormat="1" x14ac:dyDescent="0.2">
      <c r="B34" s="12" t="s">
        <v>49</v>
      </c>
      <c r="C34" s="222">
        <f ca="1">IF(B5="Validation",INDEX(Data_Stock!B2:N11,MATCH("Left",Data_Stock!B2:B11,0),MATCH('Q9-Predict'!B3,Data_Stock!B2:N2,0)),C28+F24-C30)</f>
        <v>1930</v>
      </c>
      <c r="E34" s="67" t="s">
        <v>46</v>
      </c>
      <c r="F34" s="13">
        <v>0.06</v>
      </c>
      <c r="G34" s="103"/>
    </row>
    <row r="35" spans="2:14" s="4" customFormat="1" x14ac:dyDescent="0.2">
      <c r="B35" s="14" t="s">
        <v>50</v>
      </c>
      <c r="C35" s="288">
        <f ca="1">C34*M24</f>
        <v>1034267.7000000002</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 ca="1">SUMPRODUCT(F73:I73,F71:I71)</f>
        <v>3693065</v>
      </c>
    </row>
    <row r="69" spans="2:11" s="4" customFormat="1" x14ac:dyDescent="0.2">
      <c r="B69" s="12" t="s">
        <v>61</v>
      </c>
      <c r="C69" s="221">
        <f ca="1">J75</f>
        <v>427041.03</v>
      </c>
      <c r="E69" s="9" t="str">
        <f>IF(B5="Validation","Actual S.C.R","Predict S.C.R")</f>
        <v>Predict S.C.R</v>
      </c>
      <c r="F69" s="311" cm="1">
        <f t="array" aca="1" ref="F69" ca="1">IF($B$5="Validation",F73/F72,INDIRECT("'Input_Q"&amp;$B$3&amp;"-Predict'!D29"))</f>
        <v>0.65</v>
      </c>
      <c r="G69" s="311" cm="1">
        <f t="array" aca="1" ref="G69" ca="1">IF($B$5="Validation",G73/G72,INDIRECT("'Input_Q"&amp;$B$3&amp;"-Predict'!D30"))</f>
        <v>0.65</v>
      </c>
      <c r="H69" s="311" cm="1">
        <f t="array" aca="1" ref="H69" ca="1">IF($B$5="Validation",H73/H72,INDIRECT("'Input_Q"&amp;$B$3&amp;"-Predict'!D31"))</f>
        <v>0.65</v>
      </c>
      <c r="I69" s="311" cm="1">
        <f t="array" aca="1" ref="I69" ca="1">IF($B$5="Validation",I73/I72,INDIRECT("'Input_Q"&amp;$B$3&amp;"-Predict'!D32"))</f>
        <v>0.7</v>
      </c>
      <c r="J69" s="11"/>
    </row>
    <row r="70" spans="2:11" s="4" customFormat="1" x14ac:dyDescent="0.2">
      <c r="B70" s="12" t="s">
        <v>62</v>
      </c>
      <c r="C70" s="318">
        <f ca="1">C68*C74</f>
        <v>221583.9</v>
      </c>
      <c r="E70" s="297" t="s">
        <v>63</v>
      </c>
      <c r="F70" s="298">
        <v>1</v>
      </c>
      <c r="G70" s="298">
        <v>2</v>
      </c>
      <c r="H70" s="298">
        <v>3</v>
      </c>
      <c r="I70" s="299">
        <v>4</v>
      </c>
      <c r="J70" s="299" t="s">
        <v>64</v>
      </c>
    </row>
    <row r="71" spans="2:11" s="4" customFormat="1" x14ac:dyDescent="0.2">
      <c r="B71" s="14"/>
      <c r="C71" s="319">
        <f ca="1">SUM(C68:C70)</f>
        <v>4341689.9300000006</v>
      </c>
      <c r="E71" s="300" t="s">
        <v>65</v>
      </c>
      <c r="F71" s="358" cm="1">
        <f t="array" aca="1" ref="F71" ca="1">INDIRECT("'Input_Q"&amp;$B$3&amp;"-Predict'!C10")</f>
        <v>2799</v>
      </c>
      <c r="G71" s="358" cm="1">
        <f t="array" aca="1" ref="G71" ca="1">INDIRECT("'Input_Q"&amp;$B$3&amp;"-Predict'!C11")</f>
        <v>2599</v>
      </c>
      <c r="H71" s="358" cm="1">
        <f t="array" aca="1" ref="H71" ca="1">INDIRECT("'Input_Q"&amp;$B$3&amp;"-Predict'!C12")</f>
        <v>2799</v>
      </c>
      <c r="I71" s="358" cm="1">
        <f t="array" aca="1" ref="I71" ca="1">INDIRECT("'Input_Q"&amp;$B$3&amp;"-Predict'!C13")</f>
        <v>2799</v>
      </c>
      <c r="J71" s="301" t="s">
        <v>66</v>
      </c>
      <c r="K71" s="363"/>
    </row>
    <row r="72" spans="2:11" s="4" customFormat="1" x14ac:dyDescent="0.2">
      <c r="E72" s="300" t="s">
        <v>67</v>
      </c>
      <c r="F72" s="272" cm="1">
        <f t="array" aca="1" ref="F72" ca="1">INDIRECT("'Input_Q"&amp;$B$3&amp;"-Predict'!C24")</f>
        <v>594</v>
      </c>
      <c r="G72" s="272" cm="1">
        <f t="array" aca="1" ref="G72" ca="1">INDIRECT("'Input_Q"&amp;$B$3&amp;"-Predict'!C25")</f>
        <v>336</v>
      </c>
      <c r="H72" s="272" cm="1">
        <f t="array" aca="1" ref="H72" ca="1">INDIRECT("'Input_Q"&amp;$B$3&amp;"-Predict'!C26")</f>
        <v>59</v>
      </c>
      <c r="I72" s="272" cm="1">
        <f t="array" aca="1" ref="I72" ca="1">INDIRECT("'Input_Q"&amp;$B$3&amp;"-Predict'!C27")</f>
        <v>990</v>
      </c>
      <c r="J72" s="303">
        <f>Archived_Testing_Q5!B19</f>
        <v>1600</v>
      </c>
    </row>
    <row r="73" spans="2:11" s="4" customFormat="1" x14ac:dyDescent="0.2">
      <c r="D73" s="199"/>
      <c r="E73" s="300" t="str">
        <f>IF(B5="Validation","Actual Sale","Predict Sale")</f>
        <v>Predict Sale</v>
      </c>
      <c r="F73" s="353">
        <f ca="1">IF($E$73="Actual Sale",INDEX(Data_Sales!$B$3:$N$8,MATCH(F70,Data_Sales!$B$3:$B$8,0),MATCH($B$3,Data_Sales!$B$3:$N$3,0)),ROUNDDOWN(F69*F72,0))</f>
        <v>386</v>
      </c>
      <c r="G73" s="353">
        <f ca="1">IF($E$73="Actual Sale",INDEX(Data_Sales!$B$3:$N$8,MATCH(G70,Data_Sales!$B$3:$B$8,0),MATCH($B$3,Data_Sales!$B$3:$N$3,0)),ROUNDDOWN(G69*G72,0))</f>
        <v>218</v>
      </c>
      <c r="H73" s="353">
        <f ca="1">IF($E$73="Actual Sale",INDEX(Data_Sales!$B$3:$N$8,MATCH(H70,Data_Sales!$B$3:$B$8,0),MATCH($B$3,Data_Sales!$B$3:$N$3,0)),ROUNDDOWN(H69*H72,0))</f>
        <v>38</v>
      </c>
      <c r="I73" s="353">
        <f ca="1">IF($E$73="Actual Sale",INDEX(Data_Sales!$B$3:$N$8,MATCH(I70,Data_Sales!$B$3:$B$8,0),MATCH($B$3,Data_Sales!$B$3:$N$3,0)),ROUNDDOWN(I69*I72,0))</f>
        <v>693</v>
      </c>
      <c r="J73" s="383">
        <f ca="1">SUM(F73:I73)</f>
        <v>1335</v>
      </c>
    </row>
    <row r="74" spans="2:11" s="4" customFormat="1" x14ac:dyDescent="0.2">
      <c r="B74" s="9" t="s">
        <v>68</v>
      </c>
      <c r="C74" s="406" cm="1">
        <f t="array" aca="1" ref="C74" ca="1">INDIRECT("'Input_Q"&amp;B3&amp;"-Predict'!C39")</f>
        <v>0.06</v>
      </c>
      <c r="D74" s="199"/>
      <c r="E74" s="300" t="s">
        <v>69</v>
      </c>
      <c r="F74" s="256" cm="1">
        <f t="array" aca="1" ref="F74" ca="1">INDIRECT("'Input_Q"&amp;$B$3&amp;"-Predict'!C41")</f>
        <v>7</v>
      </c>
      <c r="G74" s="256" cm="1">
        <f t="array" aca="1" ref="G74" ca="1">INDIRECT("'Input_Q"&amp;$B$3&amp;"-Predict'!C42")</f>
        <v>10</v>
      </c>
      <c r="H74" s="256" cm="1">
        <f t="array" aca="1" ref="H74" ca="1">INDIRECT("'Input_Q"&amp;$B$3&amp;"-Predict'!C43")</f>
        <v>1</v>
      </c>
      <c r="I74" s="256" cm="1">
        <f t="array" aca="1" ref="I74" ca="1">INDIRECT("'Input_Q"&amp;$B$3&amp;"-Predict'!C44")</f>
        <v>8</v>
      </c>
      <c r="J74" s="301"/>
    </row>
    <row r="75" spans="2:11" s="4" customFormat="1" x14ac:dyDescent="0.2">
      <c r="B75" s="12" t="s">
        <v>70</v>
      </c>
      <c r="C75" s="221">
        <f>J72</f>
        <v>1600</v>
      </c>
      <c r="D75" s="357"/>
      <c r="E75" s="300" t="s">
        <v>71</v>
      </c>
      <c r="F75" s="312">
        <f ca="1">F72*F71*F74/100</f>
        <v>116382.42</v>
      </c>
      <c r="G75" s="312">
        <f ca="1">G72*G71*G74/100</f>
        <v>87326.399999999994</v>
      </c>
      <c r="H75" s="312">
        <f ca="1">H72*H71*H74/100</f>
        <v>1651.41</v>
      </c>
      <c r="I75" s="304">
        <f ca="1">I72*I71*I74/100</f>
        <v>221680.8</v>
      </c>
      <c r="J75" s="304">
        <f ca="1">SUM(F75:I75)</f>
        <v>427041.03</v>
      </c>
    </row>
    <row r="76" spans="2:11" s="4" customFormat="1" x14ac:dyDescent="0.2">
      <c r="B76" s="12" t="s">
        <v>72</v>
      </c>
      <c r="C76" s="221">
        <f ca="1">J73</f>
        <v>1335</v>
      </c>
      <c r="D76" s="199"/>
      <c r="E76" s="300" t="s">
        <v>73</v>
      </c>
      <c r="F76" s="256" cm="1">
        <f t="array" aca="1" ref="F76" ca="1">INDIRECT("'Input_Q"&amp;$B$3&amp;"-Predict'!C46")</f>
        <v>0</v>
      </c>
      <c r="G76" s="256" cm="1">
        <f t="array" aca="1" ref="G76" ca="1">INDIRECT("'Input_Q"&amp;$B$3&amp;"-Predict'!C47")</f>
        <v>0</v>
      </c>
      <c r="H76" s="256" cm="1">
        <f t="array" aca="1" ref="H76" ca="1">INDIRECT("'Input_Q"&amp;$B$3&amp;"-Predict'!C48")</f>
        <v>0</v>
      </c>
      <c r="I76" s="256" cm="1">
        <f t="array" aca="1" ref="I76" ca="1">INDIRECT("'Input_Q"&amp;$B$3&amp;"-Predict'!C49")</f>
        <v>0</v>
      </c>
      <c r="J76" s="301" t="s">
        <v>66</v>
      </c>
    </row>
    <row r="77" spans="2:11" s="4" customFormat="1" x14ac:dyDescent="0.2">
      <c r="B77" s="14" t="s">
        <v>74</v>
      </c>
      <c r="C77" s="319">
        <f ca="1">C75-C76</f>
        <v>265</v>
      </c>
      <c r="D77" s="199"/>
      <c r="E77" s="305" t="s">
        <v>75</v>
      </c>
      <c r="F77" s="306">
        <f ca="1">INDEX(Data_EmployeeNumber!$A$4:$E$16,MATCH('Q9-Predict'!$B$3-1,Data_EmployeeNumber!$A$4:$A$16,0),MATCH('Q9-Predict'!F70,Data_EmployeeNumber!$A$4:$E$4,0))+'Q9-Predict'!F76</f>
        <v>3</v>
      </c>
      <c r="G77" s="306">
        <f ca="1">INDEX(Data_EmployeeNumber!$A$4:$E$16,MATCH('Q9-Predict'!$B$3-1,Data_EmployeeNumber!$A$4:$A$16,0),MATCH('Q9-Predict'!G70,Data_EmployeeNumber!$A$4:$E$4,0))+'Q9-Predict'!G76</f>
        <v>3</v>
      </c>
      <c r="H77" s="306">
        <f ca="1">INDEX(Data_EmployeeNumber!$A$4:$E$16,MATCH('Q9-Predict'!$B$3-1,Data_EmployeeNumber!$A$4:$A$16,0),MATCH('Q9-Predict'!H70,Data_EmployeeNumber!$A$4:$E$4,0))+'Q9-Predict'!H76</f>
        <v>1</v>
      </c>
      <c r="I77" s="306">
        <f ca="1">INDEX(Data_EmployeeNumber!$A$4:$E$16,MATCH('Q9-Predict'!$B$3-1,Data_EmployeeNumber!$A$4:$A$16,0),MATCH('Q9-Predict'!I70,Data_EmployeeNumber!$A$4:$E$4,0))+'Q9-Predict'!I76</f>
        <v>4</v>
      </c>
      <c r="J77" s="307">
        <f ca="1">SUM(F77:I77)</f>
        <v>11</v>
      </c>
    </row>
    <row r="78" spans="2:11" s="4" customFormat="1" x14ac:dyDescent="0.2">
      <c r="E78" s="300" t="s">
        <v>76</v>
      </c>
      <c r="F78" s="296"/>
      <c r="G78" s="296"/>
      <c r="H78" s="296"/>
      <c r="I78" s="301"/>
      <c r="J78" s="455" t="s">
        <v>77</v>
      </c>
    </row>
    <row r="79" spans="2:11" s="4" customFormat="1" x14ac:dyDescent="0.2">
      <c r="E79" s="305" t="s">
        <v>78</v>
      </c>
      <c r="F79" s="308"/>
      <c r="G79" s="308"/>
      <c r="H79" s="308"/>
      <c r="I79" s="317"/>
      <c r="J79" s="456" t="s">
        <v>77</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 ca="1">I98</f>
        <v>304200</v>
      </c>
      <c r="D92" s="214"/>
      <c r="E92" s="71" t="s">
        <v>82</v>
      </c>
      <c r="F92" s="329" cm="1">
        <f t="array" aca="1" ref="F92" ca="1">INDIRECT("'Input_Q"&amp;$B$3&amp;"-Predict'!C50")</f>
        <v>5200</v>
      </c>
      <c r="H92" s="71" t="s">
        <v>82</v>
      </c>
      <c r="I92" s="72" t="s">
        <v>83</v>
      </c>
      <c r="J92" s="72" t="s">
        <v>84</v>
      </c>
      <c r="K92" s="72" t="s">
        <v>85</v>
      </c>
      <c r="L92" s="73" t="s">
        <v>86</v>
      </c>
    </row>
    <row r="93" spans="1:12" s="4" customFormat="1" x14ac:dyDescent="0.2">
      <c r="B93" s="12" t="s">
        <v>87</v>
      </c>
      <c r="C93" s="217">
        <f ca="1">K103</f>
        <v>70000</v>
      </c>
      <c r="D93" s="214"/>
      <c r="H93" s="12" t="s">
        <v>88</v>
      </c>
      <c r="I93" s="214">
        <f ca="1">$F$92*K93</f>
        <v>26000</v>
      </c>
      <c r="J93" s="4">
        <v>1</v>
      </c>
      <c r="K93" s="4">
        <v>5</v>
      </c>
      <c r="L93" s="13">
        <f>J93*K93</f>
        <v>5</v>
      </c>
    </row>
    <row r="94" spans="1:12" s="4" customFormat="1" x14ac:dyDescent="0.2">
      <c r="B94" s="12" t="s">
        <v>89</v>
      </c>
      <c r="C94" s="217">
        <f ca="1">K104</f>
        <v>18000</v>
      </c>
      <c r="D94" s="321"/>
      <c r="E94" s="71" t="s">
        <v>90</v>
      </c>
      <c r="F94" s="73"/>
      <c r="H94" s="12" t="s">
        <v>91</v>
      </c>
      <c r="I94" s="214">
        <f ca="1">$F$92*K94</f>
        <v>5200</v>
      </c>
      <c r="J94" s="4">
        <v>35</v>
      </c>
      <c r="K94" s="4">
        <v>1</v>
      </c>
      <c r="L94" s="13">
        <f>J94*K94</f>
        <v>35</v>
      </c>
    </row>
    <row r="95" spans="1:12" s="4" customFormat="1" x14ac:dyDescent="0.2">
      <c r="B95" s="12" t="s">
        <v>92</v>
      </c>
      <c r="C95" s="217">
        <f ca="1">K105</f>
        <v>47000</v>
      </c>
      <c r="E95" s="12" t="s">
        <v>93</v>
      </c>
      <c r="F95" s="327">
        <v>10000</v>
      </c>
      <c r="H95" s="12" t="s">
        <v>94</v>
      </c>
      <c r="I95" s="214">
        <f ca="1">$F$92*K95</f>
        <v>13000</v>
      </c>
      <c r="J95" s="4">
        <v>3</v>
      </c>
      <c r="K95" s="4">
        <v>2.5</v>
      </c>
      <c r="L95" s="13">
        <f>J95*K95</f>
        <v>7.5</v>
      </c>
    </row>
    <row r="96" spans="1:12" s="4" customFormat="1" x14ac:dyDescent="0.2">
      <c r="B96" s="71"/>
      <c r="C96" s="324">
        <f ca="1">SUM(C92:C95)</f>
        <v>439200</v>
      </c>
      <c r="E96" s="12" t="s">
        <v>95</v>
      </c>
      <c r="F96" s="194" cm="1">
        <f t="array" aca="1" ref="F96" ca="1">INDIRECT("'Input_Q"&amp;$B$3&amp;"-Predict'!C51")</f>
        <v>7</v>
      </c>
      <c r="H96" s="12" t="s">
        <v>96</v>
      </c>
      <c r="I96" s="214">
        <f ca="1">$F$92*K96</f>
        <v>5200</v>
      </c>
      <c r="J96" s="4">
        <f ca="1">J77</f>
        <v>11</v>
      </c>
      <c r="K96" s="4">
        <v>1</v>
      </c>
      <c r="L96" s="13">
        <f ca="1">J96*K96</f>
        <v>11</v>
      </c>
    </row>
    <row r="97" spans="1:12" s="4" customFormat="1" x14ac:dyDescent="0.2">
      <c r="E97" s="12" t="s">
        <v>97</v>
      </c>
      <c r="F97" s="217">
        <v>2000</v>
      </c>
      <c r="H97" s="12" t="s">
        <v>64</v>
      </c>
      <c r="I97" s="4" t="s">
        <v>66</v>
      </c>
      <c r="J97" s="4">
        <f ca="1">SUM(J93:J96)</f>
        <v>50</v>
      </c>
      <c r="K97" s="4" t="s">
        <v>66</v>
      </c>
      <c r="L97" s="13">
        <f ca="1">SUM(L93:L96)</f>
        <v>58.5</v>
      </c>
    </row>
    <row r="98" spans="1:12" s="4" customFormat="1" x14ac:dyDescent="0.2">
      <c r="B98" s="71" t="s">
        <v>98</v>
      </c>
      <c r="C98" s="73"/>
      <c r="E98" s="14" t="s">
        <v>95</v>
      </c>
      <c r="F98" s="76" cm="1">
        <f t="array" aca="1" ref="F98" ca="1">INDIRECT("'Input_Q"&amp;$B$3&amp;"-Predict'!C52")</f>
        <v>9</v>
      </c>
      <c r="H98" s="14" t="s">
        <v>99</v>
      </c>
      <c r="I98" s="322">
        <f ca="1">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 ca="1">F92</f>
        <v>5200</v>
      </c>
      <c r="J102" s="4">
        <f ca="1">L97</f>
        <v>58.5</v>
      </c>
      <c r="K102" s="217">
        <f ca="1">I102*J102</f>
        <v>304200</v>
      </c>
    </row>
    <row r="103" spans="1:12" s="4" customFormat="1" x14ac:dyDescent="0.2">
      <c r="E103" s="12" t="s">
        <v>106</v>
      </c>
      <c r="F103" s="217">
        <v>175</v>
      </c>
      <c r="H103" s="12" t="s">
        <v>93</v>
      </c>
      <c r="I103" s="214">
        <f>F95</f>
        <v>10000</v>
      </c>
      <c r="J103" s="4">
        <f ca="1">F96</f>
        <v>7</v>
      </c>
      <c r="K103" s="217">
        <f ca="1">F95*J103</f>
        <v>70000</v>
      </c>
    </row>
    <row r="104" spans="1:12" s="4" customFormat="1" ht="17" customHeight="1" x14ac:dyDescent="0.2">
      <c r="E104" s="12" t="s">
        <v>107</v>
      </c>
      <c r="F104" s="217">
        <v>400</v>
      </c>
      <c r="H104" s="12" t="s">
        <v>97</v>
      </c>
      <c r="I104" s="214">
        <f>F97</f>
        <v>2000</v>
      </c>
      <c r="J104" s="4">
        <f ca="1">F98</f>
        <v>9</v>
      </c>
      <c r="K104" s="217">
        <f ca="1">F97*J104</f>
        <v>18000</v>
      </c>
    </row>
    <row r="105" spans="1:12" s="4" customFormat="1" x14ac:dyDescent="0.2">
      <c r="E105" s="12" t="s">
        <v>108</v>
      </c>
      <c r="F105" s="217">
        <v>280</v>
      </c>
      <c r="H105" s="12" t="s">
        <v>109</v>
      </c>
      <c r="I105" s="214">
        <f>F102+F106+F107+F108</f>
        <v>940</v>
      </c>
      <c r="J105" s="4">
        <f ca="1">J97</f>
        <v>50</v>
      </c>
      <c r="K105" s="217">
        <f ca="1">I105*J105</f>
        <v>47000</v>
      </c>
    </row>
    <row r="106" spans="1:12" s="4" customFormat="1" x14ac:dyDescent="0.2">
      <c r="E106" s="325" t="s">
        <v>110</v>
      </c>
      <c r="F106" s="217">
        <v>350</v>
      </c>
      <c r="H106" s="14"/>
      <c r="I106" s="15"/>
      <c r="J106" s="15"/>
      <c r="K106" s="278">
        <f ca="1">SUM(K102:K105)</f>
        <v>439200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457" t="s">
        <v>114</v>
      </c>
      <c r="C113" s="458">
        <v>0</v>
      </c>
    </row>
    <row r="114" spans="1:22" s="4" customFormat="1" x14ac:dyDescent="0.2">
      <c r="B114" s="275" t="s">
        <v>115</v>
      </c>
      <c r="C114" s="459">
        <v>0</v>
      </c>
    </row>
    <row r="115" spans="1:22" s="4" customFormat="1" x14ac:dyDescent="0.2">
      <c r="B115" s="275" t="s">
        <v>116</v>
      </c>
      <c r="C115" s="459">
        <f>C113*C114</f>
        <v>0</v>
      </c>
    </row>
    <row r="116" spans="1:22" s="4" customFormat="1" x14ac:dyDescent="0.2">
      <c r="B116" s="14" t="s">
        <v>117</v>
      </c>
      <c r="C116" s="76" cm="1">
        <f t="array" aca="1" ref="C116" ca="1">INDIRECT("'Input_Q"&amp;$B$3&amp;"-Predict'!C53")</f>
        <v>80000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118</v>
      </c>
    </row>
    <row r="121" spans="1:22" s="4" customFormat="1" x14ac:dyDescent="0.2"/>
    <row r="122" spans="1:22" s="4" customFormat="1" x14ac:dyDescent="0.2">
      <c r="B122" s="4" t="s">
        <v>119</v>
      </c>
    </row>
    <row r="123" spans="1:22" s="4" customFormat="1" x14ac:dyDescent="0.2">
      <c r="B123" s="9" t="s">
        <v>60</v>
      </c>
      <c r="C123" s="334">
        <f ca="1">IFERROR(VLOOKUP(B123,$B$14:$C$121,2,FALSE),0)</f>
        <v>3693065</v>
      </c>
      <c r="D123" s="286"/>
      <c r="E123" s="286"/>
    </row>
    <row r="124" spans="1:22" s="4" customFormat="1" x14ac:dyDescent="0.2">
      <c r="B124" s="275" t="s">
        <v>120</v>
      </c>
      <c r="C124" s="366">
        <f ca="1">IF(D124="Match",(C74+0.125)*C123+J73*M23,E12)</f>
        <v>1446690.1750000003</v>
      </c>
      <c r="D124" s="302" t="s">
        <v>121</v>
      </c>
      <c r="E124" s="268">
        <v>996058.8</v>
      </c>
      <c r="F124" s="9" t="s">
        <v>400</v>
      </c>
      <c r="G124" s="9" t="s">
        <v>122</v>
      </c>
      <c r="H124" s="331"/>
      <c r="I124" s="10">
        <f ca="1">H124/$H$128</f>
        <v>0</v>
      </c>
      <c r="J124" s="11"/>
    </row>
    <row r="125" spans="1:22" s="4" customFormat="1" x14ac:dyDescent="0.2">
      <c r="B125" s="12" t="s">
        <v>123</v>
      </c>
      <c r="C125" s="336">
        <f ca="1">C123-C124</f>
        <v>2246374.8249999997</v>
      </c>
      <c r="E125" s="302"/>
      <c r="F125" s="12"/>
      <c r="G125" s="12" t="s">
        <v>124</v>
      </c>
      <c r="H125" s="279">
        <f ca="1">SUMIF(D127:D139,"FC",C127:C139)</f>
        <v>1919126.3840000001</v>
      </c>
      <c r="I125" s="4">
        <f ca="1">H125/$H$128</f>
        <v>1437.5478531835206</v>
      </c>
      <c r="J125" s="13"/>
    </row>
    <row r="126" spans="1:22" s="4" customFormat="1" x14ac:dyDescent="0.2">
      <c r="B126" s="12" t="s">
        <v>125</v>
      </c>
      <c r="C126" s="336"/>
      <c r="F126" s="12"/>
      <c r="G126" s="12" t="s">
        <v>120</v>
      </c>
      <c r="H126" s="279">
        <f ca="1">C124</f>
        <v>1446690.1750000003</v>
      </c>
      <c r="I126" s="4">
        <f ca="1">H126/$H$128</f>
        <v>1083.6630524344571</v>
      </c>
      <c r="J126" s="13"/>
    </row>
    <row r="127" spans="1:22" s="4" customFormat="1" x14ac:dyDescent="0.2">
      <c r="B127" s="12" t="s">
        <v>126</v>
      </c>
      <c r="C127" s="336">
        <f ca="1">IF(B7="Overtime",560000,280000)</f>
        <v>560000</v>
      </c>
      <c r="D127" s="4" t="s">
        <v>124</v>
      </c>
      <c r="F127" s="12"/>
      <c r="G127" s="12" t="s">
        <v>127</v>
      </c>
      <c r="H127" s="279">
        <f ca="1">SUM(H124:H126)</f>
        <v>3365816.5590000004</v>
      </c>
      <c r="J127" s="13"/>
    </row>
    <row r="128" spans="1:22" s="4" customFormat="1" x14ac:dyDescent="0.2">
      <c r="B128" s="12" t="s">
        <v>81</v>
      </c>
      <c r="C128" s="336">
        <f ca="1">IF(B7="Overtime",VALUE(IFERROR(VLOOKUP(B128,$B$14:$C$121,2,FALSE),0))*2,VALUE(IFERROR(VLOOKUP(B128,$B$14:$C$121,2,FALSE),0)))</f>
        <v>608400</v>
      </c>
      <c r="D128" s="4" t="s">
        <v>124</v>
      </c>
      <c r="F128" s="12"/>
      <c r="G128" s="12" t="s">
        <v>128</v>
      </c>
      <c r="H128" s="302">
        <f ca="1">C76</f>
        <v>1335</v>
      </c>
      <c r="J128" s="13"/>
    </row>
    <row r="129" spans="2:10" s="4" customFormat="1" x14ac:dyDescent="0.2">
      <c r="B129" s="12" t="s">
        <v>87</v>
      </c>
      <c r="C129" s="336">
        <f t="shared" ref="C129:C136" ca="1" si="0">IFERROR(VLOOKUP(B129,$B$14:$C$121,2,FALSE),0)</f>
        <v>70000</v>
      </c>
      <c r="D129" s="4" t="s">
        <v>124</v>
      </c>
      <c r="F129" s="12"/>
      <c r="G129" s="12" t="s">
        <v>129</v>
      </c>
      <c r="H129" s="339">
        <f ca="1">H127/H128</f>
        <v>2521.2109056179779</v>
      </c>
      <c r="J129" s="13"/>
    </row>
    <row r="130" spans="2:10" s="4" customFormat="1" x14ac:dyDescent="0.2">
      <c r="B130" s="12" t="s">
        <v>92</v>
      </c>
      <c r="C130" s="336">
        <f t="shared" ca="1" si="0"/>
        <v>47000</v>
      </c>
      <c r="D130" s="4" t="s">
        <v>122</v>
      </c>
      <c r="F130" s="12"/>
      <c r="G130" s="12"/>
      <c r="J130" s="13"/>
    </row>
    <row r="131" spans="2:10" s="4" customFormat="1" x14ac:dyDescent="0.2">
      <c r="B131" s="12" t="s">
        <v>89</v>
      </c>
      <c r="C131" s="336">
        <f t="shared" ca="1" si="0"/>
        <v>18000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 ca="1">$H$129*(1+H131)</f>
        <v>2773.3319961797761</v>
      </c>
      <c r="I132" s="333">
        <f ca="1">$H$129*(1+I131)</f>
        <v>3025.4530867415733</v>
      </c>
      <c r="J132" s="341">
        <f ca="1">$H$129*(1+J131)</f>
        <v>3277.5741773033715</v>
      </c>
    </row>
    <row r="133" spans="2:10" s="4" customFormat="1" x14ac:dyDescent="0.2">
      <c r="B133" s="12" t="s">
        <v>11</v>
      </c>
      <c r="C133" s="336">
        <f t="shared" ca="1" si="0"/>
        <v>135000</v>
      </c>
      <c r="D133" s="4" t="s">
        <v>124</v>
      </c>
      <c r="F133" s="12"/>
      <c r="G133" s="4" t="s">
        <v>133</v>
      </c>
      <c r="H133" s="302">
        <f ca="1">H132-$H$129</f>
        <v>252.12109056179816</v>
      </c>
      <c r="I133" s="302">
        <f ca="1">I132-$H$129</f>
        <v>504.2421811235954</v>
      </c>
      <c r="J133" s="318">
        <f ca="1">J132-$H$129</f>
        <v>756.36327168539356</v>
      </c>
    </row>
    <row r="134" spans="2:10" s="4" customFormat="1" x14ac:dyDescent="0.2">
      <c r="B134" s="12" t="s">
        <v>61</v>
      </c>
      <c r="C134" s="336">
        <f t="shared" ca="1" si="0"/>
        <v>427041.03</v>
      </c>
      <c r="D134" s="4" t="s">
        <v>124</v>
      </c>
      <c r="F134" s="12" t="s">
        <v>401</v>
      </c>
      <c r="G134" s="4" t="s">
        <v>134</v>
      </c>
      <c r="H134" s="355">
        <f ca="1">H133/H132</f>
        <v>9.0909090909091023E-2</v>
      </c>
      <c r="I134" s="355">
        <f ca="1">I133/I132</f>
        <v>0.16666666666666663</v>
      </c>
      <c r="J134" s="326">
        <f ca="1">J133/J132</f>
        <v>0.23076923076923081</v>
      </c>
    </row>
    <row r="135" spans="2:10" s="4" customFormat="1" x14ac:dyDescent="0.2">
      <c r="B135" s="12" t="s">
        <v>23</v>
      </c>
      <c r="C135" s="336">
        <f ca="1">IFERROR(VLOOKUP(B135,$B$14:$C$121,2,FALSE),0)</f>
        <v>20685.354000000003</v>
      </c>
      <c r="D135" s="4" t="s">
        <v>124</v>
      </c>
      <c r="F135" s="12" t="s">
        <v>402</v>
      </c>
      <c r="G135" s="4" t="s">
        <v>135</v>
      </c>
      <c r="H135" s="279">
        <f ca="1">$H$125/H134</f>
        <v>21110390.223999973</v>
      </c>
      <c r="I135" s="279">
        <f ca="1">$H$125/I134</f>
        <v>11514758.304000003</v>
      </c>
      <c r="J135" s="281">
        <f ca="1">$H$125/J134</f>
        <v>8316214.3306666659</v>
      </c>
    </row>
    <row r="136" spans="2:10" s="4" customFormat="1" x14ac:dyDescent="0.2">
      <c r="B136" s="12" t="s">
        <v>117</v>
      </c>
      <c r="C136" s="336">
        <f t="shared" ca="1" si="0"/>
        <v>80000</v>
      </c>
      <c r="D136" s="4" t="s">
        <v>124</v>
      </c>
      <c r="F136" s="14"/>
      <c r="G136" s="15" t="s">
        <v>136</v>
      </c>
      <c r="H136" s="15">
        <f ca="1">H135/H132</f>
        <v>7611.9232219868463</v>
      </c>
      <c r="I136" s="15">
        <f ca="1">I135/I132</f>
        <v>3805.96161099343</v>
      </c>
      <c r="J136" s="16">
        <f ca="1">J135/J132</f>
        <v>2537.3077406622851</v>
      </c>
    </row>
    <row r="137" spans="2:10" s="4" customFormat="1" x14ac:dyDescent="0.2">
      <c r="B137" s="275" t="s">
        <v>137</v>
      </c>
      <c r="C137" s="335" cm="1">
        <f t="array" aca="1" ref="C137" ca="1">IF(B5="Validation",E137,SUMPRODUCT(F80:I80*F73:I73))</f>
        <v>56365.18</v>
      </c>
      <c r="D137" s="380" t="s">
        <v>138</v>
      </c>
      <c r="E137" s="4">
        <f>INDEX(Data_Sales!B3:N8,MATCH("Freight Cost",Data_Sales!B3:B8,0),MATCH('Q9-Predict'!B3,Data_Sales!B3:N3,0))</f>
        <v>63022</v>
      </c>
    </row>
    <row r="138" spans="2:10" s="4" customFormat="1" x14ac:dyDescent="0.2">
      <c r="B138" s="12" t="s">
        <v>139</v>
      </c>
      <c r="C138" s="336">
        <f>IFERROR(VLOOKUP(B138,$B$14:$C$121,2,FALSE),0)</f>
        <v>0</v>
      </c>
    </row>
    <row r="139" spans="2:10" s="4" customFormat="1" x14ac:dyDescent="0.2">
      <c r="B139" s="365" t="s">
        <v>140</v>
      </c>
      <c r="C139" s="366" cm="1">
        <f t="array" aca="1" ref="C139" ca="1">INDIRECT("'Input_Q"&amp;$B$3&amp;"-Predict'!C18")</f>
        <v>0</v>
      </c>
    </row>
    <row r="140" spans="2:10" s="4" customFormat="1" x14ac:dyDescent="0.2">
      <c r="B140" s="12" t="s">
        <v>141</v>
      </c>
      <c r="C140" s="336">
        <f>IFERROR(VLOOKUP(B140,$B$14:$C$121,2,FALSE),0)</f>
        <v>0</v>
      </c>
      <c r="G140" s="4">
        <v>1300000</v>
      </c>
    </row>
    <row r="141" spans="2:10" s="4" customFormat="1" x14ac:dyDescent="0.2">
      <c r="B141" s="12" t="s">
        <v>142</v>
      </c>
      <c r="C141" s="336">
        <f>IFERROR(VLOOKUP(B141,$B$14:$C$121,2,FALSE),0)</f>
        <v>0</v>
      </c>
    </row>
    <row r="142" spans="2:10" s="4" customFormat="1" x14ac:dyDescent="0.2">
      <c r="B142" s="12" t="s">
        <v>143</v>
      </c>
      <c r="C142" s="336">
        <f ca="1">SUM(C127:C141)</f>
        <v>2022491.564</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 ca="1">C125-C142</f>
        <v>223883.26099999971</v>
      </c>
    </row>
    <row r="148" spans="2:5" s="4" customFormat="1" x14ac:dyDescent="0.2">
      <c r="B148" s="12" t="s">
        <v>147</v>
      </c>
      <c r="C148" s="13">
        <f ca="1">IF(C147&gt;0,C147*0.15,0)</f>
        <v>33582.489149999958</v>
      </c>
    </row>
    <row r="149" spans="2:5" s="4" customFormat="1" x14ac:dyDescent="0.2">
      <c r="B149" s="12" t="s">
        <v>148</v>
      </c>
      <c r="C149" s="336">
        <f ca="1">C147-C148</f>
        <v>190300.77184999976</v>
      </c>
    </row>
    <row r="150" spans="2:5" s="4" customFormat="1" x14ac:dyDescent="0.2">
      <c r="B150" s="12" t="s">
        <v>119</v>
      </c>
      <c r="C150" s="13"/>
    </row>
    <row r="151" spans="2:5" s="4" customFormat="1" x14ac:dyDescent="0.2">
      <c r="B151" s="12" t="s">
        <v>149</v>
      </c>
      <c r="C151" s="368">
        <f ca="1">INDEX(Data_IncomeStatement!A1:M33,MATCH("PROFIT AND LOSS STATEMENT RESULTS",Data_IncomeStatement!A1:A33,0),MATCH(VALUE(B3-1),Data_IncomeStatement!A1:M1,0))</f>
        <v>-356371.09855999995</v>
      </c>
    </row>
    <row r="152" spans="2:5" s="4" customFormat="1" x14ac:dyDescent="0.2">
      <c r="B152" s="12" t="s">
        <v>148</v>
      </c>
      <c r="C152" s="336">
        <f ca="1">C149</f>
        <v>190300.77184999976</v>
      </c>
    </row>
    <row r="153" spans="2:5" s="4" customFormat="1" x14ac:dyDescent="0.2">
      <c r="B153" s="12" t="s">
        <v>150</v>
      </c>
      <c r="C153" s="13">
        <v>0</v>
      </c>
    </row>
    <row r="154" spans="2:5" s="4" customFormat="1" x14ac:dyDescent="0.2">
      <c r="B154" s="14" t="s">
        <v>151</v>
      </c>
      <c r="C154" s="337">
        <f ca="1">C152+C151</f>
        <v>-166070.3267100002</v>
      </c>
    </row>
    <row r="155" spans="2:5" s="4" customFormat="1" x14ac:dyDescent="0.2"/>
    <row r="156" spans="2:5" s="4" customFormat="1" x14ac:dyDescent="0.2">
      <c r="C156" s="330"/>
      <c r="D156" s="214"/>
      <c r="E156" s="279"/>
    </row>
    <row r="157" spans="2:5" s="4" customFormat="1" x14ac:dyDescent="0.2">
      <c r="B157" s="9" t="str">
        <f>B5</f>
        <v>Prediction</v>
      </c>
      <c r="C157" s="11"/>
    </row>
    <row r="158" spans="2:5" s="4" customFormat="1" x14ac:dyDescent="0.2">
      <c r="B158" s="63" t="s">
        <v>152</v>
      </c>
      <c r="C158" s="64"/>
    </row>
    <row r="159" spans="2:5" s="4" customFormat="1" x14ac:dyDescent="0.2">
      <c r="B159" s="12" t="s">
        <v>153</v>
      </c>
      <c r="C159" s="336">
        <f ca="1">C142</f>
        <v>2022491.564</v>
      </c>
    </row>
    <row r="160" spans="2:5" s="4" customFormat="1" x14ac:dyDescent="0.2">
      <c r="B160" s="12" t="s">
        <v>154</v>
      </c>
      <c r="C160" s="13">
        <f ca="1">C124</f>
        <v>1446690.1750000003</v>
      </c>
    </row>
    <row r="161" spans="2:3" s="4" customFormat="1" x14ac:dyDescent="0.2">
      <c r="B161" s="12" t="s">
        <v>155</v>
      </c>
      <c r="C161" s="13">
        <f ca="1">C123</f>
        <v>3693065</v>
      </c>
    </row>
    <row r="162" spans="2:3" s="4" customFormat="1" x14ac:dyDescent="0.2">
      <c r="B162" s="12" t="s">
        <v>156</v>
      </c>
      <c r="C162" s="13">
        <f ca="1">C159/(1-C160/C161)</f>
        <v>3324998.4484684835</v>
      </c>
    </row>
    <row r="163" spans="2:3" s="4" customFormat="1" x14ac:dyDescent="0.2">
      <c r="B163" s="12"/>
      <c r="C163" s="13"/>
    </row>
    <row r="164" spans="2:3" s="4" customFormat="1" x14ac:dyDescent="0.2">
      <c r="B164" s="12" t="s">
        <v>157</v>
      </c>
      <c r="C164" s="13">
        <f ca="1">J73</f>
        <v>1335</v>
      </c>
    </row>
    <row r="165" spans="2:3" s="4" customFormat="1" x14ac:dyDescent="0.2">
      <c r="B165" s="14" t="s">
        <v>158</v>
      </c>
      <c r="C165" s="16">
        <f ca="1">ROUNDUP(C162/(C161/C164),0)</f>
        <v>1202</v>
      </c>
    </row>
    <row r="166" spans="2:3" s="4" customFormat="1" x14ac:dyDescent="0.2"/>
    <row r="167" spans="2:3" s="4" customFormat="1" x14ac:dyDescent="0.2"/>
    <row r="168" spans="2:3" s="4" customFormat="1" x14ac:dyDescent="0.2"/>
    <row r="169" spans="2:3" s="4" customFormat="1" x14ac:dyDescent="0.2"/>
    <row r="170" spans="2:3" s="4" customFormat="1" x14ac:dyDescent="0.2"/>
    <row r="171" spans="2:3" s="4" customFormat="1" x14ac:dyDescent="0.2"/>
    <row r="172" spans="2:3" s="4" customFormat="1" x14ac:dyDescent="0.2"/>
    <row r="173" spans="2:3" s="4" customFormat="1" x14ac:dyDescent="0.2"/>
    <row r="174" spans="2:3"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6A4A199D-AF98-214B-B390-C9F0DDC9A92C}">
          <x14:formula1>
            <xm:f>Reference!$A$31:$A$32</xm:f>
          </x14:formula1>
          <xm:sqref>B7</xm:sqref>
        </x14:dataValidation>
        <x14:dataValidation type="list" allowBlank="1" showInputMessage="1" showErrorMessage="1" xr:uid="{0ADCE5CB-B833-E74D-B688-4022FF7FB8A3}">
          <x14:formula1>
            <xm:f>Reference!$B$1:$B$4</xm:f>
          </x14:formula1>
          <xm:sqref>W21 W28 K20</xm:sqref>
        </x14:dataValidation>
        <x14:dataValidation type="list" allowBlank="1" showInputMessage="1" showErrorMessage="1" xr:uid="{D88EB264-C2ED-5B43-9EDE-063BD9AB204A}">
          <x14:formula1>
            <xm:f>Reference!$D$1:$D$4</xm:f>
          </x14:formula1>
          <xm:sqref>W23 W30 K22</xm:sqref>
        </x14:dataValidation>
        <x14:dataValidation type="list" allowBlank="1" showInputMessage="1" showErrorMessage="1" xr:uid="{2D6D8CE7-4ECE-C545-B5AC-A598F91FDE96}">
          <x14:formula1>
            <xm:f>Reference!$A$1:$A$3</xm:f>
          </x14:formula1>
          <xm:sqref>W20 W27 K19</xm:sqref>
        </x14:dataValidation>
        <x14:dataValidation type="list" allowBlank="1" showInputMessage="1" showErrorMessage="1" xr:uid="{088934CF-7A93-3E40-91B4-1C672DDF173F}">
          <x14:formula1>
            <xm:f>Reference!$C$1:$C$5</xm:f>
          </x14:formula1>
          <xm:sqref>W22 W29 K21</xm:sqref>
        </x14:dataValidation>
        <x14:dataValidation type="list" allowBlank="1" showInputMessage="1" showErrorMessage="1" xr:uid="{BD0B97BE-2FF1-C942-845D-2C569839D0AC}">
          <x14:formula1>
            <xm:f>Reference!$A$6:$A$8</xm:f>
          </x14:formula1>
          <xm:sqref>B5</xm:sqref>
        </x14:dataValidation>
        <x14:dataValidation type="list" allowBlank="1" showInputMessage="1" showErrorMessage="1" xr:uid="{8378E4C0-A112-4644-AF14-2982C3A810D6}">
          <x14:formula1>
            <xm:f>Reference!$A$10:$A$12</xm:f>
          </x14:formula1>
          <xm:sqref>D124</xm:sqref>
        </x14:dataValidation>
        <x14:dataValidation type="list" allowBlank="1" showInputMessage="1" showErrorMessage="1" xr:uid="{909D4215-5DBA-C94B-9AD9-4CFC6CC57FBE}">
          <x14:formula1>
            <xm:f>Reference!$A$14:$A$26</xm:f>
          </x14:formula1>
          <xm:sqref>B3</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E8671-FAB1-CB4A-8F35-977839666CD7}">
  <sheetPr>
    <tabColor theme="2" tint="-9.9978637043366805E-2"/>
  </sheetPr>
  <dimension ref="A1:V174"/>
  <sheetViews>
    <sheetView topLeftCell="A57" zoomScale="86" zoomScaleNormal="120" workbookViewId="0">
      <selection activeCell="D124" sqref="D124"/>
    </sheetView>
  </sheetViews>
  <sheetFormatPr baseColWidth="10" defaultColWidth="11" defaultRowHeight="16" x14ac:dyDescent="0.2"/>
  <cols>
    <col min="1" max="1" width="5.6640625" style="4" customWidth="1"/>
    <col min="2" max="2" width="33.33203125" bestFit="1" customWidth="1"/>
    <col min="3" max="3" width="14" bestFit="1" customWidth="1"/>
    <col min="4" max="4" width="17.83203125" bestFit="1" customWidth="1"/>
    <col min="5" max="5" width="19.5" customWidth="1"/>
    <col min="6" max="6" width="33.1640625" bestFit="1" customWidth="1"/>
    <col min="7" max="7" width="18.332031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178" t="s">
        <v>0</v>
      </c>
      <c r="C2" s="4"/>
      <c r="D2" s="4"/>
      <c r="E2" s="4"/>
      <c r="F2" s="4"/>
      <c r="G2" s="4"/>
      <c r="H2" s="4"/>
      <c r="I2" s="4"/>
      <c r="J2" s="4"/>
      <c r="K2" s="4"/>
      <c r="L2" s="4"/>
      <c r="M2" s="4"/>
      <c r="N2" s="4"/>
      <c r="O2" s="4"/>
      <c r="P2" s="4"/>
      <c r="Q2" s="4"/>
      <c r="R2" s="4"/>
      <c r="S2" s="4"/>
      <c r="T2" s="4"/>
      <c r="U2" s="4"/>
      <c r="V2" s="4"/>
    </row>
    <row r="3" spans="1:22" x14ac:dyDescent="0.2">
      <c r="B3" s="460">
        <v>8</v>
      </c>
      <c r="C3" s="4"/>
      <c r="D3" s="4"/>
      <c r="E3" s="4"/>
      <c r="F3" s="4"/>
      <c r="G3" s="4"/>
      <c r="H3" s="4"/>
      <c r="I3" s="4"/>
      <c r="J3" s="4"/>
      <c r="K3" s="4"/>
      <c r="L3" s="4"/>
      <c r="M3" s="4"/>
      <c r="N3" s="4"/>
      <c r="O3" s="4"/>
      <c r="P3" s="4"/>
      <c r="Q3" s="4"/>
      <c r="R3" s="4"/>
      <c r="S3" s="4"/>
      <c r="T3" s="4"/>
      <c r="U3" s="4"/>
      <c r="V3" s="4"/>
    </row>
    <row r="4" spans="1:22" s="4" customFormat="1" x14ac:dyDescent="0.2">
      <c r="B4" s="178" t="s">
        <v>1</v>
      </c>
    </row>
    <row r="5" spans="1:22" s="4" customFormat="1" x14ac:dyDescent="0.2">
      <c r="B5" s="460" t="s">
        <v>2</v>
      </c>
    </row>
    <row r="6" spans="1:22" s="4" customFormat="1" x14ac:dyDescent="0.2">
      <c r="B6" s="178" t="s">
        <v>3</v>
      </c>
    </row>
    <row r="7" spans="1:22" s="4" customFormat="1" x14ac:dyDescent="0.2">
      <c r="B7" s="461" t="s">
        <v>169</v>
      </c>
    </row>
    <row r="8" spans="1:22" s="4" customFormat="1" x14ac:dyDescent="0.2"/>
    <row r="9" spans="1:22" s="4" customFormat="1" x14ac:dyDescent="0.2">
      <c r="B9" s="99" t="s">
        <v>4</v>
      </c>
    </row>
    <row r="10" spans="1:22" x14ac:dyDescent="0.2">
      <c r="B10" s="69" t="s">
        <v>5</v>
      </c>
      <c r="C10" s="4"/>
      <c r="D10" s="4"/>
      <c r="E10" s="4"/>
      <c r="F10" s="4"/>
      <c r="G10" s="4"/>
      <c r="H10" s="4"/>
      <c r="I10" s="4"/>
      <c r="J10" s="4"/>
      <c r="K10" s="4"/>
      <c r="L10" s="4"/>
      <c r="M10" s="4"/>
      <c r="N10" s="4"/>
      <c r="O10" s="4"/>
      <c r="P10" s="4"/>
      <c r="Q10" s="4"/>
      <c r="R10" s="4"/>
      <c r="S10" s="4"/>
      <c r="T10" s="4"/>
      <c r="U10" s="4"/>
      <c r="V10" s="4"/>
    </row>
    <row r="11" spans="1:22" x14ac:dyDescent="0.2">
      <c r="B11" s="268" t="s">
        <v>6</v>
      </c>
      <c r="C11" s="4"/>
      <c r="D11" s="4"/>
      <c r="E11" s="4"/>
      <c r="F11" s="4"/>
      <c r="G11" s="4"/>
      <c r="H11" s="4"/>
      <c r="I11" s="4"/>
      <c r="J11" s="4"/>
      <c r="K11" s="4"/>
      <c r="L11" s="4"/>
      <c r="M11" s="4"/>
      <c r="N11" s="4"/>
      <c r="O11" s="4"/>
      <c r="P11" s="4"/>
      <c r="Q11" s="4"/>
      <c r="R11" s="4"/>
      <c r="S11" s="4"/>
      <c r="T11" s="4"/>
      <c r="U11" s="4"/>
      <c r="V11" s="4"/>
    </row>
    <row r="12" spans="1:22" x14ac:dyDescent="0.2">
      <c r="B12" s="4"/>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 ca="1">F19*F20</f>
        <v>135000</v>
      </c>
      <c r="E18" s="576" t="s">
        <v>12</v>
      </c>
      <c r="F18" s="577"/>
      <c r="G18" s="578"/>
      <c r="I18" s="71" t="s">
        <v>13</v>
      </c>
      <c r="J18" s="72"/>
      <c r="K18" s="72" t="s">
        <v>14</v>
      </c>
      <c r="L18" s="72" t="s">
        <v>15</v>
      </c>
      <c r="M18" s="72" t="s">
        <v>16</v>
      </c>
      <c r="N18" s="73" t="s">
        <v>17</v>
      </c>
    </row>
    <row r="19" spans="2:22" s="4" customFormat="1" x14ac:dyDescent="0.2">
      <c r="B19" s="12" t="s">
        <v>18</v>
      </c>
      <c r="C19" s="217">
        <f ca="1">N23</f>
        <v>857835</v>
      </c>
      <c r="E19" s="284" t="s">
        <v>19</v>
      </c>
      <c r="F19" s="285">
        <v>15000</v>
      </c>
      <c r="G19" s="11" t="s">
        <v>20</v>
      </c>
      <c r="I19" s="12"/>
      <c r="J19" s="4" t="s">
        <v>21</v>
      </c>
      <c r="K19" s="4" t="s">
        <v>22</v>
      </c>
      <c r="L19" s="4">
        <f>VLOOKUP($K$19,$E$24:F59,2,FALSE)</f>
        <v>36</v>
      </c>
      <c r="M19" s="4">
        <f>L19*$F$25</f>
        <v>36</v>
      </c>
      <c r="N19" s="13">
        <f ca="1">M19*$F$24</f>
        <v>54000</v>
      </c>
    </row>
    <row r="20" spans="2:22" s="4" customFormat="1" x14ac:dyDescent="0.2">
      <c r="B20" s="12" t="s">
        <v>23</v>
      </c>
      <c r="C20" s="281">
        <f>C34*0.02*M24</f>
        <v>20020.850400000003</v>
      </c>
      <c r="E20" s="68"/>
      <c r="F20" s="76" cm="1">
        <f t="array" aca="1" ref="F20" ca="1">INDIRECT("'Input_Q"&amp;B3&amp;"-Predict'!C38")</f>
        <v>9</v>
      </c>
      <c r="G20" s="16"/>
      <c r="I20" s="12" t="s">
        <v>24</v>
      </c>
      <c r="J20" s="19" t="s">
        <v>25</v>
      </c>
      <c r="K20" s="4" t="s">
        <v>26</v>
      </c>
      <c r="L20" s="4">
        <f>VLOOKUP($K$20,$E$25:F60,2,FALSE)</f>
        <v>44.52</v>
      </c>
      <c r="M20" s="4">
        <f>L20*$F$28</f>
        <v>89.04</v>
      </c>
      <c r="N20" s="13">
        <f ca="1">M20*$F$24</f>
        <v>133560</v>
      </c>
    </row>
    <row r="21" spans="2:22" s="4" customFormat="1" x14ac:dyDescent="0.2">
      <c r="B21" s="14" t="s">
        <v>27</v>
      </c>
      <c r="C21" s="453">
        <v>280000</v>
      </c>
      <c r="E21" s="12" t="s">
        <v>28</v>
      </c>
      <c r="G21" s="103"/>
      <c r="I21" s="12"/>
      <c r="J21" s="20" t="s">
        <v>29</v>
      </c>
      <c r="K21" s="4" t="s">
        <v>30</v>
      </c>
      <c r="L21" s="4">
        <f>VLOOKUP($K$21,$E$26:F63,2,FALSE)</f>
        <v>187.20000000000002</v>
      </c>
      <c r="M21" s="4">
        <f>L21*$F$38</f>
        <v>374.40000000000003</v>
      </c>
      <c r="N21" s="13">
        <f ca="1">M21*$F$24</f>
        <v>561600</v>
      </c>
      <c r="V21" s="19"/>
    </row>
    <row r="22" spans="2:22" s="4" customFormat="1" x14ac:dyDescent="0.2">
      <c r="B22" s="14"/>
      <c r="C22" s="278">
        <f ca="1">SUM(C17:C21)</f>
        <v>1292855.8503999999</v>
      </c>
      <c r="E22" s="12" t="s">
        <v>31</v>
      </c>
      <c r="F22" s="214">
        <v>1300000</v>
      </c>
      <c r="G22" s="103"/>
      <c r="I22" s="12"/>
      <c r="J22" s="70" t="s">
        <v>32</v>
      </c>
      <c r="K22" s="4" t="s">
        <v>33</v>
      </c>
      <c r="L22" s="4">
        <f>VLOOKUP($K$22,$E$21:F60,2,FALSE)</f>
        <v>24.150000000000002</v>
      </c>
      <c r="M22" s="4">
        <f>L22*$F$51</f>
        <v>72.45</v>
      </c>
      <c r="N22" s="13">
        <f ca="1">M22*$F$24</f>
        <v>108675</v>
      </c>
      <c r="V22" s="20"/>
    </row>
    <row r="23" spans="2:22" s="4" customFormat="1" x14ac:dyDescent="0.2">
      <c r="E23" s="12" t="s">
        <v>34</v>
      </c>
      <c r="F23" s="214">
        <v>1500000</v>
      </c>
      <c r="G23" s="103"/>
      <c r="I23" s="71" t="s">
        <v>35</v>
      </c>
      <c r="J23" s="72"/>
      <c r="K23" s="72"/>
      <c r="L23" s="72"/>
      <c r="M23" s="72">
        <f>SUM(M19:M22)</f>
        <v>571.8900000000001</v>
      </c>
      <c r="N23" s="73">
        <f ca="1">SUM(N19:N22)</f>
        <v>857835</v>
      </c>
      <c r="V23" s="70"/>
    </row>
    <row r="24" spans="2:22" s="4" customFormat="1" x14ac:dyDescent="0.2">
      <c r="E24" s="14" t="s">
        <v>18</v>
      </c>
      <c r="F24" s="95" cm="1">
        <f t="array" aca="1" ref="F24" ca="1">INDIRECT("'Input_Q"&amp;B3&amp;"-Predict'!C36")</f>
        <v>1500</v>
      </c>
      <c r="G24" s="103" t="s">
        <v>36</v>
      </c>
      <c r="I24" s="14" t="s">
        <v>37</v>
      </c>
      <c r="J24" s="15"/>
      <c r="K24" s="15"/>
      <c r="L24" s="15"/>
      <c r="M24" s="15">
        <f>M23-M19</f>
        <v>535.8900000000001</v>
      </c>
      <c r="N24" s="16">
        <f ca="1">M24*F24</f>
        <v>803835.00000000012</v>
      </c>
    </row>
    <row r="25" spans="2:22" s="4" customFormat="1" x14ac:dyDescent="0.2">
      <c r="B25" s="71" t="s">
        <v>38</v>
      </c>
      <c r="C25" s="454" cm="1">
        <f t="array" aca="1" ref="C25" ca="1">IF(B5="Validation",'Q8-Validation'!C30/'Q8-Validation'!C29,INDIRECT("'Input_Q"&amp;B3&amp;"-Predict'!C34"))</f>
        <v>0.95972222222222225</v>
      </c>
      <c r="E25" s="9" t="s">
        <v>21</v>
      </c>
      <c r="F25" s="10">
        <v>1</v>
      </c>
      <c r="G25" s="103" t="s">
        <v>39</v>
      </c>
    </row>
    <row r="26" spans="2:22" s="4" customFormat="1" x14ac:dyDescent="0.2">
      <c r="E26" s="12" t="s">
        <v>40</v>
      </c>
      <c r="F26" s="214">
        <v>20</v>
      </c>
      <c r="G26" s="103"/>
    </row>
    <row r="27" spans="2:22" s="4" customFormat="1" x14ac:dyDescent="0.2">
      <c r="B27" s="9" t="s">
        <v>41</v>
      </c>
      <c r="C27" s="289">
        <f>INDEX(Data_Stock!B2:N11,MATCH("Left Inventory",Data_Stock!B2:B11,0),MATCH(VALUE(B3-1),Data_Stock!B2:N2,0))</f>
        <v>123</v>
      </c>
      <c r="E27" s="14" t="s">
        <v>22</v>
      </c>
      <c r="F27" s="283">
        <v>36</v>
      </c>
      <c r="G27" s="98"/>
    </row>
    <row r="28" spans="2:22" s="4" customFormat="1" x14ac:dyDescent="0.2">
      <c r="B28" s="12" t="s">
        <v>42</v>
      </c>
      <c r="C28" s="290">
        <f>INDEX(Data_Stock!B2:N11,MATCH("Left",Data_Stock!B2:B11,0),MATCH(VALUE(B3-1),Data_Stock!B2:N2,0))</f>
        <v>1750</v>
      </c>
      <c r="E28" s="9" t="s">
        <v>25</v>
      </c>
      <c r="F28" s="11">
        <v>2</v>
      </c>
      <c r="G28" s="103" t="s">
        <v>39</v>
      </c>
      <c r="P28" s="214"/>
      <c r="V28" s="19"/>
    </row>
    <row r="29" spans="2:22" s="4" customFormat="1" x14ac:dyDescent="0.2">
      <c r="B29" s="12" t="s">
        <v>43</v>
      </c>
      <c r="C29" s="291" cm="1">
        <f t="array" aca="1" ref="C29" ca="1">INDIRECT("'Input_Q"&amp;B3&amp;"-Predict'!C33")</f>
        <v>1440</v>
      </c>
      <c r="E29" s="12" t="s">
        <v>44</v>
      </c>
      <c r="F29" s="13">
        <f>(1+F31)*F30</f>
        <v>43.2</v>
      </c>
      <c r="G29" s="103"/>
      <c r="V29" s="20"/>
    </row>
    <row r="30" spans="2:22" s="4" customFormat="1" x14ac:dyDescent="0.2">
      <c r="B30" s="12" t="str">
        <f>IF(B5="Validation","Actual Production","Predict Production")</f>
        <v>Actual Production</v>
      </c>
      <c r="C30" s="292">
        <f>INDEX(Data_Stock!B2:N11,MATCH("Produced",Data_Stock!B2:B11,0),MATCH(VALUE(B3),Data_Stock!B2:N2,0))</f>
        <v>1382</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 ca="1">F24</f>
        <v>1500</v>
      </c>
      <c r="E33" s="67" t="s">
        <v>45</v>
      </c>
      <c r="F33" s="13">
        <v>42</v>
      </c>
      <c r="G33" s="103"/>
    </row>
    <row r="34" spans="2:14" s="4" customFormat="1" x14ac:dyDescent="0.2">
      <c r="B34" s="12" t="s">
        <v>49</v>
      </c>
      <c r="C34" s="222">
        <f>IF(B5="Validation",INDEX(Data_Stock!B2:N11,MATCH("Left",Data_Stock!B2:B11,0),MATCH('Q8-Validation'!B3,Data_Stock!B2:N2,0)),C28+F24-C30)</f>
        <v>1868</v>
      </c>
      <c r="E34" s="67" t="s">
        <v>46</v>
      </c>
      <c r="F34" s="13">
        <v>0.06</v>
      </c>
      <c r="G34" s="103"/>
    </row>
    <row r="35" spans="2:14" s="4" customFormat="1" x14ac:dyDescent="0.2">
      <c r="B35" s="14" t="s">
        <v>50</v>
      </c>
      <c r="C35" s="288">
        <f>C34*M24</f>
        <v>1001042.5200000001</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 ca="1">SUMPRODUCT(F73:I73,F71:I71)</f>
        <v>2792036</v>
      </c>
    </row>
    <row r="69" spans="2:11" s="4" customFormat="1" x14ac:dyDescent="0.2">
      <c r="B69" s="12" t="s">
        <v>61</v>
      </c>
      <c r="C69" s="221">
        <f ca="1">J75</f>
        <v>319567.58999999997</v>
      </c>
      <c r="E69" s="9" t="str">
        <f>IF(B5="Validation","Actual S.C.R","Predict S.C.R")</f>
        <v>Actual S.C.R</v>
      </c>
      <c r="F69" s="311" cm="1">
        <f t="array" aca="1" ref="F69" ca="1">IF($B$5="Validation",F73/F72,INDIRECT("'Input_Q"&amp;$B$3&amp;"-Predict'!D29"))</f>
        <v>0.67692307692307696</v>
      </c>
      <c r="G69" s="311" cm="1">
        <f t="array" aca="1" ref="G69" ca="1">IF($B$5="Validation",G73/G72,INDIRECT("'Input_Q"&amp;$B$3&amp;"-Predict'!D30"))</f>
        <v>0.50769230769230766</v>
      </c>
      <c r="H69" s="311" cm="1">
        <f t="array" aca="1" ref="H69" ca="1">IF($B$5="Validation",H73/H72,INDIRECT("'Input_Q"&amp;$B$3&amp;"-Predict'!D31"))</f>
        <v>0.625</v>
      </c>
      <c r="I69" s="311" cm="1">
        <f t="array" aca="1" ref="I69" ca="1">IF($B$5="Validation",I73/I72,INDIRECT("'Input_Q"&amp;$B$3&amp;"-Predict'!D32"))</f>
        <v>0.64295874822190613</v>
      </c>
      <c r="J69" s="11"/>
    </row>
    <row r="70" spans="2:11" s="4" customFormat="1" x14ac:dyDescent="0.2">
      <c r="B70" s="12" t="s">
        <v>62</v>
      </c>
      <c r="C70" s="318">
        <f ca="1">C68*C74</f>
        <v>167522.16</v>
      </c>
      <c r="E70" s="297" t="s">
        <v>63</v>
      </c>
      <c r="F70" s="298">
        <v>1</v>
      </c>
      <c r="G70" s="298">
        <v>2</v>
      </c>
      <c r="H70" s="298">
        <v>3</v>
      </c>
      <c r="I70" s="299">
        <v>4</v>
      </c>
      <c r="J70" s="299" t="s">
        <v>64</v>
      </c>
    </row>
    <row r="71" spans="2:11" s="4" customFormat="1" x14ac:dyDescent="0.2">
      <c r="B71" s="14"/>
      <c r="C71" s="319">
        <f ca="1">SUM(C68:C70)</f>
        <v>3279125.75</v>
      </c>
      <c r="E71" s="300" t="s">
        <v>65</v>
      </c>
      <c r="F71" s="358" cm="1">
        <f t="array" aca="1" ref="F71" ca="1">INDIRECT("'Input_Q"&amp;$B$3&amp;"-Predict'!C10")</f>
        <v>2999</v>
      </c>
      <c r="G71" s="358" cm="1">
        <f t="array" aca="1" ref="G71" ca="1">INDIRECT("'Input_Q"&amp;$B$3&amp;"-Predict'!C11")</f>
        <v>2499</v>
      </c>
      <c r="H71" s="358" cm="1">
        <f t="array" aca="1" ref="H71" ca="1">INDIRECT("'Input_Q"&amp;$B$3&amp;"-Predict'!C12")</f>
        <v>2999</v>
      </c>
      <c r="I71" s="358" cm="1">
        <f t="array" aca="1" ref="I71" ca="1">INDIRECT("'Input_Q"&amp;$B$3&amp;"-Predict'!C13")</f>
        <v>2999</v>
      </c>
      <c r="J71" s="301" t="s">
        <v>66</v>
      </c>
      <c r="K71" s="363"/>
    </row>
    <row r="72" spans="2:11" s="4" customFormat="1" x14ac:dyDescent="0.2">
      <c r="E72" s="300" t="s">
        <v>67</v>
      </c>
      <c r="F72" s="272" cm="1">
        <f t="array" aca="1" ref="F72" ca="1">INDIRECT("'Input_Q"&amp;$B$3&amp;"-Predict'!C24")</f>
        <v>390</v>
      </c>
      <c r="G72" s="272" cm="1">
        <f t="array" aca="1" ref="G72" ca="1">INDIRECT("'Input_Q"&amp;$B$3&amp;"-Predict'!C25")</f>
        <v>390</v>
      </c>
      <c r="H72" s="272" cm="1">
        <f t="array" aca="1" ref="H72" ca="1">INDIRECT("'Input_Q"&amp;$B$3&amp;"-Predict'!C26")</f>
        <v>80</v>
      </c>
      <c r="I72" s="272" cm="1">
        <f t="array" aca="1" ref="I72" ca="1">INDIRECT("'Input_Q"&amp;$B$3&amp;"-Predict'!C27")</f>
        <v>703</v>
      </c>
      <c r="J72" s="303">
        <f>Archived_Testing_Q5!B19</f>
        <v>1600</v>
      </c>
    </row>
    <row r="73" spans="2:11" s="4" customFormat="1" x14ac:dyDescent="0.2">
      <c r="D73" s="199"/>
      <c r="E73" s="300" t="str">
        <f>IF(B5="Validation","Actual Sale","Predict Sale")</f>
        <v>Actual Sale</v>
      </c>
      <c r="F73" s="353">
        <f>IF($E$73="Actual Sale",INDEX(Data_Sales!$B$3:$N$8,MATCH(F70,Data_Sales!$B$3:$B$8,0),MATCH($B$3,Data_Sales!$B$3:$N$3,0)),ROUNDDOWN(F69*F72,0))</f>
        <v>264</v>
      </c>
      <c r="G73" s="353">
        <f>IF($E$73="Actual Sale",INDEX(Data_Sales!$B$3:$N$8,MATCH(G70,Data_Sales!$B$3:$B$8,0),MATCH($B$3,Data_Sales!$B$3:$N$3,0)),ROUNDDOWN(G69*G72,0))</f>
        <v>198</v>
      </c>
      <c r="H73" s="353">
        <f>IF($E$73="Actual Sale",INDEX(Data_Sales!$B$3:$N$8,MATCH(H70,Data_Sales!$B$3:$B$8,0),MATCH($B$3,Data_Sales!$B$3:$N$3,0)),ROUNDDOWN(H69*H72,0))</f>
        <v>50</v>
      </c>
      <c r="I73" s="353">
        <f>IF($E$73="Actual Sale",INDEX(Data_Sales!$B$3:$N$8,MATCH(I70,Data_Sales!$B$3:$B$8,0),MATCH($B$3,Data_Sales!$B$3:$N$3,0)),ROUNDDOWN(I69*I72,0))</f>
        <v>452</v>
      </c>
      <c r="J73" s="383">
        <f>SUM(F73:I73)</f>
        <v>964</v>
      </c>
    </row>
    <row r="74" spans="2:11" s="4" customFormat="1" x14ac:dyDescent="0.2">
      <c r="B74" s="9" t="s">
        <v>68</v>
      </c>
      <c r="C74" s="406" cm="1">
        <f t="array" aca="1" ref="C74" ca="1">INDIRECT("'Input_Q"&amp;B3&amp;"-Predict'!C39")</f>
        <v>0.06</v>
      </c>
      <c r="D74" s="199"/>
      <c r="E74" s="300" t="s">
        <v>69</v>
      </c>
      <c r="F74" s="256" cm="1">
        <f t="array" aca="1" ref="F74" ca="1">INDIRECT("'Input_Q"&amp;$B$3&amp;"-Predict'!C41")</f>
        <v>7</v>
      </c>
      <c r="G74" s="256" cm="1">
        <f t="array" aca="1" ref="G74" ca="1">INDIRECT("'Input_Q"&amp;$B$3&amp;"-Predict'!C42")</f>
        <v>9</v>
      </c>
      <c r="H74" s="256" cm="1">
        <f t="array" aca="1" ref="H74" ca="1">INDIRECT("'Input_Q"&amp;$B$3&amp;"-Predict'!C43")</f>
        <v>1</v>
      </c>
      <c r="I74" s="256" cm="1">
        <f t="array" aca="1" ref="I74" ca="1">INDIRECT("'Input_Q"&amp;$B$3&amp;"-Predict'!C44")</f>
        <v>7</v>
      </c>
      <c r="J74" s="301"/>
    </row>
    <row r="75" spans="2:11" s="4" customFormat="1" x14ac:dyDescent="0.2">
      <c r="B75" s="12" t="s">
        <v>70</v>
      </c>
      <c r="C75" s="221">
        <f>J72</f>
        <v>1600</v>
      </c>
      <c r="D75" s="357"/>
      <c r="E75" s="300" t="s">
        <v>71</v>
      </c>
      <c r="F75" s="312">
        <f ca="1">F72*F71*F74/100</f>
        <v>81872.7</v>
      </c>
      <c r="G75" s="312">
        <f ca="1">G72*G71*G74/100</f>
        <v>87714.9</v>
      </c>
      <c r="H75" s="312">
        <f ca="1">H72*H71*H74/100</f>
        <v>2399.1999999999998</v>
      </c>
      <c r="I75" s="304">
        <f ca="1">I72*I71*I74/100</f>
        <v>147580.79</v>
      </c>
      <c r="J75" s="304">
        <f ca="1">SUM(F75:I75)</f>
        <v>319567.58999999997</v>
      </c>
    </row>
    <row r="76" spans="2:11" s="4" customFormat="1" x14ac:dyDescent="0.2">
      <c r="B76" s="12" t="s">
        <v>72</v>
      </c>
      <c r="C76" s="221">
        <f>J73</f>
        <v>964</v>
      </c>
      <c r="D76" s="199"/>
      <c r="E76" s="300" t="s">
        <v>73</v>
      </c>
      <c r="F76" s="256" cm="1">
        <f t="array" aca="1" ref="F76" ca="1">INDIRECT("'Input_Q"&amp;$B$3&amp;"-Predict'!C46")</f>
        <v>0</v>
      </c>
      <c r="G76" s="256" cm="1">
        <f t="array" aca="1" ref="G76" ca="1">INDIRECT("'Input_Q"&amp;$B$3&amp;"-Predict'!C47")</f>
        <v>0</v>
      </c>
      <c r="H76" s="256" cm="1">
        <f t="array" aca="1" ref="H76" ca="1">INDIRECT("'Input_Q"&amp;$B$3&amp;"-Predict'!C48")</f>
        <v>0</v>
      </c>
      <c r="I76" s="256" cm="1">
        <f t="array" aca="1" ref="I76" ca="1">INDIRECT("'Input_Q"&amp;$B$3&amp;"-Predict'!C49")</f>
        <v>0</v>
      </c>
      <c r="J76" s="301" t="s">
        <v>66</v>
      </c>
    </row>
    <row r="77" spans="2:11" s="4" customFormat="1" x14ac:dyDescent="0.2">
      <c r="B77" s="14" t="s">
        <v>74</v>
      </c>
      <c r="C77" s="319">
        <f>C75-C76</f>
        <v>636</v>
      </c>
      <c r="D77" s="199"/>
      <c r="E77" s="305" t="s">
        <v>75</v>
      </c>
      <c r="F77" s="306">
        <f ca="1">INDEX(Data_EmployeeNumber!$A$4:$E$16,MATCH('Q8-Validation'!$B$3-1,Data_EmployeeNumber!$A$4:$A$16,0),MATCH('Q8-Validation'!F70,Data_EmployeeNumber!$A$4:$E$4,0))+'Q8-Validation'!F76</f>
        <v>3</v>
      </c>
      <c r="G77" s="306">
        <f ca="1">INDEX(Data_EmployeeNumber!$A$4:$E$16,MATCH('Q8-Validation'!$B$3-1,Data_EmployeeNumber!$A$4:$A$16,0),MATCH('Q8-Validation'!G70,Data_EmployeeNumber!$A$4:$E$4,0))+'Q8-Validation'!G76</f>
        <v>3</v>
      </c>
      <c r="H77" s="306">
        <f ca="1">INDEX(Data_EmployeeNumber!$A$4:$E$16,MATCH('Q8-Validation'!$B$3-1,Data_EmployeeNumber!$A$4:$A$16,0),MATCH('Q8-Validation'!H70,Data_EmployeeNumber!$A$4:$E$4,0))+'Q8-Validation'!H76</f>
        <v>1</v>
      </c>
      <c r="I77" s="306">
        <f ca="1">INDEX(Data_EmployeeNumber!$A$4:$E$16,MATCH('Q8-Validation'!$B$3-1,Data_EmployeeNumber!$A$4:$A$16,0),MATCH('Q8-Validation'!I70,Data_EmployeeNumber!$A$4:$E$4,0))+'Q8-Validation'!I76</f>
        <v>4</v>
      </c>
      <c r="J77" s="307">
        <f ca="1">SUM(F77:I77)</f>
        <v>11</v>
      </c>
    </row>
    <row r="78" spans="2:11" s="4" customFormat="1" x14ac:dyDescent="0.2">
      <c r="E78" s="300" t="s">
        <v>76</v>
      </c>
      <c r="F78" s="296"/>
      <c r="G78" s="296"/>
      <c r="H78" s="296"/>
      <c r="I78" s="301"/>
      <c r="J78" s="455" t="s">
        <v>77</v>
      </c>
    </row>
    <row r="79" spans="2:11" s="4" customFormat="1" x14ac:dyDescent="0.2">
      <c r="E79" s="305" t="s">
        <v>78</v>
      </c>
      <c r="F79" s="308"/>
      <c r="G79" s="308"/>
      <c r="H79" s="308"/>
      <c r="I79" s="317"/>
      <c r="J79" s="456" t="s">
        <v>77</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 ca="1">I98</f>
        <v>304200</v>
      </c>
      <c r="D92" s="214"/>
      <c r="E92" s="71" t="s">
        <v>82</v>
      </c>
      <c r="F92" s="329" cm="1">
        <f t="array" aca="1" ref="F92" ca="1">INDIRECT("'Input_Q"&amp;$B$3&amp;"-Predict'!C50")</f>
        <v>5200</v>
      </c>
      <c r="H92" s="71" t="s">
        <v>82</v>
      </c>
      <c r="I92" s="72" t="s">
        <v>83</v>
      </c>
      <c r="J92" s="72" t="s">
        <v>84</v>
      </c>
      <c r="K92" s="72" t="s">
        <v>85</v>
      </c>
      <c r="L92" s="73" t="s">
        <v>86</v>
      </c>
    </row>
    <row r="93" spans="1:12" s="4" customFormat="1" x14ac:dyDescent="0.2">
      <c r="B93" s="12" t="s">
        <v>87</v>
      </c>
      <c r="C93" s="217">
        <f ca="1">K103</f>
        <v>70000</v>
      </c>
      <c r="D93" s="214"/>
      <c r="H93" s="12" t="s">
        <v>88</v>
      </c>
      <c r="I93" s="214">
        <f ca="1">$F$92*K93</f>
        <v>26000</v>
      </c>
      <c r="J93" s="4">
        <v>1</v>
      </c>
      <c r="K93" s="4">
        <v>5</v>
      </c>
      <c r="L93" s="13">
        <f>J93*K93</f>
        <v>5</v>
      </c>
    </row>
    <row r="94" spans="1:12" s="4" customFormat="1" x14ac:dyDescent="0.2">
      <c r="B94" s="12" t="s">
        <v>89</v>
      </c>
      <c r="C94" s="217">
        <f ca="1">K104</f>
        <v>10000</v>
      </c>
      <c r="D94" s="321"/>
      <c r="E94" s="71" t="s">
        <v>90</v>
      </c>
      <c r="F94" s="73"/>
      <c r="H94" s="12" t="s">
        <v>91</v>
      </c>
      <c r="I94" s="214">
        <f ca="1">$F$92*K94</f>
        <v>5200</v>
      </c>
      <c r="J94" s="4">
        <v>35</v>
      </c>
      <c r="K94" s="4">
        <v>1</v>
      </c>
      <c r="L94" s="13">
        <f>J94*K94</f>
        <v>35</v>
      </c>
    </row>
    <row r="95" spans="1:12" s="4" customFormat="1" x14ac:dyDescent="0.2">
      <c r="B95" s="12" t="s">
        <v>92</v>
      </c>
      <c r="C95" s="217">
        <f ca="1">K105</f>
        <v>47000</v>
      </c>
      <c r="E95" s="12" t="s">
        <v>93</v>
      </c>
      <c r="F95" s="327">
        <v>10000</v>
      </c>
      <c r="H95" s="12" t="s">
        <v>94</v>
      </c>
      <c r="I95" s="214">
        <f ca="1">$F$92*K95</f>
        <v>13000</v>
      </c>
      <c r="J95" s="4">
        <v>3</v>
      </c>
      <c r="K95" s="4">
        <v>2.5</v>
      </c>
      <c r="L95" s="13">
        <f>J95*K95</f>
        <v>7.5</v>
      </c>
    </row>
    <row r="96" spans="1:12" s="4" customFormat="1" x14ac:dyDescent="0.2">
      <c r="B96" s="71"/>
      <c r="C96" s="324">
        <f ca="1">SUM(C92:C95)</f>
        <v>431200</v>
      </c>
      <c r="E96" s="12" t="s">
        <v>95</v>
      </c>
      <c r="F96" s="194" cm="1">
        <f t="array" aca="1" ref="F96" ca="1">INDIRECT("'Input_Q"&amp;$B$3&amp;"-Predict'!C51")</f>
        <v>7</v>
      </c>
      <c r="H96" s="12" t="s">
        <v>96</v>
      </c>
      <c r="I96" s="214">
        <f ca="1">$F$92*K96</f>
        <v>5200</v>
      </c>
      <c r="J96" s="4">
        <f ca="1">J77</f>
        <v>11</v>
      </c>
      <c r="K96" s="4">
        <v>1</v>
      </c>
      <c r="L96" s="13">
        <f ca="1">J96*K96</f>
        <v>11</v>
      </c>
    </row>
    <row r="97" spans="1:12" s="4" customFormat="1" x14ac:dyDescent="0.2">
      <c r="E97" s="12" t="s">
        <v>97</v>
      </c>
      <c r="F97" s="217">
        <v>2000</v>
      </c>
      <c r="H97" s="12" t="s">
        <v>64</v>
      </c>
      <c r="I97" s="4" t="s">
        <v>66</v>
      </c>
      <c r="J97" s="4">
        <f ca="1">SUM(J93:J96)</f>
        <v>50</v>
      </c>
      <c r="K97" s="4" t="s">
        <v>66</v>
      </c>
      <c r="L97" s="13">
        <f ca="1">SUM(L93:L96)</f>
        <v>58.5</v>
      </c>
    </row>
    <row r="98" spans="1:12" s="4" customFormat="1" x14ac:dyDescent="0.2">
      <c r="B98" s="71" t="s">
        <v>98</v>
      </c>
      <c r="C98" s="73"/>
      <c r="E98" s="14" t="s">
        <v>95</v>
      </c>
      <c r="F98" s="76" cm="1">
        <f t="array" aca="1" ref="F98" ca="1">INDIRECT("'Input_Q"&amp;$B$3&amp;"-Predict'!C52")</f>
        <v>5</v>
      </c>
      <c r="H98" s="14" t="s">
        <v>99</v>
      </c>
      <c r="I98" s="322">
        <f ca="1">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 ca="1">F92</f>
        <v>5200</v>
      </c>
      <c r="J102" s="4">
        <f ca="1">L97</f>
        <v>58.5</v>
      </c>
      <c r="K102" s="217">
        <f ca="1">I102*J102</f>
        <v>304200</v>
      </c>
    </row>
    <row r="103" spans="1:12" s="4" customFormat="1" x14ac:dyDescent="0.2">
      <c r="E103" s="12" t="s">
        <v>106</v>
      </c>
      <c r="F103" s="217">
        <v>175</v>
      </c>
      <c r="H103" s="12" t="s">
        <v>93</v>
      </c>
      <c r="I103" s="214">
        <f>F95</f>
        <v>10000</v>
      </c>
      <c r="J103" s="4">
        <f ca="1">F96</f>
        <v>7</v>
      </c>
      <c r="K103" s="217">
        <f ca="1">F95*J103</f>
        <v>70000</v>
      </c>
    </row>
    <row r="104" spans="1:12" s="4" customFormat="1" ht="17" customHeight="1" x14ac:dyDescent="0.2">
      <c r="E104" s="12" t="s">
        <v>107</v>
      </c>
      <c r="F104" s="217">
        <v>400</v>
      </c>
      <c r="H104" s="12" t="s">
        <v>97</v>
      </c>
      <c r="I104" s="214">
        <f>F97</f>
        <v>2000</v>
      </c>
      <c r="J104" s="4">
        <f ca="1">F98</f>
        <v>5</v>
      </c>
      <c r="K104" s="217">
        <f ca="1">F97*J104</f>
        <v>10000</v>
      </c>
    </row>
    <row r="105" spans="1:12" s="4" customFormat="1" x14ac:dyDescent="0.2">
      <c r="E105" s="12" t="s">
        <v>108</v>
      </c>
      <c r="F105" s="217">
        <v>280</v>
      </c>
      <c r="H105" s="12" t="s">
        <v>109</v>
      </c>
      <c r="I105" s="214">
        <f>F102+F106+F107+F108</f>
        <v>940</v>
      </c>
      <c r="J105" s="4">
        <f ca="1">J97</f>
        <v>50</v>
      </c>
      <c r="K105" s="217">
        <f ca="1">I105*J105</f>
        <v>47000</v>
      </c>
    </row>
    <row r="106" spans="1:12" s="4" customFormat="1" x14ac:dyDescent="0.2">
      <c r="E106" s="325" t="s">
        <v>110</v>
      </c>
      <c r="F106" s="217">
        <v>350</v>
      </c>
      <c r="H106" s="14"/>
      <c r="I106" s="15"/>
      <c r="J106" s="15"/>
      <c r="K106" s="278">
        <f ca="1">SUM(K102:K105)</f>
        <v>431200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457" t="s">
        <v>114</v>
      </c>
      <c r="C113" s="458">
        <v>0</v>
      </c>
    </row>
    <row r="114" spans="1:22" s="4" customFormat="1" x14ac:dyDescent="0.2">
      <c r="B114" s="275" t="s">
        <v>115</v>
      </c>
      <c r="C114" s="459">
        <v>0</v>
      </c>
    </row>
    <row r="115" spans="1:22" s="4" customFormat="1" x14ac:dyDescent="0.2">
      <c r="B115" s="275" t="s">
        <v>116</v>
      </c>
      <c r="C115" s="459">
        <f>C113*C114</f>
        <v>0</v>
      </c>
    </row>
    <row r="116" spans="1:22" s="4" customFormat="1" x14ac:dyDescent="0.2">
      <c r="B116" s="14" t="s">
        <v>117</v>
      </c>
      <c r="C116" s="76">
        <v>40000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118</v>
      </c>
    </row>
    <row r="121" spans="1:22" s="4" customFormat="1" x14ac:dyDescent="0.2"/>
    <row r="122" spans="1:22" s="4" customFormat="1" x14ac:dyDescent="0.2">
      <c r="B122" s="4" t="s">
        <v>119</v>
      </c>
    </row>
    <row r="123" spans="1:22" s="4" customFormat="1" x14ac:dyDescent="0.2">
      <c r="B123" s="9" t="s">
        <v>60</v>
      </c>
      <c r="C123" s="334">
        <f ca="1">IFERROR(VLOOKUP(B123,$B$14:$C$121,2,FALSE),0)</f>
        <v>2792036</v>
      </c>
      <c r="D123" s="286"/>
      <c r="E123" s="286"/>
    </row>
    <row r="124" spans="1:22" s="4" customFormat="1" x14ac:dyDescent="0.2">
      <c r="B124" s="275" t="s">
        <v>120</v>
      </c>
      <c r="C124" s="366">
        <f>IF(D124="Match",(C74+0.125)*C123+J73*M23,E124)</f>
        <v>1033124.62</v>
      </c>
      <c r="D124" s="302" t="s">
        <v>297</v>
      </c>
      <c r="E124" s="268">
        <v>1033124.62</v>
      </c>
      <c r="F124" s="9"/>
      <c r="G124" s="9" t="s">
        <v>122</v>
      </c>
      <c r="H124" s="331"/>
      <c r="I124" s="10">
        <f>H124/$H$128</f>
        <v>0</v>
      </c>
      <c r="J124" s="11"/>
    </row>
    <row r="125" spans="1:22" s="4" customFormat="1" x14ac:dyDescent="0.2">
      <c r="B125" s="12" t="s">
        <v>123</v>
      </c>
      <c r="C125" s="336">
        <f ca="1">C123-C124</f>
        <v>1758911.38</v>
      </c>
      <c r="E125" s="302"/>
      <c r="F125" s="12"/>
      <c r="G125" s="12" t="s">
        <v>124</v>
      </c>
      <c r="H125" s="279">
        <f ca="1">SUM(C127:C139)</f>
        <v>1848764.4404</v>
      </c>
      <c r="I125" s="4">
        <f ca="1">H125/$H$128</f>
        <v>1917.805436099585</v>
      </c>
      <c r="J125" s="13"/>
    </row>
    <row r="126" spans="1:22" s="4" customFormat="1" x14ac:dyDescent="0.2">
      <c r="B126" s="12" t="s">
        <v>125</v>
      </c>
      <c r="C126" s="336"/>
      <c r="F126" s="12"/>
      <c r="G126" s="12" t="s">
        <v>120</v>
      </c>
      <c r="H126" s="279">
        <f>C124</f>
        <v>1033124.62</v>
      </c>
      <c r="I126" s="4">
        <f>H126/$H$128</f>
        <v>1071.7060373443983</v>
      </c>
      <c r="J126" s="13"/>
    </row>
    <row r="127" spans="1:22" s="4" customFormat="1" x14ac:dyDescent="0.2">
      <c r="B127" s="12" t="s">
        <v>126</v>
      </c>
      <c r="C127" s="336">
        <f>IF(B7="Overtime",560000,280000)</f>
        <v>560000</v>
      </c>
      <c r="D127" s="4" t="s">
        <v>124</v>
      </c>
      <c r="F127" s="12"/>
      <c r="G127" s="12" t="s">
        <v>127</v>
      </c>
      <c r="H127" s="279">
        <f ca="1">SUM(H124:H126)</f>
        <v>2881889.0603999998</v>
      </c>
      <c r="J127" s="13"/>
    </row>
    <row r="128" spans="1:22" s="4" customFormat="1" x14ac:dyDescent="0.2">
      <c r="B128" s="12" t="s">
        <v>81</v>
      </c>
      <c r="C128" s="336">
        <f ca="1">IF(B7="Overtime",VALUE(IFERROR(VLOOKUP(B128,$B$14:$C$121,2,FALSE),0))*2,VALUE(IFERROR(VLOOKUP(B128,$B$14:$C$121,2,FALSE),0)))</f>
        <v>608400</v>
      </c>
      <c r="D128" s="4" t="s">
        <v>124</v>
      </c>
      <c r="F128" s="12"/>
      <c r="G128" s="12" t="s">
        <v>128</v>
      </c>
      <c r="H128" s="302">
        <f>C76</f>
        <v>964</v>
      </c>
      <c r="J128" s="13"/>
    </row>
    <row r="129" spans="2:10" s="4" customFormat="1" x14ac:dyDescent="0.2">
      <c r="B129" s="12" t="s">
        <v>87</v>
      </c>
      <c r="C129" s="336">
        <f t="shared" ref="C129:C136" ca="1" si="0">IFERROR(VLOOKUP(B129,$B$14:$C$121,2,FALSE),0)</f>
        <v>70000</v>
      </c>
      <c r="D129" s="4" t="s">
        <v>124</v>
      </c>
      <c r="F129" s="12"/>
      <c r="G129" s="12" t="s">
        <v>129</v>
      </c>
      <c r="H129" s="339">
        <f ca="1">H127/H128</f>
        <v>2989.511473443983</v>
      </c>
      <c r="J129" s="13"/>
    </row>
    <row r="130" spans="2:10" s="4" customFormat="1" x14ac:dyDescent="0.2">
      <c r="B130" s="12" t="s">
        <v>92</v>
      </c>
      <c r="C130" s="336">
        <f t="shared" ca="1" si="0"/>
        <v>47000</v>
      </c>
      <c r="D130" s="4" t="s">
        <v>122</v>
      </c>
      <c r="F130" s="12"/>
      <c r="G130" s="12"/>
      <c r="J130" s="13"/>
    </row>
    <row r="131" spans="2:10" s="4" customFormat="1" x14ac:dyDescent="0.2">
      <c r="B131" s="12" t="s">
        <v>89</v>
      </c>
      <c r="C131" s="336">
        <f t="shared" ca="1" si="0"/>
        <v>10000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 ca="1">$H$129*(1+H131)</f>
        <v>3288.4626207883816</v>
      </c>
      <c r="I132" s="333">
        <f ca="1">$H$129*(1+I131)</f>
        <v>3587.4137681327798</v>
      </c>
      <c r="J132" s="341">
        <f ca="1">$H$129*(1+J131)</f>
        <v>3886.3649154771779</v>
      </c>
    </row>
    <row r="133" spans="2:10" s="4" customFormat="1" x14ac:dyDescent="0.2">
      <c r="B133" s="12" t="s">
        <v>11</v>
      </c>
      <c r="C133" s="336">
        <f t="shared" ca="1" si="0"/>
        <v>135000</v>
      </c>
      <c r="D133" s="4" t="s">
        <v>124</v>
      </c>
      <c r="F133" s="12"/>
      <c r="G133" s="4" t="s">
        <v>133</v>
      </c>
      <c r="H133" s="302">
        <f ca="1">H132-$H$129</f>
        <v>298.95114734439858</v>
      </c>
      <c r="I133" s="302">
        <f ca="1">I132-$H$129</f>
        <v>597.9022946887967</v>
      </c>
      <c r="J133" s="318">
        <f ca="1">J132-$H$129</f>
        <v>896.85344203319482</v>
      </c>
    </row>
    <row r="134" spans="2:10" s="4" customFormat="1" x14ac:dyDescent="0.2">
      <c r="B134" s="12" t="s">
        <v>61</v>
      </c>
      <c r="C134" s="336">
        <f t="shared" ca="1" si="0"/>
        <v>319567.58999999997</v>
      </c>
      <c r="D134" s="4" t="s">
        <v>124</v>
      </c>
      <c r="F134" s="12" t="s">
        <v>401</v>
      </c>
      <c r="G134" s="4" t="s">
        <v>134</v>
      </c>
      <c r="H134" s="355">
        <f ca="1">H133/H132</f>
        <v>9.0909090909090981E-2</v>
      </c>
      <c r="I134" s="355">
        <f ca="1">I133/I132</f>
        <v>0.16666666666666669</v>
      </c>
      <c r="J134" s="326">
        <f ca="1">J133/J132</f>
        <v>0.23076923076923075</v>
      </c>
    </row>
    <row r="135" spans="2:10" s="4" customFormat="1" x14ac:dyDescent="0.2">
      <c r="B135" s="12" t="s">
        <v>23</v>
      </c>
      <c r="C135" s="336">
        <f>IFERROR(VLOOKUP(B135,$B$14:$C$121,2,FALSE),0)</f>
        <v>20020.850400000003</v>
      </c>
      <c r="D135" s="4" t="s">
        <v>124</v>
      </c>
      <c r="F135" s="12" t="s">
        <v>402</v>
      </c>
      <c r="G135" s="4" t="s">
        <v>135</v>
      </c>
      <c r="H135" s="279">
        <f ca="1">$H$125/H134</f>
        <v>20336408.844399985</v>
      </c>
      <c r="I135" s="279">
        <f ca="1">$H$125/I134</f>
        <v>11092586.642399998</v>
      </c>
      <c r="J135" s="281">
        <f ca="1">$H$125/J134</f>
        <v>8011312.5750666671</v>
      </c>
    </row>
    <row r="136" spans="2:10" s="4" customFormat="1" x14ac:dyDescent="0.2">
      <c r="B136" s="12" t="s">
        <v>117</v>
      </c>
      <c r="C136" s="336">
        <f t="shared" si="0"/>
        <v>40000</v>
      </c>
      <c r="D136" s="4" t="s">
        <v>124</v>
      </c>
      <c r="F136" s="14"/>
      <c r="G136" s="15" t="s">
        <v>136</v>
      </c>
      <c r="H136" s="15">
        <f ca="1">H135/H132</f>
        <v>6184.1690751906735</v>
      </c>
      <c r="I136" s="15">
        <f ca="1">I135/I132</f>
        <v>3092.084537595339</v>
      </c>
      <c r="J136" s="16">
        <f ca="1">J135/J132</f>
        <v>2061.3896917302263</v>
      </c>
    </row>
    <row r="137" spans="2:10" s="4" customFormat="1" x14ac:dyDescent="0.2">
      <c r="B137" s="275" t="s">
        <v>137</v>
      </c>
      <c r="C137" s="335" cm="1">
        <f t="array" ref="C137">IF(B5="Validation",E137,SUMPRODUCT(F80:I80*F73:I73))</f>
        <v>38776</v>
      </c>
      <c r="D137" s="380" t="s">
        <v>138</v>
      </c>
      <c r="E137" s="4">
        <f>INDEX(Data_Sales!B3:N8,MATCH("Freight Cost",Data_Sales!B3:B8,0),MATCH('Q8-Validation'!B3,Data_Sales!B3:N3,0))</f>
        <v>38776</v>
      </c>
    </row>
    <row r="138" spans="2:10" s="4" customFormat="1" x14ac:dyDescent="0.2">
      <c r="B138" s="12" t="s">
        <v>139</v>
      </c>
      <c r="C138" s="336">
        <f>IFERROR(VLOOKUP(B138,$B$14:$C$121,2,FALSE),0)</f>
        <v>0</v>
      </c>
    </row>
    <row r="139" spans="2:10" s="4" customFormat="1" x14ac:dyDescent="0.2">
      <c r="B139" s="365" t="s">
        <v>140</v>
      </c>
      <c r="C139" s="366" cm="1">
        <f t="array" aca="1" ref="C139" ca="1">INDIRECT("'Input_Q"&amp;$B$3&amp;"-Predict'!C18")</f>
        <v>0</v>
      </c>
    </row>
    <row r="140" spans="2:10" s="4" customFormat="1" x14ac:dyDescent="0.2">
      <c r="B140" s="12" t="s">
        <v>141</v>
      </c>
      <c r="C140" s="336">
        <f>IFERROR(VLOOKUP(B140,$B$14:$C$121,2,FALSE),0)</f>
        <v>0</v>
      </c>
      <c r="G140" s="4" t="str">
        <f>B5</f>
        <v>Validation</v>
      </c>
    </row>
    <row r="141" spans="2:10" s="4" customFormat="1" x14ac:dyDescent="0.2">
      <c r="B141" s="12" t="s">
        <v>142</v>
      </c>
      <c r="C141" s="336">
        <f>IFERROR(VLOOKUP(B141,$B$14:$C$121,2,FALSE),0)</f>
        <v>0</v>
      </c>
      <c r="G141" s="141" t="s">
        <v>152</v>
      </c>
      <c r="H141" s="143"/>
    </row>
    <row r="142" spans="2:10" s="4" customFormat="1" x14ac:dyDescent="0.2">
      <c r="B142" s="12" t="s">
        <v>143</v>
      </c>
      <c r="C142" s="336">
        <f ca="1">SUM(C127:C141)</f>
        <v>1848764.4404</v>
      </c>
      <c r="G142" s="12" t="s">
        <v>153</v>
      </c>
      <c r="H142" s="336">
        <f ca="1">C142</f>
        <v>1848764.4404</v>
      </c>
    </row>
    <row r="143" spans="2:10" s="4" customFormat="1" x14ac:dyDescent="0.2">
      <c r="B143" s="12" t="s">
        <v>125</v>
      </c>
      <c r="C143" s="13"/>
      <c r="G143" s="12" t="s">
        <v>154</v>
      </c>
      <c r="H143" s="336">
        <f>C124</f>
        <v>1033124.62</v>
      </c>
    </row>
    <row r="144" spans="2:10" s="4" customFormat="1" x14ac:dyDescent="0.2">
      <c r="B144" s="12" t="s">
        <v>144</v>
      </c>
      <c r="C144" s="13">
        <v>0</v>
      </c>
      <c r="G144" s="12" t="s">
        <v>155</v>
      </c>
      <c r="H144" s="336">
        <f ca="1">C123</f>
        <v>2792036</v>
      </c>
    </row>
    <row r="145" spans="2:8" s="4" customFormat="1" x14ac:dyDescent="0.2">
      <c r="B145" s="12" t="s">
        <v>145</v>
      </c>
      <c r="C145" s="13">
        <v>0</v>
      </c>
      <c r="G145" s="12" t="s">
        <v>156</v>
      </c>
      <c r="H145" s="574">
        <f ca="1">H142/(1-H143/H144)</f>
        <v>2934665.6868617535</v>
      </c>
    </row>
    <row r="146" spans="2:8" s="4" customFormat="1" x14ac:dyDescent="0.2">
      <c r="B146" s="12" t="s">
        <v>125</v>
      </c>
      <c r="C146" s="13"/>
      <c r="D146" s="286"/>
      <c r="G146" s="12"/>
      <c r="H146" s="13"/>
    </row>
    <row r="147" spans="2:8" s="4" customFormat="1" x14ac:dyDescent="0.2">
      <c r="B147" s="12" t="s">
        <v>146</v>
      </c>
      <c r="C147" s="359">
        <f ca="1">C125-C142</f>
        <v>-89853.060400000075</v>
      </c>
      <c r="G147" s="12" t="s">
        <v>157</v>
      </c>
      <c r="H147" s="480">
        <f>J73</f>
        <v>964</v>
      </c>
    </row>
    <row r="148" spans="2:8" s="4" customFormat="1" x14ac:dyDescent="0.2">
      <c r="B148" s="12" t="s">
        <v>147</v>
      </c>
      <c r="C148" s="13">
        <f ca="1">IF(C147&gt;0,C147*0.15,0)</f>
        <v>0</v>
      </c>
      <c r="G148" s="14" t="s">
        <v>158</v>
      </c>
      <c r="H148" s="575">
        <f ca="1">H145/(H144/H147)</f>
        <v>1013.2454316974174</v>
      </c>
    </row>
    <row r="149" spans="2:8" s="4" customFormat="1" x14ac:dyDescent="0.2">
      <c r="B149" s="12" t="s">
        <v>148</v>
      </c>
      <c r="C149" s="336">
        <f ca="1">C147-C148</f>
        <v>-89853.060400000075</v>
      </c>
    </row>
    <row r="150" spans="2:8" s="4" customFormat="1" x14ac:dyDescent="0.2">
      <c r="B150" s="12" t="s">
        <v>119</v>
      </c>
      <c r="C150" s="13"/>
    </row>
    <row r="151" spans="2:8" s="4" customFormat="1" x14ac:dyDescent="0.2">
      <c r="B151" s="12" t="s">
        <v>149</v>
      </c>
      <c r="C151" s="368">
        <f ca="1">INDEX(Data_IncomeStatement!A1:M33,MATCH("PROFIT AND LOSS STATEMENT RESULTS",Data_IncomeStatement!A1:A33,0),MATCH(VALUE(B3-1),Data_IncomeStatement!A1:M1,0))</f>
        <v>-266518.03815999988</v>
      </c>
    </row>
    <row r="152" spans="2:8" s="4" customFormat="1" x14ac:dyDescent="0.2">
      <c r="B152" s="12" t="s">
        <v>148</v>
      </c>
      <c r="C152" s="336">
        <f ca="1">C149</f>
        <v>-89853.060400000075</v>
      </c>
    </row>
    <row r="153" spans="2:8" s="4" customFormat="1" x14ac:dyDescent="0.2">
      <c r="B153" s="12" t="s">
        <v>150</v>
      </c>
      <c r="C153" s="13">
        <v>0</v>
      </c>
    </row>
    <row r="154" spans="2:8" s="4" customFormat="1" x14ac:dyDescent="0.2">
      <c r="B154" s="14" t="s">
        <v>151</v>
      </c>
      <c r="C154" s="337">
        <f ca="1">C152+C151</f>
        <v>-356371.09855999995</v>
      </c>
    </row>
    <row r="155" spans="2:8" s="4" customFormat="1" x14ac:dyDescent="0.2"/>
    <row r="156" spans="2:8" s="4" customFormat="1" x14ac:dyDescent="0.2">
      <c r="C156" s="330"/>
      <c r="D156" s="214"/>
      <c r="E156" s="279"/>
    </row>
    <row r="157" spans="2:8" s="4" customFormat="1" x14ac:dyDescent="0.2">
      <c r="B157" s="9" t="str">
        <f>B5</f>
        <v>Validation</v>
      </c>
      <c r="C157" s="11"/>
    </row>
    <row r="158" spans="2:8" s="4" customFormat="1" x14ac:dyDescent="0.2">
      <c r="B158" s="63" t="s">
        <v>152</v>
      </c>
      <c r="C158" s="64"/>
    </row>
    <row r="159" spans="2:8" s="4" customFormat="1" x14ac:dyDescent="0.2">
      <c r="B159" s="12" t="s">
        <v>153</v>
      </c>
      <c r="C159" s="336">
        <f ca="1">C142</f>
        <v>1848764.4404</v>
      </c>
    </row>
    <row r="160" spans="2:8" s="4" customFormat="1" x14ac:dyDescent="0.2">
      <c r="B160" s="12" t="s">
        <v>154</v>
      </c>
      <c r="C160" s="13">
        <f>C124</f>
        <v>1033124.62</v>
      </c>
    </row>
    <row r="161" spans="2:3" s="4" customFormat="1" x14ac:dyDescent="0.2">
      <c r="B161" s="12" t="s">
        <v>155</v>
      </c>
      <c r="C161" s="13">
        <f ca="1">C123</f>
        <v>2792036</v>
      </c>
    </row>
    <row r="162" spans="2:3" s="4" customFormat="1" x14ac:dyDescent="0.2">
      <c r="B162" s="12" t="s">
        <v>156</v>
      </c>
      <c r="C162" s="529">
        <f ca="1">C159/(1-C160/C161)</f>
        <v>2934665.6868617535</v>
      </c>
    </row>
    <row r="163" spans="2:3" s="4" customFormat="1" x14ac:dyDescent="0.2">
      <c r="B163" s="12"/>
      <c r="C163" s="13"/>
    </row>
    <row r="164" spans="2:3" s="4" customFormat="1" x14ac:dyDescent="0.2">
      <c r="B164" s="12" t="s">
        <v>157</v>
      </c>
      <c r="C164" s="13">
        <f>J73</f>
        <v>964</v>
      </c>
    </row>
    <row r="165" spans="2:3" s="4" customFormat="1" x14ac:dyDescent="0.2">
      <c r="B165" s="14" t="s">
        <v>158</v>
      </c>
      <c r="C165" s="530">
        <f ca="1">ROUNDUP(C162/(C161/C164),0)</f>
        <v>1014</v>
      </c>
    </row>
    <row r="166" spans="2:3" s="4" customFormat="1" x14ac:dyDescent="0.2"/>
    <row r="167" spans="2:3" s="4" customFormat="1" x14ac:dyDescent="0.2"/>
    <row r="168" spans="2:3" s="4" customFormat="1" x14ac:dyDescent="0.2"/>
    <row r="169" spans="2:3" s="4" customFormat="1" x14ac:dyDescent="0.2"/>
    <row r="170" spans="2:3" s="4" customFormat="1" x14ac:dyDescent="0.2"/>
    <row r="171" spans="2:3" s="4" customFormat="1" x14ac:dyDescent="0.2"/>
    <row r="172" spans="2:3" s="4" customFormat="1" x14ac:dyDescent="0.2"/>
    <row r="173" spans="2:3" s="4" customFormat="1" x14ac:dyDescent="0.2"/>
    <row r="174" spans="2:3"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E793D39C-C409-9B4F-BD11-B1814417A629}">
          <x14:formula1>
            <xm:f>Reference!$A$31:$A$32</xm:f>
          </x14:formula1>
          <xm:sqref>B7</xm:sqref>
        </x14:dataValidation>
        <x14:dataValidation type="list" allowBlank="1" showInputMessage="1" showErrorMessage="1" xr:uid="{AEFBFCC9-77C0-7344-A3CF-FE3CEE22CACF}">
          <x14:formula1>
            <xm:f>Reference!$B$1:$B$4</xm:f>
          </x14:formula1>
          <xm:sqref>W21 W28 K20</xm:sqref>
        </x14:dataValidation>
        <x14:dataValidation type="list" allowBlank="1" showInputMessage="1" showErrorMessage="1" xr:uid="{13B1662F-53E2-5047-BBF4-501A06D064D5}">
          <x14:formula1>
            <xm:f>Reference!$D$1:$D$4</xm:f>
          </x14:formula1>
          <xm:sqref>W23 W30 K22</xm:sqref>
        </x14:dataValidation>
        <x14:dataValidation type="list" allowBlank="1" showInputMessage="1" showErrorMessage="1" xr:uid="{13727F3F-1136-CA46-A50A-A48AD2F8441B}">
          <x14:formula1>
            <xm:f>Reference!$A$1:$A$3</xm:f>
          </x14:formula1>
          <xm:sqref>W20 W27 K19</xm:sqref>
        </x14:dataValidation>
        <x14:dataValidation type="list" allowBlank="1" showInputMessage="1" showErrorMessage="1" xr:uid="{CD8B3296-F608-6242-8186-9951694BDB9E}">
          <x14:formula1>
            <xm:f>Reference!$C$1:$C$5</xm:f>
          </x14:formula1>
          <xm:sqref>W22 W29 K21</xm:sqref>
        </x14:dataValidation>
        <x14:dataValidation type="list" allowBlank="1" showInputMessage="1" showErrorMessage="1" xr:uid="{26586173-5D6E-1C4D-8489-1C3FBBD6100E}">
          <x14:formula1>
            <xm:f>Reference!$A$6:$A$8</xm:f>
          </x14:formula1>
          <xm:sqref>B5</xm:sqref>
        </x14:dataValidation>
        <x14:dataValidation type="list" allowBlank="1" showInputMessage="1" showErrorMessage="1" xr:uid="{5246E2DB-5222-274B-A958-6CE8676A3850}">
          <x14:formula1>
            <xm:f>Reference!$A$10:$A$12</xm:f>
          </x14:formula1>
          <xm:sqref>D124</xm:sqref>
        </x14:dataValidation>
        <x14:dataValidation type="list" allowBlank="1" showInputMessage="1" showErrorMessage="1" xr:uid="{66709723-F2C4-C24B-8E10-66DB9702ACE3}">
          <x14:formula1>
            <xm:f>Reference!$A$14:$A$26</xm:f>
          </x14:formula1>
          <xm:sqref>B3</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B49EE-DD77-8D48-A0BD-66A2577C7EE3}">
  <sheetPr>
    <tabColor theme="2" tint="-9.9978637043366805E-2"/>
  </sheetPr>
  <dimension ref="B1:I53"/>
  <sheetViews>
    <sheetView topLeftCell="A7" zoomScale="125" workbookViewId="0">
      <selection activeCell="C10" sqref="C10"/>
    </sheetView>
  </sheetViews>
  <sheetFormatPr baseColWidth="10" defaultColWidth="11" defaultRowHeight="16" x14ac:dyDescent="0.2"/>
  <cols>
    <col min="1" max="1" width="11" style="4"/>
    <col min="2" max="2" width="33.83203125" style="4" bestFit="1" customWidth="1"/>
    <col min="3" max="3" width="11.33203125" style="462" customWidth="1"/>
    <col min="4" max="5" width="11" style="4" customWidth="1"/>
    <col min="6" max="9" width="11" style="4"/>
    <col min="10" max="10" width="34.6640625" style="4" bestFit="1" customWidth="1"/>
    <col min="11" max="16384" width="11" style="4"/>
  </cols>
  <sheetData>
    <row r="1" spans="2:7" x14ac:dyDescent="0.2">
      <c r="B1" s="9" t="s">
        <v>159</v>
      </c>
      <c r="C1" s="10"/>
      <c r="D1" s="464"/>
      <c r="E1" s="10"/>
      <c r="F1" s="10"/>
      <c r="G1" s="465"/>
    </row>
    <row r="2" spans="2:7" x14ac:dyDescent="0.2">
      <c r="B2" s="466" t="b">
        <v>1</v>
      </c>
      <c r="C2" s="4" t="s">
        <v>160</v>
      </c>
      <c r="D2" s="449"/>
      <c r="G2" s="13"/>
    </row>
    <row r="3" spans="2:7" x14ac:dyDescent="0.2">
      <c r="B3" s="466" t="b">
        <v>1</v>
      </c>
      <c r="C3" s="4" t="s">
        <v>161</v>
      </c>
      <c r="D3" s="449"/>
      <c r="G3" s="13"/>
    </row>
    <row r="4" spans="2:7" x14ac:dyDescent="0.2">
      <c r="B4" s="466" t="b">
        <v>1</v>
      </c>
      <c r="C4" s="4" t="s">
        <v>162</v>
      </c>
      <c r="D4" s="449"/>
      <c r="G4" s="13"/>
    </row>
    <row r="5" spans="2:7" x14ac:dyDescent="0.2">
      <c r="B5" s="467" t="b">
        <v>1</v>
      </c>
      <c r="C5" s="15" t="s">
        <v>163</v>
      </c>
      <c r="D5" s="468"/>
      <c r="E5" s="15"/>
      <c r="F5" s="15"/>
      <c r="G5" s="16"/>
    </row>
    <row r="6" spans="2:7" x14ac:dyDescent="0.2">
      <c r="B6" s="12" t="s">
        <v>164</v>
      </c>
      <c r="C6" s="395">
        <v>8</v>
      </c>
    </row>
    <row r="7" spans="2:7" x14ac:dyDescent="0.2">
      <c r="B7" s="71" t="s">
        <v>165</v>
      </c>
      <c r="C7" s="469" t="s">
        <v>166</v>
      </c>
      <c r="E7" s="199" t="s">
        <v>167</v>
      </c>
    </row>
    <row r="8" spans="2:7" x14ac:dyDescent="0.2">
      <c r="B8" s="71" t="s">
        <v>168</v>
      </c>
      <c r="C8" s="469" t="s">
        <v>169</v>
      </c>
      <c r="E8" s="199"/>
    </row>
    <row r="9" spans="2:7" x14ac:dyDescent="0.2">
      <c r="B9" s="12" t="s">
        <v>170</v>
      </c>
      <c r="C9" s="222"/>
    </row>
    <row r="10" spans="2:7" x14ac:dyDescent="0.2">
      <c r="B10" s="12">
        <v>1</v>
      </c>
      <c r="C10" s="470">
        <v>2999</v>
      </c>
    </row>
    <row r="11" spans="2:7" x14ac:dyDescent="0.2">
      <c r="B11" s="12">
        <v>2</v>
      </c>
      <c r="C11" s="470">
        <v>2499</v>
      </c>
    </row>
    <row r="12" spans="2:7" x14ac:dyDescent="0.2">
      <c r="B12" s="12">
        <v>3</v>
      </c>
      <c r="C12" s="470">
        <v>2999</v>
      </c>
    </row>
    <row r="13" spans="2:7" x14ac:dyDescent="0.2">
      <c r="B13" s="14">
        <v>4</v>
      </c>
      <c r="C13" s="471">
        <v>2999</v>
      </c>
    </row>
    <row r="14" spans="2:7" x14ac:dyDescent="0.2">
      <c r="B14" s="9" t="s">
        <v>148</v>
      </c>
      <c r="C14" s="479" cm="1">
        <f t="array" aca="1" ref="C14" ca="1">INDIRECT("'Q"&amp;C6&amp;"-Predict'!C149")</f>
        <v>485991.3586600002</v>
      </c>
    </row>
    <row r="15" spans="2:7" x14ac:dyDescent="0.2">
      <c r="B15" s="14" t="s">
        <v>151</v>
      </c>
      <c r="C15" s="463" cm="1">
        <f t="array" aca="1" ref="C15" ca="1">INDIRECT("'Q"&amp;C6&amp;"-Predict'!C154")</f>
        <v>219473.32050000032</v>
      </c>
    </row>
    <row r="17" spans="2:9" x14ac:dyDescent="0.2">
      <c r="B17" s="9" t="s">
        <v>171</v>
      </c>
      <c r="C17" s="345">
        <f ca="1">INDEX(Data_IncomeStatement!A1:M33,MATCH("PROFIT AND LOSS STATEMENT RESULTS", Data_IncomeStatement!A1:A33, 0),MATCH(VALUE(C6-1), Data_IncomeStatement!A1:M1, 0))</f>
        <v>-266518.03815999988</v>
      </c>
      <c r="D17" s="178"/>
      <c r="E17" s="199" t="s">
        <v>172</v>
      </c>
    </row>
    <row r="18" spans="2:9" x14ac:dyDescent="0.2">
      <c r="B18" s="12" t="s">
        <v>175</v>
      </c>
      <c r="C18" s="222">
        <v>0</v>
      </c>
      <c r="D18" s="103"/>
      <c r="E18" s="4" t="s">
        <v>177</v>
      </c>
    </row>
    <row r="19" spans="2:9" x14ac:dyDescent="0.2">
      <c r="B19" s="12" t="s">
        <v>41</v>
      </c>
      <c r="C19" s="222">
        <f>INDEX(Data_Stock!B2:N11,MATCH("Left Inventory",Data_Stock!B2:B11,0),MATCH(VALUE(C6-1),Data_Stock!B2:N2,0))</f>
        <v>123</v>
      </c>
      <c r="D19" s="103"/>
      <c r="E19" s="199" t="s">
        <v>172</v>
      </c>
    </row>
    <row r="20" spans="2:9" x14ac:dyDescent="0.2">
      <c r="B20" s="12" t="s">
        <v>42</v>
      </c>
      <c r="C20" s="222">
        <f>INDEX(Data_Stock!B2:N11,MATCH("Left",Data_Stock!B2:B11,0),MATCH(VALUE(C6-1),Data_Stock!B2:N2,0))</f>
        <v>1750</v>
      </c>
      <c r="D20" s="103"/>
      <c r="E20" s="199" t="s">
        <v>172</v>
      </c>
    </row>
    <row r="21" spans="2:9" x14ac:dyDescent="0.2">
      <c r="B21" s="14" t="s">
        <v>180</v>
      </c>
      <c r="C21" s="463">
        <f>IF(C8="Overtime",MIN((1500*C34+C19),(C19+(C20*C34))),MIN((1200*C34+C19),(C19+(C20*C34))))</f>
        <v>1563</v>
      </c>
      <c r="D21" s="476"/>
    </row>
    <row r="22" spans="2:9" x14ac:dyDescent="0.2">
      <c r="B22" s="9" t="s">
        <v>181</v>
      </c>
      <c r="C22" s="390">
        <f>C21</f>
        <v>1563</v>
      </c>
      <c r="D22" s="472"/>
      <c r="E22" s="4" t="s">
        <v>182</v>
      </c>
    </row>
    <row r="23" spans="2:9" x14ac:dyDescent="0.2">
      <c r="B23" s="67" t="str">
        <f>"-----------------------------------------------&gt;&gt;"</f>
        <v>-----------------------------------------------&gt;&gt;</v>
      </c>
      <c r="C23" s="222">
        <f>MIN(C22,C21)</f>
        <v>1563</v>
      </c>
      <c r="D23" s="473"/>
      <c r="E23" s="4" t="s">
        <v>183</v>
      </c>
    </row>
    <row r="24" spans="2:9" x14ac:dyDescent="0.2">
      <c r="B24" s="12">
        <v>1</v>
      </c>
      <c r="C24" s="222">
        <f>ROUNDDOWN($C$23*D24,0)</f>
        <v>390</v>
      </c>
      <c r="D24" s="474">
        <v>0.25</v>
      </c>
      <c r="E24" s="4" t="s">
        <v>185</v>
      </c>
      <c r="H24" s="4">
        <v>1300</v>
      </c>
      <c r="I24" s="302">
        <f>C24/H24</f>
        <v>0.3</v>
      </c>
    </row>
    <row r="25" spans="2:9" x14ac:dyDescent="0.2">
      <c r="B25" s="12">
        <v>2</v>
      </c>
      <c r="C25" s="222">
        <f t="shared" ref="C25" si="0">ROUNDDOWN($C$23*D25,0)</f>
        <v>390</v>
      </c>
      <c r="D25" s="474">
        <v>0.25</v>
      </c>
      <c r="E25" s="4" t="s">
        <v>187</v>
      </c>
      <c r="H25" s="4">
        <v>882</v>
      </c>
      <c r="I25" s="302">
        <f t="shared" ref="I25" si="1">C25/H25</f>
        <v>0.44217687074829931</v>
      </c>
    </row>
    <row r="26" spans="2:9" x14ac:dyDescent="0.2">
      <c r="B26" s="12">
        <v>3</v>
      </c>
      <c r="C26" s="222">
        <f>C23-C24-C25-C27</f>
        <v>80</v>
      </c>
      <c r="D26" s="474">
        <f>1-D27-D25-D24</f>
        <v>5.0000000000000044E-2</v>
      </c>
      <c r="H26" s="4">
        <v>975</v>
      </c>
      <c r="I26" s="302">
        <f>C26/H26</f>
        <v>8.2051282051282051E-2</v>
      </c>
    </row>
    <row r="27" spans="2:9" x14ac:dyDescent="0.2">
      <c r="B27" s="14">
        <v>4</v>
      </c>
      <c r="C27" s="222">
        <f>ROUNDDOWN($C$23*D27,0)</f>
        <v>703</v>
      </c>
      <c r="D27" s="475">
        <v>0.45</v>
      </c>
      <c r="E27" s="4" t="s">
        <v>190</v>
      </c>
      <c r="H27" s="4">
        <v>1486</v>
      </c>
      <c r="I27" s="302">
        <f>C27/H27</f>
        <v>0.47308209959623149</v>
      </c>
    </row>
    <row r="28" spans="2:9" x14ac:dyDescent="0.2">
      <c r="B28" s="9" t="s">
        <v>192</v>
      </c>
      <c r="C28" s="345">
        <f>SUM(C29:C32)</f>
        <v>1398</v>
      </c>
      <c r="D28" s="178"/>
      <c r="E28" s="4" t="s">
        <v>211</v>
      </c>
    </row>
    <row r="29" spans="2:9" x14ac:dyDescent="0.2">
      <c r="B29" s="12">
        <v>1</v>
      </c>
      <c r="C29" s="222">
        <f>ROUNDDOWN(C24*D29,0)</f>
        <v>351</v>
      </c>
      <c r="D29" s="478">
        <v>0.9</v>
      </c>
      <c r="F29" s="302"/>
    </row>
    <row r="30" spans="2:9" x14ac:dyDescent="0.2">
      <c r="B30" s="12">
        <v>2</v>
      </c>
      <c r="C30" s="222">
        <f t="shared" ref="C30" si="2">ROUNDDOWN(C25*D30,0)</f>
        <v>351</v>
      </c>
      <c r="D30" s="478">
        <v>0.9</v>
      </c>
      <c r="F30" s="302"/>
    </row>
    <row r="31" spans="2:9" x14ac:dyDescent="0.2">
      <c r="B31" s="12">
        <v>3</v>
      </c>
      <c r="C31" s="222">
        <f>ROUNDDOWN(C26*D31,0)</f>
        <v>64</v>
      </c>
      <c r="D31" s="478">
        <v>0.8</v>
      </c>
      <c r="F31" s="302"/>
    </row>
    <row r="32" spans="2:9" x14ac:dyDescent="0.2">
      <c r="B32" s="14">
        <v>4</v>
      </c>
      <c r="C32" s="463">
        <f>ROUNDDOWN(C27*D32,0)</f>
        <v>632</v>
      </c>
      <c r="D32" s="478">
        <v>0.9</v>
      </c>
      <c r="F32" s="302"/>
    </row>
    <row r="33" spans="2:5" ht="17" customHeight="1" x14ac:dyDescent="0.2">
      <c r="B33" s="9" t="s">
        <v>197</v>
      </c>
      <c r="C33" s="345">
        <f>C23-C19</f>
        <v>1440</v>
      </c>
      <c r="D33" s="178"/>
      <c r="E33" s="4" t="s">
        <v>198</v>
      </c>
    </row>
    <row r="34" spans="2:5" ht="17" customHeight="1" x14ac:dyDescent="0.2">
      <c r="B34" s="12" t="s">
        <v>38</v>
      </c>
      <c r="C34" s="221">
        <v>0.96</v>
      </c>
      <c r="D34" s="103"/>
    </row>
    <row r="35" spans="2:5" ht="17" customHeight="1" x14ac:dyDescent="0.2">
      <c r="B35" s="14" t="s">
        <v>199</v>
      </c>
      <c r="C35" s="463">
        <f>ROUNDDOWN(C33*C34,0)</f>
        <v>1382</v>
      </c>
      <c r="D35" s="103"/>
    </row>
    <row r="36" spans="2:5" ht="17" customHeight="1" x14ac:dyDescent="0.2">
      <c r="B36" s="9" t="s">
        <v>200</v>
      </c>
      <c r="C36" s="390">
        <v>1500</v>
      </c>
      <c r="D36" s="477"/>
    </row>
    <row r="37" spans="2:5" ht="17" customHeight="1" x14ac:dyDescent="0.2">
      <c r="B37" s="14" t="str">
        <f>"-------------------------------&gt;"</f>
        <v>-------------------------------&gt;</v>
      </c>
      <c r="C37" s="463">
        <f>IF(C7="Conservasive",1200-(C20-C35),C36)</f>
        <v>1500</v>
      </c>
      <c r="D37" s="103"/>
      <c r="E37" s="4" t="s">
        <v>201</v>
      </c>
    </row>
    <row r="38" spans="2:5" x14ac:dyDescent="0.2">
      <c r="B38" s="71" t="s">
        <v>19</v>
      </c>
      <c r="C38" s="401">
        <v>9</v>
      </c>
      <c r="D38" s="103"/>
    </row>
    <row r="39" spans="2:5" x14ac:dyDescent="0.2">
      <c r="B39" s="71" t="s">
        <v>202</v>
      </c>
      <c r="C39" s="402">
        <v>0.06</v>
      </c>
      <c r="D39" s="103"/>
    </row>
    <row r="40" spans="2:5" x14ac:dyDescent="0.2">
      <c r="B40" s="9" t="s">
        <v>203</v>
      </c>
      <c r="C40" s="345" t="s">
        <v>212</v>
      </c>
      <c r="D40" s="103"/>
    </row>
    <row r="41" spans="2:5" x14ac:dyDescent="0.2">
      <c r="B41" s="12">
        <v>1</v>
      </c>
      <c r="C41" s="291">
        <v>7</v>
      </c>
      <c r="D41" s="103"/>
    </row>
    <row r="42" spans="2:5" x14ac:dyDescent="0.2">
      <c r="B42" s="12">
        <v>2</v>
      </c>
      <c r="C42" s="291">
        <v>9</v>
      </c>
      <c r="D42" s="103"/>
    </row>
    <row r="43" spans="2:5" x14ac:dyDescent="0.2">
      <c r="B43" s="12">
        <v>3</v>
      </c>
      <c r="C43" s="291">
        <v>1</v>
      </c>
      <c r="D43" s="103"/>
    </row>
    <row r="44" spans="2:5" x14ac:dyDescent="0.2">
      <c r="B44" s="14">
        <v>4</v>
      </c>
      <c r="C44" s="393">
        <v>7</v>
      </c>
      <c r="D44" s="103"/>
    </row>
    <row r="45" spans="2:5" x14ac:dyDescent="0.2">
      <c r="B45" s="9" t="s">
        <v>204</v>
      </c>
      <c r="C45" s="345"/>
      <c r="D45" s="103"/>
    </row>
    <row r="46" spans="2:5" x14ac:dyDescent="0.2">
      <c r="B46" s="12">
        <v>1</v>
      </c>
      <c r="C46" s="291">
        <v>0</v>
      </c>
      <c r="D46" s="103"/>
    </row>
    <row r="47" spans="2:5" x14ac:dyDescent="0.2">
      <c r="B47" s="12">
        <v>2</v>
      </c>
      <c r="C47" s="291">
        <v>0</v>
      </c>
      <c r="D47" s="103"/>
    </row>
    <row r="48" spans="2:5" x14ac:dyDescent="0.2">
      <c r="B48" s="12">
        <v>3</v>
      </c>
      <c r="C48" s="291">
        <v>0</v>
      </c>
      <c r="D48" s="103"/>
    </row>
    <row r="49" spans="2:5" x14ac:dyDescent="0.2">
      <c r="B49" s="14">
        <v>4</v>
      </c>
      <c r="C49" s="393">
        <v>0</v>
      </c>
      <c r="D49" s="103"/>
    </row>
    <row r="50" spans="2:5" x14ac:dyDescent="0.2">
      <c r="B50" s="9" t="s">
        <v>82</v>
      </c>
      <c r="C50" s="390">
        <v>5200</v>
      </c>
      <c r="D50" s="103"/>
    </row>
    <row r="51" spans="2:5" x14ac:dyDescent="0.2">
      <c r="B51" s="12" t="s">
        <v>93</v>
      </c>
      <c r="C51" s="291">
        <v>7</v>
      </c>
      <c r="D51" s="103"/>
    </row>
    <row r="52" spans="2:5" x14ac:dyDescent="0.2">
      <c r="B52" s="12" t="s">
        <v>205</v>
      </c>
      <c r="C52" s="291">
        <v>5</v>
      </c>
      <c r="D52" s="103"/>
    </row>
    <row r="53" spans="2:5" x14ac:dyDescent="0.2">
      <c r="B53" s="14" t="s">
        <v>206</v>
      </c>
      <c r="C53" s="393">
        <v>80000</v>
      </c>
      <c r="D53" s="98"/>
      <c r="E53" s="4" t="s">
        <v>207</v>
      </c>
    </row>
  </sheetData>
  <conditionalFormatting sqref="C14">
    <cfRule type="cellIs" dxfId="0" priority="1" operator="greaterThan">
      <formula>0</formula>
    </cfRule>
  </conditionalFormatting>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787DD876-E46E-F745-B0BF-20F6B6C29955}">
          <x14:formula1>
            <xm:f>Reference!$A$28:$A$29</xm:f>
          </x14:formula1>
          <xm:sqref>C7</xm:sqref>
        </x14:dataValidation>
        <x14:dataValidation type="list" allowBlank="1" showInputMessage="1" showErrorMessage="1" xr:uid="{EE3CF9C1-7BDD-934E-B7B4-CD2E4F4CC210}">
          <x14:formula1>
            <xm:f>Reference!$A$14:$A$26</xm:f>
          </x14:formula1>
          <xm:sqref>C6</xm:sqref>
        </x14:dataValidation>
        <x14:dataValidation type="list" allowBlank="1" showInputMessage="1" showErrorMessage="1" xr:uid="{2D271DD3-3C92-5B4F-A895-879D30E3A014}">
          <x14:formula1>
            <xm:f>Reference!$A$31:$A$32</xm:f>
          </x14:formula1>
          <xm:sqref>C8</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46F84-016E-494A-A8BF-B8CF8344682E}">
  <sheetPr>
    <tabColor theme="2" tint="-9.9978637043366805E-2"/>
  </sheetPr>
  <dimension ref="A1:V174"/>
  <sheetViews>
    <sheetView zoomScaleNormal="120" workbookViewId="0">
      <selection activeCell="F68" sqref="F68"/>
    </sheetView>
  </sheetViews>
  <sheetFormatPr baseColWidth="10" defaultColWidth="11" defaultRowHeight="16" x14ac:dyDescent="0.2"/>
  <cols>
    <col min="1" max="1" width="5.6640625" style="4" customWidth="1"/>
    <col min="2" max="2" width="33.33203125" bestFit="1" customWidth="1"/>
    <col min="3" max="3" width="14" bestFit="1" customWidth="1"/>
    <col min="4" max="4" width="17.83203125" bestFit="1"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178" t="s">
        <v>0</v>
      </c>
      <c r="C2" s="4"/>
      <c r="D2" s="4"/>
      <c r="E2" s="4"/>
      <c r="F2" s="4"/>
      <c r="G2" s="4"/>
      <c r="H2" s="4"/>
      <c r="I2" s="4"/>
      <c r="J2" s="4"/>
      <c r="K2" s="4"/>
      <c r="L2" s="4"/>
      <c r="M2" s="4"/>
      <c r="N2" s="4"/>
      <c r="O2" s="4"/>
      <c r="P2" s="4"/>
      <c r="Q2" s="4"/>
      <c r="R2" s="4"/>
      <c r="S2" s="4"/>
      <c r="T2" s="4"/>
      <c r="U2" s="4"/>
      <c r="V2" s="4"/>
    </row>
    <row r="3" spans="1:22" x14ac:dyDescent="0.2">
      <c r="B3" s="460">
        <v>8</v>
      </c>
      <c r="C3" s="4"/>
      <c r="D3" s="4"/>
      <c r="E3" s="4"/>
      <c r="F3" s="4"/>
      <c r="G3" s="4"/>
      <c r="H3" s="4"/>
      <c r="I3" s="4"/>
      <c r="J3" s="4"/>
      <c r="K3" s="4"/>
      <c r="L3" s="4"/>
      <c r="M3" s="4"/>
      <c r="N3" s="4"/>
      <c r="O3" s="4"/>
      <c r="P3" s="4"/>
      <c r="Q3" s="4"/>
      <c r="R3" s="4"/>
      <c r="S3" s="4"/>
      <c r="T3" s="4"/>
      <c r="U3" s="4"/>
      <c r="V3" s="4"/>
    </row>
    <row r="4" spans="1:22" s="4" customFormat="1" x14ac:dyDescent="0.2">
      <c r="B4" s="178" t="s">
        <v>1</v>
      </c>
    </row>
    <row r="5" spans="1:22" s="4" customFormat="1" x14ac:dyDescent="0.2">
      <c r="B5" s="460" t="s">
        <v>6</v>
      </c>
    </row>
    <row r="6" spans="1:22" s="4" customFormat="1" x14ac:dyDescent="0.2">
      <c r="B6" s="178" t="s">
        <v>3</v>
      </c>
    </row>
    <row r="7" spans="1:22" s="4" customFormat="1" x14ac:dyDescent="0.2">
      <c r="B7" s="461" t="s">
        <v>169</v>
      </c>
    </row>
    <row r="8" spans="1:22" s="4" customFormat="1" x14ac:dyDescent="0.2"/>
    <row r="9" spans="1:22" s="4" customFormat="1" x14ac:dyDescent="0.2">
      <c r="B9" s="99" t="s">
        <v>4</v>
      </c>
    </row>
    <row r="10" spans="1:22" x14ac:dyDescent="0.2">
      <c r="B10" s="69" t="s">
        <v>5</v>
      </c>
      <c r="C10" s="4"/>
      <c r="D10" s="4"/>
      <c r="E10" s="4"/>
      <c r="F10" s="4"/>
      <c r="G10" s="4"/>
      <c r="H10" s="4"/>
      <c r="I10" s="4"/>
      <c r="J10" s="4"/>
      <c r="K10" s="4"/>
      <c r="L10" s="4"/>
      <c r="M10" s="4"/>
      <c r="N10" s="4"/>
      <c r="O10" s="4"/>
      <c r="P10" s="4"/>
      <c r="Q10" s="4"/>
      <c r="R10" s="4"/>
      <c r="S10" s="4"/>
      <c r="T10" s="4"/>
      <c r="U10" s="4"/>
      <c r="V10" s="4"/>
    </row>
    <row r="11" spans="1:22" x14ac:dyDescent="0.2">
      <c r="B11" s="268" t="s">
        <v>6</v>
      </c>
      <c r="C11" s="4"/>
      <c r="D11" s="4"/>
      <c r="E11" s="4"/>
      <c r="F11" s="4"/>
      <c r="G11" s="4"/>
      <c r="H11" s="4"/>
      <c r="I11" s="4"/>
      <c r="J11" s="4"/>
      <c r="K11" s="4"/>
      <c r="L11" s="4"/>
      <c r="M11" s="4"/>
      <c r="N11" s="4"/>
      <c r="O11" s="4"/>
      <c r="P11" s="4"/>
      <c r="Q11" s="4"/>
      <c r="R11" s="4"/>
      <c r="S11" s="4"/>
      <c r="T11" s="4"/>
      <c r="U11" s="4"/>
      <c r="V11" s="4"/>
    </row>
    <row r="12" spans="1:22" x14ac:dyDescent="0.2">
      <c r="B12" s="4"/>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 ca="1">F19*F20</f>
        <v>135000</v>
      </c>
      <c r="E18" s="576" t="s">
        <v>12</v>
      </c>
      <c r="F18" s="577"/>
      <c r="G18" s="578"/>
      <c r="I18" s="71" t="s">
        <v>13</v>
      </c>
      <c r="J18" s="72"/>
      <c r="K18" s="72" t="s">
        <v>14</v>
      </c>
      <c r="L18" s="72" t="s">
        <v>15</v>
      </c>
      <c r="M18" s="72" t="s">
        <v>16</v>
      </c>
      <c r="N18" s="73" t="s">
        <v>17</v>
      </c>
    </row>
    <row r="19" spans="2:22" s="4" customFormat="1" x14ac:dyDescent="0.2">
      <c r="B19" s="12" t="s">
        <v>18</v>
      </c>
      <c r="C19" s="217">
        <f ca="1">N23</f>
        <v>857835</v>
      </c>
      <c r="E19" s="284" t="s">
        <v>19</v>
      </c>
      <c r="F19" s="285">
        <v>15000</v>
      </c>
      <c r="G19" s="11" t="s">
        <v>20</v>
      </c>
      <c r="I19" s="12"/>
      <c r="J19" s="4" t="s">
        <v>21</v>
      </c>
      <c r="K19" s="4" t="s">
        <v>22</v>
      </c>
      <c r="L19" s="4">
        <f>VLOOKUP($K$19,$E$24:F59,2,FALSE)</f>
        <v>36</v>
      </c>
      <c r="M19" s="4">
        <f>L19*$F$25</f>
        <v>36</v>
      </c>
      <c r="N19" s="13">
        <f ca="1">M19*$F$24</f>
        <v>54000</v>
      </c>
    </row>
    <row r="20" spans="2:22" s="4" customFormat="1" x14ac:dyDescent="0.2">
      <c r="B20" s="12" t="s">
        <v>23</v>
      </c>
      <c r="C20" s="281">
        <f ca="1">C34*0.02*M24</f>
        <v>20020.850400000003</v>
      </c>
      <c r="E20" s="68"/>
      <c r="F20" s="76" cm="1">
        <f t="array" aca="1" ref="F20" ca="1">INDIRECT("'Input_Q"&amp;B3&amp;"-Predict'!C38")</f>
        <v>9</v>
      </c>
      <c r="G20" s="16"/>
      <c r="I20" s="12" t="s">
        <v>24</v>
      </c>
      <c r="J20" s="19" t="s">
        <v>25</v>
      </c>
      <c r="K20" s="4" t="s">
        <v>26</v>
      </c>
      <c r="L20" s="4">
        <f>VLOOKUP($K$20,$E$25:F60,2,FALSE)</f>
        <v>44.52</v>
      </c>
      <c r="M20" s="4">
        <f>L20*$F$28</f>
        <v>89.04</v>
      </c>
      <c r="N20" s="13">
        <f ca="1">M20*$F$24</f>
        <v>133560</v>
      </c>
    </row>
    <row r="21" spans="2:22" s="4" customFormat="1" x14ac:dyDescent="0.2">
      <c r="B21" s="14" t="s">
        <v>27</v>
      </c>
      <c r="C21" s="453">
        <v>280000</v>
      </c>
      <c r="E21" s="12" t="s">
        <v>28</v>
      </c>
      <c r="G21" s="103"/>
      <c r="I21" s="12"/>
      <c r="J21" s="20" t="s">
        <v>29</v>
      </c>
      <c r="K21" s="4" t="s">
        <v>30</v>
      </c>
      <c r="L21" s="4">
        <f>VLOOKUP($K$21,$E$26:F63,2,FALSE)</f>
        <v>187.20000000000002</v>
      </c>
      <c r="M21" s="4">
        <f>L21*$F$38</f>
        <v>374.40000000000003</v>
      </c>
      <c r="N21" s="13">
        <f ca="1">M21*$F$24</f>
        <v>561600</v>
      </c>
      <c r="V21" s="19"/>
    </row>
    <row r="22" spans="2:22" s="4" customFormat="1" x14ac:dyDescent="0.2">
      <c r="B22" s="14"/>
      <c r="C22" s="278">
        <f ca="1">SUM(C17:C21)</f>
        <v>1292855.8503999999</v>
      </c>
      <c r="E22" s="12" t="s">
        <v>31</v>
      </c>
      <c r="F22" s="214">
        <v>1300000</v>
      </c>
      <c r="G22" s="103"/>
      <c r="I22" s="12"/>
      <c r="J22" s="70" t="s">
        <v>32</v>
      </c>
      <c r="K22" s="4" t="s">
        <v>33</v>
      </c>
      <c r="L22" s="4">
        <f>VLOOKUP($K$22,$E$21:F60,2,FALSE)</f>
        <v>24.150000000000002</v>
      </c>
      <c r="M22" s="4">
        <f>L22*$F$51</f>
        <v>72.45</v>
      </c>
      <c r="N22" s="13">
        <f ca="1">M22*$F$24</f>
        <v>108675</v>
      </c>
      <c r="V22" s="20"/>
    </row>
    <row r="23" spans="2:22" s="4" customFormat="1" x14ac:dyDescent="0.2">
      <c r="E23" s="12" t="s">
        <v>34</v>
      </c>
      <c r="F23" s="214">
        <v>1500000</v>
      </c>
      <c r="G23" s="103"/>
      <c r="I23" s="71" t="s">
        <v>35</v>
      </c>
      <c r="J23" s="72"/>
      <c r="K23" s="72"/>
      <c r="L23" s="72"/>
      <c r="M23" s="72">
        <f>SUM(M19:M22)</f>
        <v>571.8900000000001</v>
      </c>
      <c r="N23" s="73">
        <f ca="1">SUM(N19:N22)</f>
        <v>857835</v>
      </c>
      <c r="V23" s="70"/>
    </row>
    <row r="24" spans="2:22" s="4" customFormat="1" x14ac:dyDescent="0.2">
      <c r="E24" s="14" t="s">
        <v>18</v>
      </c>
      <c r="F24" s="95" cm="1">
        <f t="array" aca="1" ref="F24" ca="1">INDIRECT("'Input_Q"&amp;B3&amp;"-Predict'!C36")</f>
        <v>1500</v>
      </c>
      <c r="G24" s="103" t="s">
        <v>36</v>
      </c>
      <c r="I24" s="14" t="s">
        <v>37</v>
      </c>
      <c r="J24" s="15"/>
      <c r="K24" s="15"/>
      <c r="L24" s="15"/>
      <c r="M24" s="15">
        <f>M23-M19</f>
        <v>535.8900000000001</v>
      </c>
      <c r="N24" s="16">
        <f ca="1">M24*F24</f>
        <v>803835.00000000012</v>
      </c>
    </row>
    <row r="25" spans="2:22" s="4" customFormat="1" x14ac:dyDescent="0.2">
      <c r="B25" s="71" t="s">
        <v>38</v>
      </c>
      <c r="C25" s="454" cm="1">
        <f t="array" aca="1" ref="C25" ca="1">IF(B5="Validation",'Q8-Predict'!C30/'Q8-Predict'!C29,INDIRECT("'Input_Q"&amp;B3&amp;"-Predict'!C34"))</f>
        <v>0.96</v>
      </c>
      <c r="E25" s="9" t="s">
        <v>21</v>
      </c>
      <c r="F25" s="10">
        <v>1</v>
      </c>
      <c r="G25" s="103" t="s">
        <v>39</v>
      </c>
    </row>
    <row r="26" spans="2:22" s="4" customFormat="1" x14ac:dyDescent="0.2">
      <c r="E26" s="12" t="s">
        <v>40</v>
      </c>
      <c r="F26" s="214">
        <v>20</v>
      </c>
      <c r="G26" s="103"/>
    </row>
    <row r="27" spans="2:22" s="4" customFormat="1" x14ac:dyDescent="0.2">
      <c r="B27" s="9" t="s">
        <v>41</v>
      </c>
      <c r="C27" s="289">
        <f>INDEX(Data_Stock!B2:N11,MATCH("Left Inventory",Data_Stock!B2:B11,0),MATCH(VALUE(B3-1),Data_Stock!B2:N2,0))</f>
        <v>123</v>
      </c>
      <c r="E27" s="14" t="s">
        <v>22</v>
      </c>
      <c r="F27" s="283">
        <v>36</v>
      </c>
      <c r="G27" s="98"/>
    </row>
    <row r="28" spans="2:22" s="4" customFormat="1" x14ac:dyDescent="0.2">
      <c r="B28" s="12" t="s">
        <v>42</v>
      </c>
      <c r="C28" s="290">
        <f>INDEX(Data_Stock!B2:N11,MATCH("Left",Data_Stock!B2:B11,0),MATCH(VALUE(B3-1),Data_Stock!B2:N2,0))</f>
        <v>1750</v>
      </c>
      <c r="E28" s="9" t="s">
        <v>25</v>
      </c>
      <c r="F28" s="11">
        <v>2</v>
      </c>
      <c r="G28" s="103" t="s">
        <v>39</v>
      </c>
      <c r="P28" s="214"/>
      <c r="V28" s="19"/>
    </row>
    <row r="29" spans="2:22" s="4" customFormat="1" x14ac:dyDescent="0.2">
      <c r="B29" s="12" t="s">
        <v>43</v>
      </c>
      <c r="C29" s="291" cm="1">
        <f t="array" aca="1" ref="C29" ca="1">INDIRECT("'Input_Q"&amp;B3&amp;"-Predict'!C33")</f>
        <v>1440</v>
      </c>
      <c r="E29" s="12" t="s">
        <v>44</v>
      </c>
      <c r="F29" s="13">
        <f>(1+F31)*F30</f>
        <v>43.2</v>
      </c>
      <c r="G29" s="103"/>
      <c r="V29" s="20"/>
    </row>
    <row r="30" spans="2:22" s="4" customFormat="1" x14ac:dyDescent="0.2">
      <c r="B30" s="12" t="str">
        <f>IF(B5="Validation","Actual Production","Predict Production")</f>
        <v>Predict Production</v>
      </c>
      <c r="C30" s="292">
        <f>INDEX(Data_Stock!B2:N11,MATCH("Produced",Data_Stock!B2:B11,0),MATCH(VALUE(B3),Data_Stock!B2:N2,0))</f>
        <v>1382</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 ca="1">F24</f>
        <v>1500</v>
      </c>
      <c r="E33" s="67" t="s">
        <v>45</v>
      </c>
      <c r="F33" s="13">
        <v>42</v>
      </c>
      <c r="G33" s="103"/>
    </row>
    <row r="34" spans="2:14" s="4" customFormat="1" x14ac:dyDescent="0.2">
      <c r="B34" s="12" t="s">
        <v>49</v>
      </c>
      <c r="C34" s="222">
        <f ca="1">IF(B5="Validation",INDEX(Data_Stock!B2:N11,MATCH("Left",Data_Stock!B2:B11,0),MATCH('Q8-Predict'!B3,Data_Stock!B2:N2,0)),C28+F24-C30)</f>
        <v>1868</v>
      </c>
      <c r="E34" s="67" t="s">
        <v>46</v>
      </c>
      <c r="F34" s="13">
        <v>0.06</v>
      </c>
      <c r="G34" s="103"/>
    </row>
    <row r="35" spans="2:14" s="4" customFormat="1" x14ac:dyDescent="0.2">
      <c r="B35" s="14" t="s">
        <v>50</v>
      </c>
      <c r="C35" s="288">
        <f ca="1">C34*M24</f>
        <v>1001042.5200000001</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 ca="1">SUMPRODUCT(F73:I73,F71:I71)</f>
        <v>4017102</v>
      </c>
    </row>
    <row r="69" spans="2:11" s="4" customFormat="1" x14ac:dyDescent="0.2">
      <c r="B69" s="12" t="s">
        <v>61</v>
      </c>
      <c r="C69" s="221">
        <f ca="1">J75</f>
        <v>319567.58999999997</v>
      </c>
      <c r="E69" s="9" t="str">
        <f>IF(B5="Validation","Actual S.C.R","Predict S.C.R")</f>
        <v>Predict S.C.R</v>
      </c>
      <c r="F69" s="311" cm="1">
        <f t="array" aca="1" ref="F69" ca="1">IF($B$5="Validation",F73/F72,INDIRECT("'Input_Q"&amp;$B$3&amp;"-Predict'!D29"))</f>
        <v>0.9</v>
      </c>
      <c r="G69" s="311" cm="1">
        <f t="array" aca="1" ref="G69" ca="1">IF($B$5="Validation",G73/G72,INDIRECT("'Input_Q"&amp;$B$3&amp;"-Predict'!D30"))</f>
        <v>0.9</v>
      </c>
      <c r="H69" s="311" cm="1">
        <f t="array" aca="1" ref="H69" ca="1">IF($B$5="Validation",H73/H72,INDIRECT("'Input_Q"&amp;$B$3&amp;"-Predict'!D31"))</f>
        <v>0.8</v>
      </c>
      <c r="I69" s="311" cm="1">
        <f t="array" aca="1" ref="I69" ca="1">IF($B$5="Validation",I73/I72,INDIRECT("'Input_Q"&amp;$B$3&amp;"-Predict'!D32"))</f>
        <v>0.9</v>
      </c>
      <c r="J69" s="11"/>
    </row>
    <row r="70" spans="2:11" s="4" customFormat="1" x14ac:dyDescent="0.2">
      <c r="B70" s="12" t="s">
        <v>62</v>
      </c>
      <c r="C70" s="318">
        <f ca="1">C68*C74</f>
        <v>241026.12</v>
      </c>
      <c r="E70" s="297" t="s">
        <v>63</v>
      </c>
      <c r="F70" s="298">
        <v>1</v>
      </c>
      <c r="G70" s="298">
        <v>2</v>
      </c>
      <c r="H70" s="298">
        <v>3</v>
      </c>
      <c r="I70" s="299">
        <v>4</v>
      </c>
      <c r="J70" s="299" t="s">
        <v>64</v>
      </c>
    </row>
    <row r="71" spans="2:11" s="4" customFormat="1" x14ac:dyDescent="0.2">
      <c r="B71" s="14"/>
      <c r="C71" s="319">
        <f ca="1">SUM(C68:C70)</f>
        <v>4577695.71</v>
      </c>
      <c r="E71" s="300" t="s">
        <v>65</v>
      </c>
      <c r="F71" s="358" cm="1">
        <f t="array" aca="1" ref="F71" ca="1">INDIRECT("'Input_Q"&amp;$B$3&amp;"-Predict'!C10")</f>
        <v>2999</v>
      </c>
      <c r="G71" s="358" cm="1">
        <f t="array" aca="1" ref="G71" ca="1">INDIRECT("'Input_Q"&amp;$B$3&amp;"-Predict'!C11")</f>
        <v>2499</v>
      </c>
      <c r="H71" s="358" cm="1">
        <f t="array" aca="1" ref="H71" ca="1">INDIRECT("'Input_Q"&amp;$B$3&amp;"-Predict'!C12")</f>
        <v>2999</v>
      </c>
      <c r="I71" s="358" cm="1">
        <f t="array" aca="1" ref="I71" ca="1">INDIRECT("'Input_Q"&amp;$B$3&amp;"-Predict'!C13")</f>
        <v>2999</v>
      </c>
      <c r="J71" s="301" t="s">
        <v>66</v>
      </c>
      <c r="K71" s="363"/>
    </row>
    <row r="72" spans="2:11" s="4" customFormat="1" x14ac:dyDescent="0.2">
      <c r="E72" s="300" t="s">
        <v>67</v>
      </c>
      <c r="F72" s="272" cm="1">
        <f t="array" aca="1" ref="F72" ca="1">INDIRECT("'Input_Q"&amp;$B$3&amp;"-Predict'!C24")</f>
        <v>390</v>
      </c>
      <c r="G72" s="272" cm="1">
        <f t="array" aca="1" ref="G72" ca="1">INDIRECT("'Input_Q"&amp;$B$3&amp;"-Predict'!C25")</f>
        <v>390</v>
      </c>
      <c r="H72" s="272" cm="1">
        <f t="array" aca="1" ref="H72" ca="1">INDIRECT("'Input_Q"&amp;$B$3&amp;"-Predict'!C26")</f>
        <v>80</v>
      </c>
      <c r="I72" s="272" cm="1">
        <f t="array" aca="1" ref="I72" ca="1">INDIRECT("'Input_Q"&amp;$B$3&amp;"-Predict'!C27")</f>
        <v>703</v>
      </c>
      <c r="J72" s="303">
        <f>Archived_Testing_Q5!B19</f>
        <v>1600</v>
      </c>
    </row>
    <row r="73" spans="2:11" s="4" customFormat="1" x14ac:dyDescent="0.2">
      <c r="D73" s="199"/>
      <c r="E73" s="300" t="str">
        <f>IF(B5="Validation","Actual Sale","Predict Sale")</f>
        <v>Predict Sale</v>
      </c>
      <c r="F73" s="353">
        <f ca="1">IF($E$73="Actual Sale",INDEX(Data_Sales!$B$3:$N$8,MATCH(F70,Data_Sales!$B$3:$B$8,0),MATCH($B$3,Data_Sales!$B$3:$N$3,0)),ROUNDDOWN(F69*F72,0))</f>
        <v>351</v>
      </c>
      <c r="G73" s="353">
        <f ca="1">IF($E$73="Actual Sale",INDEX(Data_Sales!$B$3:$N$8,MATCH(G70,Data_Sales!$B$3:$B$8,0),MATCH($B$3,Data_Sales!$B$3:$N$3,0)),ROUNDDOWN(G69*G72,0))</f>
        <v>351</v>
      </c>
      <c r="H73" s="353">
        <f ca="1">IF($E$73="Actual Sale",INDEX(Data_Sales!$B$3:$N$8,MATCH(H70,Data_Sales!$B$3:$B$8,0),MATCH($B$3,Data_Sales!$B$3:$N$3,0)),ROUNDDOWN(H69*H72,0))</f>
        <v>64</v>
      </c>
      <c r="I73" s="353">
        <f ca="1">IF($E$73="Actual Sale",INDEX(Data_Sales!$B$3:$N$8,MATCH(I70,Data_Sales!$B$3:$B$8,0),MATCH($B$3,Data_Sales!$B$3:$N$3,0)),ROUNDDOWN(I69*I72,0))</f>
        <v>632</v>
      </c>
      <c r="J73" s="383">
        <f ca="1">SUM(F73:I73)</f>
        <v>1398</v>
      </c>
    </row>
    <row r="74" spans="2:11" s="4" customFormat="1" x14ac:dyDescent="0.2">
      <c r="B74" s="9" t="s">
        <v>68</v>
      </c>
      <c r="C74" s="406" cm="1">
        <f t="array" aca="1" ref="C74" ca="1">INDIRECT("'Input_Q"&amp;B3&amp;"-Predict'!C39")</f>
        <v>0.06</v>
      </c>
      <c r="D74" s="199"/>
      <c r="E74" s="300" t="s">
        <v>69</v>
      </c>
      <c r="F74" s="256" cm="1">
        <f t="array" aca="1" ref="F74" ca="1">INDIRECT("'Input_Q"&amp;$B$3&amp;"-Predict'!C41")</f>
        <v>7</v>
      </c>
      <c r="G74" s="256" cm="1">
        <f t="array" aca="1" ref="G74" ca="1">INDIRECT("'Input_Q"&amp;$B$3&amp;"-Predict'!C42")</f>
        <v>9</v>
      </c>
      <c r="H74" s="256" cm="1">
        <f t="array" aca="1" ref="H74" ca="1">INDIRECT("'Input_Q"&amp;$B$3&amp;"-Predict'!C43")</f>
        <v>1</v>
      </c>
      <c r="I74" s="256" cm="1">
        <f t="array" aca="1" ref="I74" ca="1">INDIRECT("'Input_Q"&amp;$B$3&amp;"-Predict'!C44")</f>
        <v>7</v>
      </c>
      <c r="J74" s="301"/>
    </row>
    <row r="75" spans="2:11" s="4" customFormat="1" x14ac:dyDescent="0.2">
      <c r="B75" s="12" t="s">
        <v>70</v>
      </c>
      <c r="C75" s="221">
        <f>J72</f>
        <v>1600</v>
      </c>
      <c r="D75" s="357"/>
      <c r="E75" s="300" t="s">
        <v>71</v>
      </c>
      <c r="F75" s="312">
        <f ca="1">F72*F71*F74/100</f>
        <v>81872.7</v>
      </c>
      <c r="G75" s="312">
        <f ca="1">G72*G71*G74/100</f>
        <v>87714.9</v>
      </c>
      <c r="H75" s="312">
        <f ca="1">H72*H71*H74/100</f>
        <v>2399.1999999999998</v>
      </c>
      <c r="I75" s="304">
        <f ca="1">I72*I71*I74/100</f>
        <v>147580.79</v>
      </c>
      <c r="J75" s="304">
        <f ca="1">SUM(F75:I75)</f>
        <v>319567.58999999997</v>
      </c>
    </row>
    <row r="76" spans="2:11" s="4" customFormat="1" x14ac:dyDescent="0.2">
      <c r="B76" s="12" t="s">
        <v>72</v>
      </c>
      <c r="C76" s="221">
        <f ca="1">J73</f>
        <v>1398</v>
      </c>
      <c r="D76" s="199"/>
      <c r="E76" s="300" t="s">
        <v>73</v>
      </c>
      <c r="F76" s="256" cm="1">
        <f t="array" aca="1" ref="F76" ca="1">INDIRECT("'Input_Q"&amp;$B$3&amp;"-Predict'!C46")</f>
        <v>0</v>
      </c>
      <c r="G76" s="256" cm="1">
        <f t="array" aca="1" ref="G76" ca="1">INDIRECT("'Input_Q"&amp;$B$3&amp;"-Predict'!C47")</f>
        <v>0</v>
      </c>
      <c r="H76" s="256" cm="1">
        <f t="array" aca="1" ref="H76" ca="1">INDIRECT("'Input_Q"&amp;$B$3&amp;"-Predict'!C48")</f>
        <v>0</v>
      </c>
      <c r="I76" s="256" cm="1">
        <f t="array" aca="1" ref="I76" ca="1">INDIRECT("'Input_Q"&amp;$B$3&amp;"-Predict'!C49")</f>
        <v>0</v>
      </c>
      <c r="J76" s="301" t="s">
        <v>66</v>
      </c>
    </row>
    <row r="77" spans="2:11" s="4" customFormat="1" x14ac:dyDescent="0.2">
      <c r="B77" s="14" t="s">
        <v>74</v>
      </c>
      <c r="C77" s="319">
        <f ca="1">C75-C76</f>
        <v>202</v>
      </c>
      <c r="D77" s="199"/>
      <c r="E77" s="305" t="s">
        <v>75</v>
      </c>
      <c r="F77" s="306">
        <f ca="1">INDEX(Data_EmployeeNumber!$A$4:$E$16,MATCH('Q8-Predict'!$B$3-1,Data_EmployeeNumber!$A$4:$A$16,0),MATCH('Q8-Predict'!F70,Data_EmployeeNumber!$A$4:$E$4,0))+'Q8-Predict'!F76</f>
        <v>3</v>
      </c>
      <c r="G77" s="306">
        <f ca="1">INDEX(Data_EmployeeNumber!$A$4:$E$16,MATCH('Q8-Predict'!$B$3-1,Data_EmployeeNumber!$A$4:$A$16,0),MATCH('Q8-Predict'!G70,Data_EmployeeNumber!$A$4:$E$4,0))+'Q8-Predict'!G76</f>
        <v>3</v>
      </c>
      <c r="H77" s="306">
        <f ca="1">INDEX(Data_EmployeeNumber!$A$4:$E$16,MATCH('Q8-Predict'!$B$3-1,Data_EmployeeNumber!$A$4:$A$16,0),MATCH('Q8-Predict'!H70,Data_EmployeeNumber!$A$4:$E$4,0))+'Q8-Predict'!H76</f>
        <v>1</v>
      </c>
      <c r="I77" s="306">
        <f ca="1">INDEX(Data_EmployeeNumber!$A$4:$E$16,MATCH('Q8-Predict'!$B$3-1,Data_EmployeeNumber!$A$4:$A$16,0),MATCH('Q8-Predict'!I70,Data_EmployeeNumber!$A$4:$E$4,0))+'Q8-Predict'!I76</f>
        <v>4</v>
      </c>
      <c r="J77" s="307">
        <f ca="1">SUM(F77:I77)</f>
        <v>11</v>
      </c>
    </row>
    <row r="78" spans="2:11" s="4" customFormat="1" x14ac:dyDescent="0.2">
      <c r="E78" s="300" t="s">
        <v>76</v>
      </c>
      <c r="F78" s="296"/>
      <c r="G78" s="296"/>
      <c r="H78" s="296"/>
      <c r="I78" s="301"/>
      <c r="J78" s="455" t="s">
        <v>77</v>
      </c>
    </row>
    <row r="79" spans="2:11" s="4" customFormat="1" x14ac:dyDescent="0.2">
      <c r="E79" s="305" t="s">
        <v>78</v>
      </c>
      <c r="F79" s="308"/>
      <c r="G79" s="308"/>
      <c r="H79" s="308"/>
      <c r="I79" s="317"/>
      <c r="J79" s="456" t="s">
        <v>77</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 ca="1">I98</f>
        <v>304200</v>
      </c>
      <c r="D92" s="214"/>
      <c r="E92" s="71" t="s">
        <v>82</v>
      </c>
      <c r="F92" s="329" cm="1">
        <f t="array" aca="1" ref="F92" ca="1">INDIRECT("'Input_Q"&amp;$B$3&amp;"-Predict'!C50")</f>
        <v>5200</v>
      </c>
      <c r="H92" s="71" t="s">
        <v>82</v>
      </c>
      <c r="I92" s="72" t="s">
        <v>83</v>
      </c>
      <c r="J92" s="72" t="s">
        <v>84</v>
      </c>
      <c r="K92" s="72" t="s">
        <v>85</v>
      </c>
      <c r="L92" s="73" t="s">
        <v>86</v>
      </c>
    </row>
    <row r="93" spans="1:12" s="4" customFormat="1" x14ac:dyDescent="0.2">
      <c r="B93" s="12" t="s">
        <v>87</v>
      </c>
      <c r="C93" s="217">
        <f ca="1">K103</f>
        <v>70000</v>
      </c>
      <c r="D93" s="214"/>
      <c r="H93" s="12" t="s">
        <v>88</v>
      </c>
      <c r="I93" s="214">
        <f ca="1">$F$92*K93</f>
        <v>26000</v>
      </c>
      <c r="J93" s="4">
        <v>1</v>
      </c>
      <c r="K93" s="4">
        <v>5</v>
      </c>
      <c r="L93" s="13">
        <f>J93*K93</f>
        <v>5</v>
      </c>
    </row>
    <row r="94" spans="1:12" s="4" customFormat="1" x14ac:dyDescent="0.2">
      <c r="B94" s="12" t="s">
        <v>89</v>
      </c>
      <c r="C94" s="217">
        <f ca="1">K104</f>
        <v>10000</v>
      </c>
      <c r="D94" s="321"/>
      <c r="E94" s="71" t="s">
        <v>90</v>
      </c>
      <c r="F94" s="73"/>
      <c r="H94" s="12" t="s">
        <v>91</v>
      </c>
      <c r="I94" s="214">
        <f ca="1">$F$92*K94</f>
        <v>5200</v>
      </c>
      <c r="J94" s="4">
        <v>35</v>
      </c>
      <c r="K94" s="4">
        <v>1</v>
      </c>
      <c r="L94" s="13">
        <f>J94*K94</f>
        <v>35</v>
      </c>
    </row>
    <row r="95" spans="1:12" s="4" customFormat="1" x14ac:dyDescent="0.2">
      <c r="B95" s="12" t="s">
        <v>92</v>
      </c>
      <c r="C95" s="217">
        <f ca="1">K105</f>
        <v>47000</v>
      </c>
      <c r="E95" s="12" t="s">
        <v>93</v>
      </c>
      <c r="F95" s="327">
        <v>10000</v>
      </c>
      <c r="H95" s="12" t="s">
        <v>94</v>
      </c>
      <c r="I95" s="214">
        <f ca="1">$F$92*K95</f>
        <v>13000</v>
      </c>
      <c r="J95" s="4">
        <v>3</v>
      </c>
      <c r="K95" s="4">
        <v>2.5</v>
      </c>
      <c r="L95" s="13">
        <f>J95*K95</f>
        <v>7.5</v>
      </c>
    </row>
    <row r="96" spans="1:12" s="4" customFormat="1" x14ac:dyDescent="0.2">
      <c r="B96" s="71"/>
      <c r="C96" s="324">
        <f ca="1">SUM(C92:C95)</f>
        <v>431200</v>
      </c>
      <c r="E96" s="12" t="s">
        <v>95</v>
      </c>
      <c r="F96" s="194" cm="1">
        <f t="array" aca="1" ref="F96" ca="1">INDIRECT("'Input_Q"&amp;$B$3&amp;"-Predict'!C51")</f>
        <v>7</v>
      </c>
      <c r="H96" s="12" t="s">
        <v>96</v>
      </c>
      <c r="I96" s="214">
        <f ca="1">$F$92*K96</f>
        <v>5200</v>
      </c>
      <c r="J96" s="4">
        <f ca="1">J77</f>
        <v>11</v>
      </c>
      <c r="K96" s="4">
        <v>1</v>
      </c>
      <c r="L96" s="13">
        <f ca="1">J96*K96</f>
        <v>11</v>
      </c>
    </row>
    <row r="97" spans="1:12" s="4" customFormat="1" x14ac:dyDescent="0.2">
      <c r="E97" s="12" t="s">
        <v>97</v>
      </c>
      <c r="F97" s="217">
        <v>2000</v>
      </c>
      <c r="H97" s="12" t="s">
        <v>64</v>
      </c>
      <c r="I97" s="4" t="s">
        <v>66</v>
      </c>
      <c r="J97" s="4">
        <f ca="1">SUM(J93:J96)</f>
        <v>50</v>
      </c>
      <c r="K97" s="4" t="s">
        <v>66</v>
      </c>
      <c r="L97" s="13">
        <f ca="1">SUM(L93:L96)</f>
        <v>58.5</v>
      </c>
    </row>
    <row r="98" spans="1:12" s="4" customFormat="1" x14ac:dyDescent="0.2">
      <c r="B98" s="71" t="s">
        <v>98</v>
      </c>
      <c r="C98" s="73"/>
      <c r="E98" s="14" t="s">
        <v>95</v>
      </c>
      <c r="F98" s="76" cm="1">
        <f t="array" aca="1" ref="F98" ca="1">INDIRECT("'Input_Q"&amp;$B$3&amp;"-Predict'!C52")</f>
        <v>5</v>
      </c>
      <c r="H98" s="14" t="s">
        <v>99</v>
      </c>
      <c r="I98" s="322">
        <f ca="1">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 ca="1">F92</f>
        <v>5200</v>
      </c>
      <c r="J102" s="4">
        <f ca="1">L97</f>
        <v>58.5</v>
      </c>
      <c r="K102" s="217">
        <f ca="1">I102*J102</f>
        <v>304200</v>
      </c>
    </row>
    <row r="103" spans="1:12" s="4" customFormat="1" x14ac:dyDescent="0.2">
      <c r="E103" s="12" t="s">
        <v>106</v>
      </c>
      <c r="F103" s="217">
        <v>175</v>
      </c>
      <c r="H103" s="12" t="s">
        <v>93</v>
      </c>
      <c r="I103" s="214">
        <f>F95</f>
        <v>10000</v>
      </c>
      <c r="J103" s="4">
        <f ca="1">F96</f>
        <v>7</v>
      </c>
      <c r="K103" s="217">
        <f ca="1">F95*J103</f>
        <v>70000</v>
      </c>
    </row>
    <row r="104" spans="1:12" s="4" customFormat="1" ht="17" customHeight="1" x14ac:dyDescent="0.2">
      <c r="E104" s="12" t="s">
        <v>107</v>
      </c>
      <c r="F104" s="217">
        <v>400</v>
      </c>
      <c r="H104" s="12" t="s">
        <v>97</v>
      </c>
      <c r="I104" s="214">
        <f>F97</f>
        <v>2000</v>
      </c>
      <c r="J104" s="4">
        <f ca="1">F98</f>
        <v>5</v>
      </c>
      <c r="K104" s="217">
        <f ca="1">F97*J104</f>
        <v>10000</v>
      </c>
    </row>
    <row r="105" spans="1:12" s="4" customFormat="1" x14ac:dyDescent="0.2">
      <c r="E105" s="12" t="s">
        <v>108</v>
      </c>
      <c r="F105" s="217">
        <v>280</v>
      </c>
      <c r="H105" s="12" t="s">
        <v>109</v>
      </c>
      <c r="I105" s="214">
        <f>F102+F106+F107+F108</f>
        <v>940</v>
      </c>
      <c r="J105" s="4">
        <f ca="1">J97</f>
        <v>50</v>
      </c>
      <c r="K105" s="217">
        <f ca="1">I105*J105</f>
        <v>47000</v>
      </c>
    </row>
    <row r="106" spans="1:12" s="4" customFormat="1" x14ac:dyDescent="0.2">
      <c r="E106" s="325" t="s">
        <v>110</v>
      </c>
      <c r="F106" s="217">
        <v>350</v>
      </c>
      <c r="H106" s="14"/>
      <c r="I106" s="15"/>
      <c r="J106" s="15"/>
      <c r="K106" s="278">
        <f ca="1">SUM(K102:K105)</f>
        <v>431200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457" t="s">
        <v>114</v>
      </c>
      <c r="C113" s="458">
        <v>0</v>
      </c>
    </row>
    <row r="114" spans="1:22" s="4" customFormat="1" x14ac:dyDescent="0.2">
      <c r="B114" s="275" t="s">
        <v>115</v>
      </c>
      <c r="C114" s="459">
        <v>0</v>
      </c>
    </row>
    <row r="115" spans="1:22" s="4" customFormat="1" x14ac:dyDescent="0.2">
      <c r="B115" s="275" t="s">
        <v>116</v>
      </c>
      <c r="C115" s="459">
        <f>C113*C114</f>
        <v>0</v>
      </c>
    </row>
    <row r="116" spans="1:22" s="4" customFormat="1" x14ac:dyDescent="0.2">
      <c r="B116" s="14" t="s">
        <v>117</v>
      </c>
      <c r="C116" s="76" cm="1">
        <f t="array" aca="1" ref="C116" ca="1">INDIRECT("'Input_Q"&amp;$B$3&amp;"-Predict'!C53")</f>
        <v>80000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118</v>
      </c>
    </row>
    <row r="121" spans="1:22" s="4" customFormat="1" x14ac:dyDescent="0.2"/>
    <row r="122" spans="1:22" s="4" customFormat="1" x14ac:dyDescent="0.2">
      <c r="B122" s="4" t="s">
        <v>119</v>
      </c>
    </row>
    <row r="123" spans="1:22" s="4" customFormat="1" x14ac:dyDescent="0.2">
      <c r="B123" s="9" t="s">
        <v>60</v>
      </c>
      <c r="C123" s="334">
        <f ca="1">IFERROR(VLOOKUP(B123,$B$14:$C$121,2,FALSE),0)</f>
        <v>4017102</v>
      </c>
      <c r="D123" s="286"/>
      <c r="E123" s="286"/>
    </row>
    <row r="124" spans="1:22" s="4" customFormat="1" x14ac:dyDescent="0.2">
      <c r="B124" s="275" t="s">
        <v>120</v>
      </c>
      <c r="C124" s="366">
        <f ca="1">IF(D124="Match",(C74+0.125)*C123+J73*M23,E12)</f>
        <v>1542666.09</v>
      </c>
      <c r="D124" s="302" t="s">
        <v>121</v>
      </c>
      <c r="E124" s="268">
        <v>996058.8</v>
      </c>
      <c r="F124" s="9" t="s">
        <v>400</v>
      </c>
      <c r="G124" s="9" t="s">
        <v>122</v>
      </c>
      <c r="H124" s="331"/>
      <c r="I124" s="10">
        <f ca="1">H124/$H$128</f>
        <v>0</v>
      </c>
      <c r="J124" s="11"/>
    </row>
    <row r="125" spans="1:22" s="4" customFormat="1" x14ac:dyDescent="0.2">
      <c r="B125" s="12" t="s">
        <v>123</v>
      </c>
      <c r="C125" s="336">
        <f ca="1">C123-C124</f>
        <v>2474435.91</v>
      </c>
      <c r="E125" s="302"/>
      <c r="F125" s="12"/>
      <c r="G125" s="12" t="s">
        <v>124</v>
      </c>
      <c r="H125" s="279">
        <f ca="1">SUMIF(D127:D139,"FC",C127:C139)</f>
        <v>1802988.4404</v>
      </c>
      <c r="I125" s="4">
        <f ca="1">H125/$H$128</f>
        <v>1289.6913021459227</v>
      </c>
      <c r="J125" s="13"/>
    </row>
    <row r="126" spans="1:22" s="4" customFormat="1" x14ac:dyDescent="0.2">
      <c r="B126" s="12" t="s">
        <v>125</v>
      </c>
      <c r="C126" s="336"/>
      <c r="F126" s="12"/>
      <c r="G126" s="12" t="s">
        <v>120</v>
      </c>
      <c r="H126" s="279">
        <f ca="1">C124</f>
        <v>1542666.09</v>
      </c>
      <c r="I126" s="4">
        <f ca="1">H126/$H$128</f>
        <v>1103.4807510729615</v>
      </c>
      <c r="J126" s="13"/>
    </row>
    <row r="127" spans="1:22" s="4" customFormat="1" x14ac:dyDescent="0.2">
      <c r="B127" s="12" t="s">
        <v>126</v>
      </c>
      <c r="C127" s="336">
        <f>IF(B7="Overtime",560000,280000)</f>
        <v>560000</v>
      </c>
      <c r="D127" s="4" t="s">
        <v>124</v>
      </c>
      <c r="F127" s="12"/>
      <c r="G127" s="12" t="s">
        <v>127</v>
      </c>
      <c r="H127" s="279">
        <f ca="1">SUM(H124:H126)</f>
        <v>3345654.5304</v>
      </c>
      <c r="J127" s="13"/>
    </row>
    <row r="128" spans="1:22" s="4" customFormat="1" x14ac:dyDescent="0.2">
      <c r="B128" s="12" t="s">
        <v>81</v>
      </c>
      <c r="C128" s="336">
        <f ca="1">IF(B7="Overtime",VALUE(IFERROR(VLOOKUP(B128,$B$14:$C$121,2,FALSE),0))*2,VALUE(IFERROR(VLOOKUP(B128,$B$14:$C$121,2,FALSE),0)))</f>
        <v>608400</v>
      </c>
      <c r="D128" s="4" t="s">
        <v>124</v>
      </c>
      <c r="F128" s="12"/>
      <c r="G128" s="12" t="s">
        <v>128</v>
      </c>
      <c r="H128" s="302">
        <f ca="1">C76</f>
        <v>1398</v>
      </c>
      <c r="J128" s="13"/>
    </row>
    <row r="129" spans="2:10" s="4" customFormat="1" x14ac:dyDescent="0.2">
      <c r="B129" s="12" t="s">
        <v>87</v>
      </c>
      <c r="C129" s="336">
        <f t="shared" ref="C129:C136" ca="1" si="0">IFERROR(VLOOKUP(B129,$B$14:$C$121,2,FALSE),0)</f>
        <v>70000</v>
      </c>
      <c r="D129" s="4" t="s">
        <v>124</v>
      </c>
      <c r="F129" s="12"/>
      <c r="G129" s="12" t="s">
        <v>129</v>
      </c>
      <c r="H129" s="339">
        <f ca="1">H127/H128</f>
        <v>2393.1720532188842</v>
      </c>
      <c r="J129" s="13"/>
    </row>
    <row r="130" spans="2:10" s="4" customFormat="1" x14ac:dyDescent="0.2">
      <c r="B130" s="12" t="s">
        <v>92</v>
      </c>
      <c r="C130" s="336">
        <f t="shared" ca="1" si="0"/>
        <v>47000</v>
      </c>
      <c r="D130" s="4" t="s">
        <v>122</v>
      </c>
      <c r="F130" s="12"/>
      <c r="G130" s="12"/>
      <c r="J130" s="13"/>
    </row>
    <row r="131" spans="2:10" s="4" customFormat="1" x14ac:dyDescent="0.2">
      <c r="B131" s="12" t="s">
        <v>89</v>
      </c>
      <c r="C131" s="336">
        <f t="shared" ca="1" si="0"/>
        <v>10000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 ca="1">$H$129*(1+H131)</f>
        <v>2632.4892585407729</v>
      </c>
      <c r="I132" s="333">
        <f ca="1">$H$129*(1+I131)</f>
        <v>2871.8064638626611</v>
      </c>
      <c r="J132" s="341">
        <f ca="1">$H$129*(1+J131)</f>
        <v>3111.1236691845497</v>
      </c>
    </row>
    <row r="133" spans="2:10" s="4" customFormat="1" x14ac:dyDescent="0.2">
      <c r="B133" s="12" t="s">
        <v>11</v>
      </c>
      <c r="C133" s="336">
        <f t="shared" ca="1" si="0"/>
        <v>135000</v>
      </c>
      <c r="D133" s="4" t="s">
        <v>124</v>
      </c>
      <c r="F133" s="12"/>
      <c r="G133" s="4" t="s">
        <v>133</v>
      </c>
      <c r="H133" s="302">
        <f ca="1">H132-$H$129</f>
        <v>239.31720532188865</v>
      </c>
      <c r="I133" s="302">
        <f ca="1">I132-$H$129</f>
        <v>478.63441064377685</v>
      </c>
      <c r="J133" s="318">
        <f ca="1">J132-$H$129</f>
        <v>717.9516159656655</v>
      </c>
    </row>
    <row r="134" spans="2:10" s="4" customFormat="1" x14ac:dyDescent="0.2">
      <c r="B134" s="12" t="s">
        <v>61</v>
      </c>
      <c r="C134" s="336">
        <f t="shared" ca="1" si="0"/>
        <v>319567.58999999997</v>
      </c>
      <c r="D134" s="4" t="s">
        <v>124</v>
      </c>
      <c r="F134" s="12" t="s">
        <v>401</v>
      </c>
      <c r="G134" s="4" t="s">
        <v>134</v>
      </c>
      <c r="H134" s="355">
        <f ca="1">H133/H132</f>
        <v>9.0909090909090981E-2</v>
      </c>
      <c r="I134" s="355">
        <f ca="1">I133/I132</f>
        <v>0.16666666666666666</v>
      </c>
      <c r="J134" s="326">
        <f ca="1">J133/J132</f>
        <v>0.23076923076923084</v>
      </c>
    </row>
    <row r="135" spans="2:10" s="4" customFormat="1" x14ac:dyDescent="0.2">
      <c r="B135" s="12" t="s">
        <v>23</v>
      </c>
      <c r="C135" s="336">
        <f ca="1">IFERROR(VLOOKUP(B135,$B$14:$C$121,2,FALSE),0)</f>
        <v>20020.850400000003</v>
      </c>
      <c r="D135" s="4" t="s">
        <v>124</v>
      </c>
      <c r="F135" s="12" t="s">
        <v>402</v>
      </c>
      <c r="G135" s="4" t="s">
        <v>135</v>
      </c>
      <c r="H135" s="279">
        <f ca="1">$H$125/H134</f>
        <v>19832872.844399985</v>
      </c>
      <c r="I135" s="279">
        <f ca="1">$H$125/I134</f>
        <v>10817930.6424</v>
      </c>
      <c r="J135" s="281">
        <f ca="1">$H$125/J134</f>
        <v>7812949.9083999973</v>
      </c>
    </row>
    <row r="136" spans="2:10" s="4" customFormat="1" x14ac:dyDescent="0.2">
      <c r="B136" s="12" t="s">
        <v>117</v>
      </c>
      <c r="C136" s="336">
        <f t="shared" ca="1" si="0"/>
        <v>80000</v>
      </c>
      <c r="D136" s="4" t="s">
        <v>124</v>
      </c>
      <c r="F136" s="14"/>
      <c r="G136" s="15" t="s">
        <v>136</v>
      </c>
      <c r="H136" s="15">
        <f ca="1">H135/H132</f>
        <v>7533.8855723930419</v>
      </c>
      <c r="I136" s="15">
        <f ca="1">I135/I132</f>
        <v>3766.9427861965241</v>
      </c>
      <c r="J136" s="16">
        <f ca="1">J135/J132</f>
        <v>2511.2951907976817</v>
      </c>
    </row>
    <row r="137" spans="2:10" s="4" customFormat="1" x14ac:dyDescent="0.2">
      <c r="B137" s="275" t="s">
        <v>137</v>
      </c>
      <c r="C137" s="335" cm="1">
        <f t="array" aca="1" ref="C137" ca="1">IF(B5="Validation",E137,SUMPRODUCT(F80:I80*F73:I73))</f>
        <v>52692.93</v>
      </c>
      <c r="D137" s="380" t="s">
        <v>138</v>
      </c>
      <c r="E137" s="4">
        <f>INDEX(Data_Sales!B3:N8,MATCH("Freight Cost",Data_Sales!B3:B8,0),MATCH('Q8-Predict'!B3,Data_Sales!B3:N3,0))</f>
        <v>38776</v>
      </c>
    </row>
    <row r="138" spans="2:10" s="4" customFormat="1" x14ac:dyDescent="0.2">
      <c r="B138" s="12" t="s">
        <v>139</v>
      </c>
      <c r="C138" s="336">
        <f>IFERROR(VLOOKUP(B138,$B$14:$C$121,2,FALSE),0)</f>
        <v>0</v>
      </c>
    </row>
    <row r="139" spans="2:10" s="4" customFormat="1" x14ac:dyDescent="0.2">
      <c r="B139" s="365" t="s">
        <v>140</v>
      </c>
      <c r="C139" s="366" cm="1">
        <f t="array" aca="1" ref="C139" ca="1">INDIRECT("'Input_Q"&amp;$B$3&amp;"-Predict'!C18")</f>
        <v>0</v>
      </c>
    </row>
    <row r="140" spans="2:10" s="4" customFormat="1" x14ac:dyDescent="0.2">
      <c r="B140" s="12" t="s">
        <v>141</v>
      </c>
      <c r="C140" s="336">
        <f>IFERROR(VLOOKUP(B140,$B$14:$C$121,2,FALSE),0)</f>
        <v>0</v>
      </c>
      <c r="G140" s="4">
        <v>1300000</v>
      </c>
    </row>
    <row r="141" spans="2:10" s="4" customFormat="1" x14ac:dyDescent="0.2">
      <c r="B141" s="12" t="s">
        <v>142</v>
      </c>
      <c r="C141" s="336">
        <f>IFERROR(VLOOKUP(B141,$B$14:$C$121,2,FALSE),0)</f>
        <v>0</v>
      </c>
    </row>
    <row r="142" spans="2:10" s="4" customFormat="1" x14ac:dyDescent="0.2">
      <c r="B142" s="12" t="s">
        <v>143</v>
      </c>
      <c r="C142" s="336">
        <f ca="1">SUM(C127:C141)</f>
        <v>1902681.3703999999</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 ca="1">C125-C142</f>
        <v>571754.53960000025</v>
      </c>
    </row>
    <row r="148" spans="2:5" s="4" customFormat="1" x14ac:dyDescent="0.2">
      <c r="B148" s="12" t="s">
        <v>147</v>
      </c>
      <c r="C148" s="13">
        <f ca="1">IF(C147&gt;0,C147*0.15,0)</f>
        <v>85763.180940000035</v>
      </c>
    </row>
    <row r="149" spans="2:5" s="4" customFormat="1" x14ac:dyDescent="0.2">
      <c r="B149" s="12" t="s">
        <v>148</v>
      </c>
      <c r="C149" s="336">
        <f ca="1">C147-C148</f>
        <v>485991.3586600002</v>
      </c>
    </row>
    <row r="150" spans="2:5" s="4" customFormat="1" x14ac:dyDescent="0.2">
      <c r="B150" s="12" t="s">
        <v>119</v>
      </c>
      <c r="C150" s="13"/>
    </row>
    <row r="151" spans="2:5" s="4" customFormat="1" x14ac:dyDescent="0.2">
      <c r="B151" s="12" t="s">
        <v>149</v>
      </c>
      <c r="C151" s="368">
        <f ca="1">INDEX(Data_IncomeStatement!A1:M33,MATCH("PROFIT AND LOSS STATEMENT RESULTS",Data_IncomeStatement!A1:A33,0),MATCH(VALUE(B3-1),Data_IncomeStatement!A1:M1,0))</f>
        <v>-266518.03815999988</v>
      </c>
    </row>
    <row r="152" spans="2:5" s="4" customFormat="1" x14ac:dyDescent="0.2">
      <c r="B152" s="12" t="s">
        <v>148</v>
      </c>
      <c r="C152" s="336">
        <f ca="1">C149</f>
        <v>485991.3586600002</v>
      </c>
    </row>
    <row r="153" spans="2:5" s="4" customFormat="1" x14ac:dyDescent="0.2">
      <c r="B153" s="12" t="s">
        <v>150</v>
      </c>
      <c r="C153" s="13">
        <v>0</v>
      </c>
    </row>
    <row r="154" spans="2:5" s="4" customFormat="1" x14ac:dyDescent="0.2">
      <c r="B154" s="14" t="s">
        <v>151</v>
      </c>
      <c r="C154" s="337">
        <f ca="1">C152+C151</f>
        <v>219473.32050000032</v>
      </c>
    </row>
    <row r="155" spans="2:5" s="4" customFormat="1" x14ac:dyDescent="0.2"/>
    <row r="156" spans="2:5" s="4" customFormat="1" x14ac:dyDescent="0.2">
      <c r="C156" s="330"/>
      <c r="D156" s="214"/>
      <c r="E156" s="279"/>
    </row>
    <row r="157" spans="2:5" s="4" customFormat="1" x14ac:dyDescent="0.2"/>
    <row r="158" spans="2:5" s="4" customFormat="1" x14ac:dyDescent="0.2"/>
    <row r="159" spans="2:5" s="4" customFormat="1" x14ac:dyDescent="0.2"/>
    <row r="160" spans="2:5" s="4" customFormat="1" x14ac:dyDescent="0.2"/>
    <row r="161" s="4" customFormat="1" x14ac:dyDescent="0.2"/>
    <row r="162" s="4" customFormat="1" x14ac:dyDescent="0.2"/>
    <row r="163" s="4" customFormat="1" x14ac:dyDescent="0.2"/>
    <row r="164" s="4" customFormat="1" x14ac:dyDescent="0.2"/>
    <row r="165" s="4" customFormat="1" x14ac:dyDescent="0.2"/>
    <row r="166" s="4" customFormat="1" x14ac:dyDescent="0.2"/>
    <row r="167" s="4" customFormat="1" x14ac:dyDescent="0.2"/>
    <row r="168" s="4" customFormat="1" x14ac:dyDescent="0.2"/>
    <row r="169" s="4" customFormat="1" x14ac:dyDescent="0.2"/>
    <row r="170" s="4" customFormat="1" x14ac:dyDescent="0.2"/>
    <row r="171" s="4" customFormat="1" x14ac:dyDescent="0.2"/>
    <row r="172" s="4" customFormat="1" x14ac:dyDescent="0.2"/>
    <row r="173" s="4" customFormat="1" x14ac:dyDescent="0.2"/>
    <row r="174"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4929924C-E8A9-7D4E-9F3D-3EA558F078B9}">
          <x14:formula1>
            <xm:f>Reference!$A$31:$A$32</xm:f>
          </x14:formula1>
          <xm:sqref>B7</xm:sqref>
        </x14:dataValidation>
        <x14:dataValidation type="list" allowBlank="1" showInputMessage="1" showErrorMessage="1" xr:uid="{C2E19DFB-5E31-4F4E-BC07-095F0BCB82B3}">
          <x14:formula1>
            <xm:f>Reference!$B$1:$B$4</xm:f>
          </x14:formula1>
          <xm:sqref>W21 W28 K20</xm:sqref>
        </x14:dataValidation>
        <x14:dataValidation type="list" allowBlank="1" showInputMessage="1" showErrorMessage="1" xr:uid="{09294234-4658-A34E-B00E-79127EE636D3}">
          <x14:formula1>
            <xm:f>Reference!$D$1:$D$4</xm:f>
          </x14:formula1>
          <xm:sqref>W23 W30 K22</xm:sqref>
        </x14:dataValidation>
        <x14:dataValidation type="list" allowBlank="1" showInputMessage="1" showErrorMessage="1" xr:uid="{D1487E1F-E304-F044-A2A6-D1F9F72DC500}">
          <x14:formula1>
            <xm:f>Reference!$A$1:$A$3</xm:f>
          </x14:formula1>
          <xm:sqref>W20 W27 K19</xm:sqref>
        </x14:dataValidation>
        <x14:dataValidation type="list" allowBlank="1" showInputMessage="1" showErrorMessage="1" xr:uid="{7F9F14F8-4FC8-7C4D-B417-BE8670B1B336}">
          <x14:formula1>
            <xm:f>Reference!$C$1:$C$5</xm:f>
          </x14:formula1>
          <xm:sqref>W22 W29 K21</xm:sqref>
        </x14:dataValidation>
        <x14:dataValidation type="list" allowBlank="1" showInputMessage="1" showErrorMessage="1" xr:uid="{C83E926A-F281-3A41-8B6E-54601ACA763D}">
          <x14:formula1>
            <xm:f>Reference!$A$6:$A$8</xm:f>
          </x14:formula1>
          <xm:sqref>B5</xm:sqref>
        </x14:dataValidation>
        <x14:dataValidation type="list" allowBlank="1" showInputMessage="1" showErrorMessage="1" xr:uid="{FD56D89D-DA23-FF4B-8995-396B66A52D91}">
          <x14:formula1>
            <xm:f>Reference!$A$10:$A$12</xm:f>
          </x14:formula1>
          <xm:sqref>D124</xm:sqref>
        </x14:dataValidation>
        <x14:dataValidation type="list" allowBlank="1" showInputMessage="1" showErrorMessage="1" xr:uid="{B3C637FA-F8C3-DD4E-B10D-AEFADA1F3B4C}">
          <x14:formula1>
            <xm:f>Reference!$A$14:$A$26</xm:f>
          </x14:formula1>
          <xm:sqref>B3</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1500-9ABA-3948-938C-0C64148EF295}">
  <sheetPr>
    <tabColor theme="2" tint="-9.9978637043366805E-2"/>
  </sheetPr>
  <dimension ref="A1:V174"/>
  <sheetViews>
    <sheetView zoomScale="125" zoomScaleNormal="120" workbookViewId="0">
      <selection activeCell="D19" sqref="D19"/>
    </sheetView>
  </sheetViews>
  <sheetFormatPr baseColWidth="10" defaultColWidth="11" defaultRowHeight="16" x14ac:dyDescent="0.2"/>
  <cols>
    <col min="1" max="1" width="5.6640625" style="4" customWidth="1"/>
    <col min="2" max="2" width="33.33203125" bestFit="1" customWidth="1"/>
    <col min="3" max="3" width="14" bestFit="1" customWidth="1"/>
    <col min="4" max="4" width="17.83203125" bestFit="1"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178" t="s">
        <v>0</v>
      </c>
      <c r="C2" s="4"/>
      <c r="D2" s="4"/>
      <c r="E2" s="4"/>
      <c r="F2" s="4"/>
      <c r="G2" s="4"/>
      <c r="H2" s="4"/>
      <c r="I2" s="4"/>
      <c r="J2" s="4"/>
      <c r="K2" s="4"/>
      <c r="L2" s="4"/>
      <c r="M2" s="4"/>
      <c r="N2" s="4"/>
      <c r="O2" s="4"/>
      <c r="P2" s="4"/>
      <c r="Q2" s="4"/>
      <c r="R2" s="4"/>
      <c r="S2" s="4"/>
      <c r="T2" s="4"/>
      <c r="U2" s="4"/>
      <c r="V2" s="4"/>
    </row>
    <row r="3" spans="1:22" x14ac:dyDescent="0.2">
      <c r="B3" s="460">
        <v>7</v>
      </c>
      <c r="C3" s="4"/>
      <c r="D3" s="4"/>
      <c r="E3" s="4"/>
      <c r="F3" s="4"/>
      <c r="G3" s="4"/>
      <c r="H3" s="4"/>
      <c r="I3" s="4"/>
      <c r="J3" s="4"/>
      <c r="K3" s="4"/>
      <c r="L3" s="4"/>
      <c r="M3" s="4"/>
      <c r="N3" s="4"/>
      <c r="O3" s="4"/>
      <c r="P3" s="4"/>
      <c r="Q3" s="4"/>
      <c r="R3" s="4"/>
      <c r="S3" s="4"/>
      <c r="T3" s="4"/>
      <c r="U3" s="4"/>
      <c r="V3" s="4"/>
    </row>
    <row r="4" spans="1:22" s="4" customFormat="1" x14ac:dyDescent="0.2">
      <c r="B4" s="178" t="s">
        <v>1</v>
      </c>
    </row>
    <row r="5" spans="1:22" s="4" customFormat="1" x14ac:dyDescent="0.2">
      <c r="B5" s="460" t="s">
        <v>2</v>
      </c>
    </row>
    <row r="6" spans="1:22" s="4" customFormat="1" x14ac:dyDescent="0.2">
      <c r="B6" s="178" t="s">
        <v>3</v>
      </c>
    </row>
    <row r="7" spans="1:22" s="4" customFormat="1" x14ac:dyDescent="0.2">
      <c r="B7" s="461" t="s">
        <v>169</v>
      </c>
    </row>
    <row r="8" spans="1:22" s="4" customFormat="1" x14ac:dyDescent="0.2"/>
    <row r="9" spans="1:22" s="4" customFormat="1" x14ac:dyDescent="0.2">
      <c r="B9" s="99" t="s">
        <v>4</v>
      </c>
    </row>
    <row r="10" spans="1:22" x14ac:dyDescent="0.2">
      <c r="B10" s="69" t="s">
        <v>5</v>
      </c>
      <c r="C10" s="4"/>
      <c r="D10" s="4"/>
      <c r="E10" s="4"/>
      <c r="F10" s="4"/>
      <c r="G10" s="4"/>
      <c r="H10" s="4"/>
      <c r="I10" s="4"/>
      <c r="J10" s="4"/>
      <c r="K10" s="4"/>
      <c r="L10" s="4"/>
      <c r="M10" s="4"/>
      <c r="N10" s="4"/>
      <c r="O10" s="4"/>
      <c r="P10" s="4"/>
      <c r="Q10" s="4"/>
      <c r="R10" s="4"/>
      <c r="S10" s="4"/>
      <c r="T10" s="4"/>
      <c r="U10" s="4"/>
      <c r="V10" s="4"/>
    </row>
    <row r="11" spans="1:22" x14ac:dyDescent="0.2">
      <c r="B11" s="268" t="s">
        <v>6</v>
      </c>
      <c r="C11" s="4"/>
      <c r="D11" s="4"/>
      <c r="E11" s="4"/>
      <c r="F11" s="4"/>
      <c r="G11" s="4"/>
      <c r="H11" s="4"/>
      <c r="I11" s="4"/>
      <c r="J11" s="4"/>
      <c r="K11" s="4"/>
      <c r="L11" s="4"/>
      <c r="M11" s="4"/>
      <c r="N11" s="4"/>
      <c r="O11" s="4"/>
      <c r="P11" s="4"/>
      <c r="Q11" s="4"/>
      <c r="R11" s="4"/>
      <c r="S11" s="4"/>
      <c r="T11" s="4"/>
      <c r="U11" s="4"/>
      <c r="V11" s="4"/>
    </row>
    <row r="12" spans="1:22" x14ac:dyDescent="0.2">
      <c r="B12" s="4"/>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 ca="1">F19*F20</f>
        <v>135000</v>
      </c>
      <c r="E18" s="576" t="s">
        <v>12</v>
      </c>
      <c r="F18" s="577"/>
      <c r="G18" s="578"/>
      <c r="I18" s="71" t="s">
        <v>13</v>
      </c>
      <c r="J18" s="72"/>
      <c r="K18" s="72" t="s">
        <v>14</v>
      </c>
      <c r="L18" s="72" t="s">
        <v>15</v>
      </c>
      <c r="M18" s="72" t="s">
        <v>16</v>
      </c>
      <c r="N18" s="73" t="s">
        <v>17</v>
      </c>
    </row>
    <row r="19" spans="2:22" s="4" customFormat="1" x14ac:dyDescent="0.2">
      <c r="B19" s="12" t="s">
        <v>18</v>
      </c>
      <c r="C19" s="217">
        <f ca="1">N23</f>
        <v>857835</v>
      </c>
      <c r="E19" s="284" t="s">
        <v>19</v>
      </c>
      <c r="F19" s="285">
        <v>15000</v>
      </c>
      <c r="G19" s="11" t="s">
        <v>20</v>
      </c>
      <c r="I19" s="12"/>
      <c r="J19" s="4" t="s">
        <v>21</v>
      </c>
      <c r="K19" s="4" t="s">
        <v>22</v>
      </c>
      <c r="L19" s="4">
        <f>VLOOKUP($K$19,$E$24:F59,2,FALSE)</f>
        <v>36</v>
      </c>
      <c r="M19" s="4">
        <f>L19*$F$25</f>
        <v>36</v>
      </c>
      <c r="N19" s="13">
        <f ca="1">M19*$F$24</f>
        <v>54000</v>
      </c>
    </row>
    <row r="20" spans="2:22" s="4" customFormat="1" x14ac:dyDescent="0.2">
      <c r="B20" s="12" t="s">
        <v>23</v>
      </c>
      <c r="C20" s="281">
        <f>C34*0.02*M24</f>
        <v>18756.150000000005</v>
      </c>
      <c r="E20" s="68"/>
      <c r="F20" s="76" cm="1">
        <f t="array" aca="1" ref="F20" ca="1">INDIRECT("'Input_Q"&amp;B3&amp;"-Predict'!C38")</f>
        <v>9</v>
      </c>
      <c r="G20" s="16"/>
      <c r="I20" s="12" t="s">
        <v>24</v>
      </c>
      <c r="J20" s="19" t="s">
        <v>25</v>
      </c>
      <c r="K20" s="4" t="s">
        <v>26</v>
      </c>
      <c r="L20" s="4">
        <f>VLOOKUP($K$20,$E$25:F60,2,FALSE)</f>
        <v>44.52</v>
      </c>
      <c r="M20" s="4">
        <f>L20*$F$28</f>
        <v>89.04</v>
      </c>
      <c r="N20" s="13">
        <f ca="1">M20*$F$24</f>
        <v>133560</v>
      </c>
    </row>
    <row r="21" spans="2:22" s="4" customFormat="1" x14ac:dyDescent="0.2">
      <c r="B21" s="14" t="s">
        <v>27</v>
      </c>
      <c r="C21" s="453">
        <v>280000</v>
      </c>
      <c r="E21" s="12" t="s">
        <v>28</v>
      </c>
      <c r="G21" s="103"/>
      <c r="I21" s="12"/>
      <c r="J21" s="20" t="s">
        <v>29</v>
      </c>
      <c r="K21" s="4" t="s">
        <v>30</v>
      </c>
      <c r="L21" s="4">
        <f>VLOOKUP($K$21,$E$26:F63,2,FALSE)</f>
        <v>187.20000000000002</v>
      </c>
      <c r="M21" s="4">
        <f>L21*$F$38</f>
        <v>374.40000000000003</v>
      </c>
      <c r="N21" s="13">
        <f ca="1">M21*$F$24</f>
        <v>561600</v>
      </c>
      <c r="V21" s="19"/>
    </row>
    <row r="22" spans="2:22" s="4" customFormat="1" x14ac:dyDescent="0.2">
      <c r="B22" s="14"/>
      <c r="C22" s="278">
        <f ca="1">SUM(C17:C21)</f>
        <v>1291591.1499999999</v>
      </c>
      <c r="E22" s="12" t="s">
        <v>31</v>
      </c>
      <c r="F22" s="214">
        <v>1300000</v>
      </c>
      <c r="G22" s="103"/>
      <c r="I22" s="12"/>
      <c r="J22" s="70" t="s">
        <v>32</v>
      </c>
      <c r="K22" s="4" t="s">
        <v>33</v>
      </c>
      <c r="L22" s="4">
        <f>VLOOKUP($K$22,$E$21:F60,2,FALSE)</f>
        <v>24.150000000000002</v>
      </c>
      <c r="M22" s="4">
        <f>L22*$F$51</f>
        <v>72.45</v>
      </c>
      <c r="N22" s="13">
        <f ca="1">M22*$F$24</f>
        <v>108675</v>
      </c>
      <c r="V22" s="20"/>
    </row>
    <row r="23" spans="2:22" s="4" customFormat="1" x14ac:dyDescent="0.2">
      <c r="E23" s="12" t="s">
        <v>34</v>
      </c>
      <c r="F23" s="214">
        <v>1500000</v>
      </c>
      <c r="G23" s="103"/>
      <c r="I23" s="71" t="s">
        <v>35</v>
      </c>
      <c r="J23" s="72"/>
      <c r="K23" s="72"/>
      <c r="L23" s="72"/>
      <c r="M23" s="72">
        <f>SUM(M19:M22)</f>
        <v>571.8900000000001</v>
      </c>
      <c r="N23" s="73">
        <f ca="1">SUM(N19:N22)</f>
        <v>857835</v>
      </c>
      <c r="V23" s="70"/>
    </row>
    <row r="24" spans="2:22" s="4" customFormat="1" x14ac:dyDescent="0.2">
      <c r="E24" s="14" t="s">
        <v>18</v>
      </c>
      <c r="F24" s="95" cm="1">
        <f t="array" aca="1" ref="F24" ca="1">INDIRECT("'Input_Q"&amp;B3&amp;"-Predict'!C36")</f>
        <v>1500</v>
      </c>
      <c r="G24" s="103" t="s">
        <v>36</v>
      </c>
      <c r="I24" s="14" t="s">
        <v>37</v>
      </c>
      <c r="J24" s="15"/>
      <c r="K24" s="15"/>
      <c r="L24" s="15"/>
      <c r="M24" s="15">
        <f>M23-M19</f>
        <v>535.8900000000001</v>
      </c>
      <c r="N24" s="16">
        <f ca="1">M24*F24</f>
        <v>803835.00000000012</v>
      </c>
    </row>
    <row r="25" spans="2:22" s="4" customFormat="1" x14ac:dyDescent="0.2">
      <c r="B25" s="71" t="s">
        <v>38</v>
      </c>
      <c r="C25" s="454" cm="1">
        <f t="array" aca="1" ref="C25" ca="1">IF(B5="Validation",'Q7-Validation'!C30/'Q7-Validation'!C29,INDIRECT("'Input_Q"&amp;B3&amp;"-Predict'!C34"))</f>
        <v>0.95972222222222225</v>
      </c>
      <c r="E25" s="9" t="s">
        <v>21</v>
      </c>
      <c r="F25" s="10">
        <v>1</v>
      </c>
      <c r="G25" s="103" t="s">
        <v>39</v>
      </c>
    </row>
    <row r="26" spans="2:22" s="4" customFormat="1" x14ac:dyDescent="0.2">
      <c r="E26" s="12" t="s">
        <v>40</v>
      </c>
      <c r="F26" s="214">
        <v>20</v>
      </c>
      <c r="G26" s="103"/>
    </row>
    <row r="27" spans="2:22" s="4" customFormat="1" x14ac:dyDescent="0.2">
      <c r="B27" s="9" t="s">
        <v>41</v>
      </c>
      <c r="C27" s="289">
        <f>INDEX(Data_Stock!B2:N11,MATCH("Left Inventory",Data_Stock!B2:B11,0),MATCH(VALUE(B3-1),Data_Stock!B2:N2,0))</f>
        <v>25</v>
      </c>
      <c r="E27" s="14" t="s">
        <v>22</v>
      </c>
      <c r="F27" s="283">
        <v>36</v>
      </c>
      <c r="G27" s="98"/>
    </row>
    <row r="28" spans="2:22" s="4" customFormat="1" x14ac:dyDescent="0.2">
      <c r="B28" s="12" t="s">
        <v>42</v>
      </c>
      <c r="C28" s="290">
        <f>INDEX(Data_Stock!B2:N11,MATCH("Left",Data_Stock!B2:B11,0),MATCH(VALUE(B3-1),Data_Stock!B2:N2,0))</f>
        <v>1632</v>
      </c>
      <c r="E28" s="9" t="s">
        <v>25</v>
      </c>
      <c r="F28" s="11">
        <v>2</v>
      </c>
      <c r="G28" s="103" t="s">
        <v>39</v>
      </c>
      <c r="P28" s="214"/>
      <c r="V28" s="19"/>
    </row>
    <row r="29" spans="2:22" s="4" customFormat="1" x14ac:dyDescent="0.2">
      <c r="B29" s="12" t="s">
        <v>43</v>
      </c>
      <c r="C29" s="291" cm="1">
        <f t="array" aca="1" ref="C29" ca="1">INDIRECT("'Input_Q"&amp;B3&amp;"-Predict'!C33")</f>
        <v>1440</v>
      </c>
      <c r="E29" s="12" t="s">
        <v>44</v>
      </c>
      <c r="F29" s="13">
        <f>(1+F31)*F30</f>
        <v>43.2</v>
      </c>
      <c r="G29" s="103"/>
      <c r="V29" s="20"/>
    </row>
    <row r="30" spans="2:22" s="4" customFormat="1" x14ac:dyDescent="0.2">
      <c r="B30" s="12" t="str">
        <f>IF(B5="Validation","Actual Production","Predict Production")</f>
        <v>Actual Production</v>
      </c>
      <c r="C30" s="292">
        <f>INDEX(Data_Stock!B2:N11,MATCH("Produced",Data_Stock!B2:B11,0),MATCH(VALUE(B3),Data_Stock!B2:N2,0))</f>
        <v>1382</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 ca="1">F24</f>
        <v>1500</v>
      </c>
      <c r="E33" s="67" t="s">
        <v>45</v>
      </c>
      <c r="F33" s="13">
        <v>42</v>
      </c>
      <c r="G33" s="103"/>
    </row>
    <row r="34" spans="2:14" s="4" customFormat="1" x14ac:dyDescent="0.2">
      <c r="B34" s="12" t="s">
        <v>49</v>
      </c>
      <c r="C34" s="222">
        <f>IF(B5="Validation",INDEX(Data_Stock!B2:N11,MATCH("Left",Data_Stock!B2:B11,0),MATCH('Q7-Validation'!B3,Data_Stock!B2:N2,0)),C28+F24-C30)</f>
        <v>1750</v>
      </c>
      <c r="E34" s="67" t="s">
        <v>46</v>
      </c>
      <c r="F34" s="13">
        <v>0.06</v>
      </c>
      <c r="G34" s="103"/>
    </row>
    <row r="35" spans="2:14" s="4" customFormat="1" x14ac:dyDescent="0.2">
      <c r="B35" s="14" t="s">
        <v>50</v>
      </c>
      <c r="C35" s="288">
        <f>C34*M24</f>
        <v>937807.50000000023</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 ca="1">SUMPRODUCT(F73:I73,F71:I71)</f>
        <v>3616316</v>
      </c>
    </row>
    <row r="69" spans="2:11" s="4" customFormat="1" x14ac:dyDescent="0.2">
      <c r="B69" s="12" t="s">
        <v>61</v>
      </c>
      <c r="C69" s="221">
        <f ca="1">J75</f>
        <v>292639.19</v>
      </c>
      <c r="E69" s="9" t="str">
        <f>IF(B5="Validation","Actual S.C.R","Predict S.C.R")</f>
        <v>Actual S.C.R</v>
      </c>
      <c r="F69" s="311" cm="1">
        <f t="array" aca="1" ref="F69" ca="1">IF($B$5="Validation",F73/F72,INDIRECT("'Input_Q"&amp;$B$3&amp;"-Predict'!D29"))</f>
        <v>0.8177676537585421</v>
      </c>
      <c r="G69" s="311" cm="1">
        <f t="array" aca="1" ref="G69" ca="1">IF($B$5="Validation",G73/G72,INDIRECT("'Input_Q"&amp;$B$3&amp;"-Predict'!D30"))</f>
        <v>0.85140562248995988</v>
      </c>
      <c r="H69" s="311" cm="1">
        <f t="array" aca="1" ref="H69" ca="1">IF($B$5="Validation",H73/H72,INDIRECT("'Input_Q"&amp;$B$3&amp;"-Predict'!D31"))</f>
        <v>0.90697674418604646</v>
      </c>
      <c r="I69" s="311" cm="1">
        <f t="array" aca="1" ref="I69" ca="1">IF($B$5="Validation",I73/I72,INDIRECT("'Input_Q"&amp;$B$3&amp;"-Predict'!D32"))</f>
        <v>0.92076502732240439</v>
      </c>
      <c r="J69" s="11"/>
    </row>
    <row r="70" spans="2:11" s="4" customFormat="1" x14ac:dyDescent="0.2">
      <c r="B70" s="12" t="s">
        <v>62</v>
      </c>
      <c r="C70" s="318">
        <f ca="1">C68*C74</f>
        <v>216978.96</v>
      </c>
      <c r="E70" s="297" t="s">
        <v>63</v>
      </c>
      <c r="F70" s="298">
        <v>1</v>
      </c>
      <c r="G70" s="298">
        <v>2</v>
      </c>
      <c r="H70" s="298">
        <v>3</v>
      </c>
      <c r="I70" s="299">
        <v>4</v>
      </c>
      <c r="J70" s="299" t="s">
        <v>64</v>
      </c>
    </row>
    <row r="71" spans="2:11" s="4" customFormat="1" x14ac:dyDescent="0.2">
      <c r="B71" s="14"/>
      <c r="C71" s="319">
        <f ca="1">SUM(C68:C70)</f>
        <v>4125934.15</v>
      </c>
      <c r="E71" s="300" t="s">
        <v>65</v>
      </c>
      <c r="F71" s="358" cm="1">
        <f t="array" aca="1" ref="F71" ca="1">INDIRECT("'Input_Q"&amp;$B$3&amp;"-Predict'!C10")</f>
        <v>2899</v>
      </c>
      <c r="G71" s="358" cm="1">
        <f t="array" aca="1" ref="G71" ca="1">INDIRECT("'Input_Q"&amp;$B$3&amp;"-Predict'!C11")</f>
        <v>2399</v>
      </c>
      <c r="H71" s="358" cm="1">
        <f t="array" aca="1" ref="H71" ca="1">INDIRECT("'Input_Q"&amp;$B$3&amp;"-Predict'!C12")</f>
        <v>2899</v>
      </c>
      <c r="I71" s="358" cm="1">
        <f t="array" aca="1" ref="I71" ca="1">INDIRECT("'Input_Q"&amp;$B$3&amp;"-Predict'!C13")</f>
        <v>2899</v>
      </c>
      <c r="J71" s="301" t="s">
        <v>66</v>
      </c>
      <c r="K71" s="363"/>
    </row>
    <row r="72" spans="2:11" s="4" customFormat="1" x14ac:dyDescent="0.2">
      <c r="E72" s="300" t="s">
        <v>67</v>
      </c>
      <c r="F72" s="272" cm="1">
        <f t="array" aca="1" ref="F72" ca="1">INDIRECT("'Input_Q"&amp;$B$3&amp;"-Predict'!C24")</f>
        <v>439</v>
      </c>
      <c r="G72" s="272" cm="1">
        <f t="array" aca="1" ref="G72" ca="1">INDIRECT("'Input_Q"&amp;$B$3&amp;"-Predict'!C25")</f>
        <v>249</v>
      </c>
      <c r="H72" s="272" cm="1">
        <f t="array" aca="1" ref="H72" ca="1">INDIRECT("'Input_Q"&amp;$B$3&amp;"-Predict'!C26")</f>
        <v>43</v>
      </c>
      <c r="I72" s="272" cm="1">
        <f t="array" aca="1" ref="I72" ca="1">INDIRECT("'Input_Q"&amp;$B$3&amp;"-Predict'!C27")</f>
        <v>732</v>
      </c>
      <c r="J72" s="303">
        <f>Archived_Testing_Q5!B19</f>
        <v>1600</v>
      </c>
    </row>
    <row r="73" spans="2:11" s="4" customFormat="1" x14ac:dyDescent="0.2">
      <c r="D73" s="199"/>
      <c r="E73" s="300" t="str">
        <f>IF(B5="Validation","Actual Sale","Predict Sale")</f>
        <v>Actual Sale</v>
      </c>
      <c r="F73" s="353">
        <f>IF($E$73="Actual Sale",INDEX(Data_Sales!$B$3:$N$8,MATCH(F70,Data_Sales!$B$3:$B$8,0),MATCH($B$3,Data_Sales!$B$3:$N$3,0)),ROUNDDOWN(F69*F72,0))</f>
        <v>359</v>
      </c>
      <c r="G73" s="353">
        <f>IF($E$73="Actual Sale",INDEX(Data_Sales!$B$3:$N$8,MATCH(G70,Data_Sales!$B$3:$B$8,0),MATCH($B$3,Data_Sales!$B$3:$N$3,0)),ROUNDDOWN(G69*G72,0))</f>
        <v>212</v>
      </c>
      <c r="H73" s="353">
        <f>IF($E$73="Actual Sale",INDEX(Data_Sales!$B$3:$N$8,MATCH(H70,Data_Sales!$B$3:$B$8,0),MATCH($B$3,Data_Sales!$B$3:$N$3,0)),ROUNDDOWN(H69*H72,0))</f>
        <v>39</v>
      </c>
      <c r="I73" s="353">
        <f>IF($E$73="Actual Sale",INDEX(Data_Sales!$B$3:$N$8,MATCH(I70,Data_Sales!$B$3:$B$8,0),MATCH($B$3,Data_Sales!$B$3:$N$3,0)),ROUNDDOWN(I69*I72,0))</f>
        <v>674</v>
      </c>
      <c r="J73" s="383">
        <f>SUM(F73:I73)</f>
        <v>1284</v>
      </c>
    </row>
    <row r="74" spans="2:11" s="4" customFormat="1" x14ac:dyDescent="0.2">
      <c r="B74" s="9" t="s">
        <v>68</v>
      </c>
      <c r="C74" s="406" cm="1">
        <f t="array" aca="1" ref="C74" ca="1">INDIRECT("'Input_Q"&amp;B3&amp;"-Predict'!C39")</f>
        <v>0.06</v>
      </c>
      <c r="D74" s="199"/>
      <c r="E74" s="300" t="s">
        <v>69</v>
      </c>
      <c r="F74" s="256" cm="1">
        <f t="array" aca="1" ref="F74" ca="1">INDIRECT("'Input_Q"&amp;$B$3&amp;"-Predict'!C41")</f>
        <v>7</v>
      </c>
      <c r="G74" s="256" cm="1">
        <f t="array" aca="1" ref="G74" ca="1">INDIRECT("'Input_Q"&amp;$B$3&amp;"-Predict'!C42")</f>
        <v>9</v>
      </c>
      <c r="H74" s="256" cm="1">
        <f t="array" aca="1" ref="H74" ca="1">INDIRECT("'Input_Q"&amp;$B$3&amp;"-Predict'!C43")</f>
        <v>1</v>
      </c>
      <c r="I74" s="256" cm="1">
        <f t="array" aca="1" ref="I74" ca="1">INDIRECT("'Input_Q"&amp;$B$3&amp;"-Predict'!C44")</f>
        <v>7</v>
      </c>
      <c r="J74" s="301"/>
    </row>
    <row r="75" spans="2:11" s="4" customFormat="1" x14ac:dyDescent="0.2">
      <c r="B75" s="12" t="s">
        <v>70</v>
      </c>
      <c r="C75" s="221">
        <f>J72</f>
        <v>1600</v>
      </c>
      <c r="D75" s="357"/>
      <c r="E75" s="300" t="s">
        <v>71</v>
      </c>
      <c r="F75" s="312">
        <f ca="1">F72*F71*F74/100</f>
        <v>89086.27</v>
      </c>
      <c r="G75" s="312">
        <f ca="1">G72*G71*G74/100</f>
        <v>53761.59</v>
      </c>
      <c r="H75" s="312">
        <f ca="1">H72*H71*H74/100</f>
        <v>1246.57</v>
      </c>
      <c r="I75" s="304">
        <f ca="1">I72*I71*I74/100</f>
        <v>148544.76</v>
      </c>
      <c r="J75" s="304">
        <f ca="1">SUM(F75:I75)</f>
        <v>292639.19</v>
      </c>
    </row>
    <row r="76" spans="2:11" s="4" customFormat="1" x14ac:dyDescent="0.2">
      <c r="B76" s="12" t="s">
        <v>72</v>
      </c>
      <c r="C76" s="221">
        <f>J73</f>
        <v>1284</v>
      </c>
      <c r="D76" s="199"/>
      <c r="E76" s="300" t="s">
        <v>73</v>
      </c>
      <c r="F76" s="256" cm="1">
        <f t="array" aca="1" ref="F76" ca="1">INDIRECT("'Input_Q"&amp;$B$3&amp;"-Predict'!C46")</f>
        <v>1</v>
      </c>
      <c r="G76" s="256" cm="1">
        <f t="array" aca="1" ref="G76" ca="1">INDIRECT("'Input_Q"&amp;$B$3&amp;"-Predict'!C47")</f>
        <v>0</v>
      </c>
      <c r="H76" s="256" cm="1">
        <f t="array" aca="1" ref="H76" ca="1">INDIRECT("'Input_Q"&amp;$B$3&amp;"-Predict'!C48")</f>
        <v>-1</v>
      </c>
      <c r="I76" s="256" cm="1">
        <f t="array" aca="1" ref="I76" ca="1">INDIRECT("'Input_Q"&amp;$B$3&amp;"-Predict'!C49")</f>
        <v>0</v>
      </c>
      <c r="J76" s="301" t="s">
        <v>66</v>
      </c>
    </row>
    <row r="77" spans="2:11" s="4" customFormat="1" x14ac:dyDescent="0.2">
      <c r="B77" s="14" t="s">
        <v>74</v>
      </c>
      <c r="C77" s="319">
        <f>C75-C76</f>
        <v>316</v>
      </c>
      <c r="D77" s="199"/>
      <c r="E77" s="305" t="s">
        <v>75</v>
      </c>
      <c r="F77" s="306">
        <f ca="1">INDEX(Data_EmployeeNumber!$A$4:$E$16,MATCH('Q7-Validation'!$B$3-1,Data_EmployeeNumber!$A$4:$A$16,0),MATCH('Q7-Validation'!F70,Data_EmployeeNumber!$A$4:$E$4,0))+'Q7-Validation'!F76</f>
        <v>3</v>
      </c>
      <c r="G77" s="306">
        <f ca="1">INDEX(Data_EmployeeNumber!$A$4:$E$16,MATCH('Q7-Validation'!$B$3-1,Data_EmployeeNumber!$A$4:$A$16,0),MATCH('Q7-Validation'!G70,Data_EmployeeNumber!$A$4:$E$4,0))+'Q7-Validation'!G76</f>
        <v>3</v>
      </c>
      <c r="H77" s="306">
        <f ca="1">INDEX(Data_EmployeeNumber!$A$4:$E$16,MATCH('Q7-Validation'!$B$3-1,Data_EmployeeNumber!$A$4:$A$16,0),MATCH('Q7-Validation'!H70,Data_EmployeeNumber!$A$4:$E$4,0))+'Q7-Validation'!H76</f>
        <v>1</v>
      </c>
      <c r="I77" s="306">
        <f ca="1">INDEX(Data_EmployeeNumber!$A$4:$E$16,MATCH('Q7-Validation'!$B$3-1,Data_EmployeeNumber!$A$4:$A$16,0),MATCH('Q7-Validation'!I70,Data_EmployeeNumber!$A$4:$E$4,0))+'Q7-Validation'!I76</f>
        <v>4</v>
      </c>
      <c r="J77" s="307">
        <f ca="1">SUM(F77:I77)</f>
        <v>11</v>
      </c>
    </row>
    <row r="78" spans="2:11" s="4" customFormat="1" x14ac:dyDescent="0.2">
      <c r="E78" s="300" t="s">
        <v>76</v>
      </c>
      <c r="F78" s="296"/>
      <c r="G78" s="296"/>
      <c r="H78" s="296"/>
      <c r="I78" s="301"/>
      <c r="J78" s="455" t="s">
        <v>77</v>
      </c>
    </row>
    <row r="79" spans="2:11" s="4" customFormat="1" x14ac:dyDescent="0.2">
      <c r="E79" s="305" t="s">
        <v>78</v>
      </c>
      <c r="F79" s="308"/>
      <c r="G79" s="308"/>
      <c r="H79" s="308"/>
      <c r="I79" s="317"/>
      <c r="J79" s="456" t="s">
        <v>77</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 ca="1">I98</f>
        <v>304200</v>
      </c>
      <c r="D92" s="214"/>
      <c r="E92" s="71" t="s">
        <v>82</v>
      </c>
      <c r="F92" s="329" cm="1">
        <f t="array" aca="1" ref="F92" ca="1">INDIRECT("'Input_Q"&amp;$B$3&amp;"-Predict'!C50")</f>
        <v>5200</v>
      </c>
      <c r="H92" s="71" t="s">
        <v>82</v>
      </c>
      <c r="I92" s="72" t="s">
        <v>83</v>
      </c>
      <c r="J92" s="72" t="s">
        <v>84</v>
      </c>
      <c r="K92" s="72" t="s">
        <v>85</v>
      </c>
      <c r="L92" s="73" t="s">
        <v>86</v>
      </c>
    </row>
    <row r="93" spans="1:12" s="4" customFormat="1" x14ac:dyDescent="0.2">
      <c r="B93" s="12" t="s">
        <v>87</v>
      </c>
      <c r="C93" s="217">
        <f ca="1">K103</f>
        <v>70000</v>
      </c>
      <c r="D93" s="214"/>
      <c r="H93" s="12" t="s">
        <v>88</v>
      </c>
      <c r="I93" s="214">
        <f ca="1">$F$92*K93</f>
        <v>26000</v>
      </c>
      <c r="J93" s="4">
        <v>1</v>
      </c>
      <c r="K93" s="4">
        <v>5</v>
      </c>
      <c r="L93" s="13">
        <f>J93*K93</f>
        <v>5</v>
      </c>
    </row>
    <row r="94" spans="1:12" s="4" customFormat="1" x14ac:dyDescent="0.2">
      <c r="B94" s="12" t="s">
        <v>89</v>
      </c>
      <c r="C94" s="217">
        <f ca="1">K104</f>
        <v>10000</v>
      </c>
      <c r="D94" s="321"/>
      <c r="E94" s="71" t="s">
        <v>90</v>
      </c>
      <c r="F94" s="73"/>
      <c r="H94" s="12" t="s">
        <v>91</v>
      </c>
      <c r="I94" s="214">
        <f ca="1">$F$92*K94</f>
        <v>5200</v>
      </c>
      <c r="J94" s="4">
        <v>35</v>
      </c>
      <c r="K94" s="4">
        <v>1</v>
      </c>
      <c r="L94" s="13">
        <f>J94*K94</f>
        <v>35</v>
      </c>
    </row>
    <row r="95" spans="1:12" s="4" customFormat="1" x14ac:dyDescent="0.2">
      <c r="B95" s="12" t="s">
        <v>92</v>
      </c>
      <c r="C95" s="217">
        <f ca="1">K105</f>
        <v>47000</v>
      </c>
      <c r="E95" s="12" t="s">
        <v>93</v>
      </c>
      <c r="F95" s="327">
        <v>10000</v>
      </c>
      <c r="H95" s="12" t="s">
        <v>94</v>
      </c>
      <c r="I95" s="214">
        <f ca="1">$F$92*K95</f>
        <v>13000</v>
      </c>
      <c r="J95" s="4">
        <v>3</v>
      </c>
      <c r="K95" s="4">
        <v>2.5</v>
      </c>
      <c r="L95" s="13">
        <f>J95*K95</f>
        <v>7.5</v>
      </c>
    </row>
    <row r="96" spans="1:12" s="4" customFormat="1" x14ac:dyDescent="0.2">
      <c r="B96" s="71"/>
      <c r="C96" s="324">
        <f ca="1">SUM(C92:C95)</f>
        <v>431200</v>
      </c>
      <c r="E96" s="12" t="s">
        <v>95</v>
      </c>
      <c r="F96" s="194" cm="1">
        <f t="array" aca="1" ref="F96" ca="1">INDIRECT("'Input_Q"&amp;$B$3&amp;"-Predict'!C51")</f>
        <v>7</v>
      </c>
      <c r="H96" s="12" t="s">
        <v>96</v>
      </c>
      <c r="I96" s="214">
        <f ca="1">$F$92*K96</f>
        <v>5200</v>
      </c>
      <c r="J96" s="4">
        <f ca="1">J77</f>
        <v>11</v>
      </c>
      <c r="K96" s="4">
        <v>1</v>
      </c>
      <c r="L96" s="13">
        <f ca="1">J96*K96</f>
        <v>11</v>
      </c>
    </row>
    <row r="97" spans="1:12" s="4" customFormat="1" x14ac:dyDescent="0.2">
      <c r="E97" s="12" t="s">
        <v>97</v>
      </c>
      <c r="F97" s="217">
        <v>2000</v>
      </c>
      <c r="H97" s="12" t="s">
        <v>64</v>
      </c>
      <c r="I97" s="4" t="s">
        <v>66</v>
      </c>
      <c r="J97" s="4">
        <f ca="1">SUM(J93:J96)</f>
        <v>50</v>
      </c>
      <c r="K97" s="4" t="s">
        <v>66</v>
      </c>
      <c r="L97" s="13">
        <f ca="1">SUM(L93:L96)</f>
        <v>58.5</v>
      </c>
    </row>
    <row r="98" spans="1:12" s="4" customFormat="1" x14ac:dyDescent="0.2">
      <c r="B98" s="71" t="s">
        <v>98</v>
      </c>
      <c r="C98" s="73"/>
      <c r="E98" s="14" t="s">
        <v>95</v>
      </c>
      <c r="F98" s="76" cm="1">
        <f t="array" aca="1" ref="F98" ca="1">INDIRECT("'Input_Q"&amp;$B$3&amp;"-Predict'!C52")</f>
        <v>5</v>
      </c>
      <c r="H98" s="14" t="s">
        <v>99</v>
      </c>
      <c r="I98" s="322">
        <f ca="1">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 ca="1">F92</f>
        <v>5200</v>
      </c>
      <c r="J102" s="4">
        <f ca="1">L97</f>
        <v>58.5</v>
      </c>
      <c r="K102" s="217">
        <f ca="1">I102*J102</f>
        <v>304200</v>
      </c>
    </row>
    <row r="103" spans="1:12" s="4" customFormat="1" x14ac:dyDescent="0.2">
      <c r="E103" s="12" t="s">
        <v>106</v>
      </c>
      <c r="F103" s="217">
        <v>175</v>
      </c>
      <c r="H103" s="12" t="s">
        <v>93</v>
      </c>
      <c r="I103" s="214">
        <f>F95</f>
        <v>10000</v>
      </c>
      <c r="J103" s="4">
        <f ca="1">F96</f>
        <v>7</v>
      </c>
      <c r="K103" s="217">
        <f ca="1">F95*J103</f>
        <v>70000</v>
      </c>
    </row>
    <row r="104" spans="1:12" s="4" customFormat="1" ht="17" customHeight="1" x14ac:dyDescent="0.2">
      <c r="E104" s="12" t="s">
        <v>107</v>
      </c>
      <c r="F104" s="217">
        <v>400</v>
      </c>
      <c r="H104" s="12" t="s">
        <v>97</v>
      </c>
      <c r="I104" s="214">
        <f>F97</f>
        <v>2000</v>
      </c>
      <c r="J104" s="4">
        <f ca="1">F98</f>
        <v>5</v>
      </c>
      <c r="K104" s="217">
        <f ca="1">F97*J104</f>
        <v>10000</v>
      </c>
    </row>
    <row r="105" spans="1:12" s="4" customFormat="1" x14ac:dyDescent="0.2">
      <c r="E105" s="12" t="s">
        <v>108</v>
      </c>
      <c r="F105" s="217">
        <v>280</v>
      </c>
      <c r="H105" s="12" t="s">
        <v>109</v>
      </c>
      <c r="I105" s="214">
        <f>F102+F106+F107+F108</f>
        <v>940</v>
      </c>
      <c r="J105" s="4">
        <f ca="1">J97</f>
        <v>50</v>
      </c>
      <c r="K105" s="217">
        <f ca="1">I105*J105</f>
        <v>47000</v>
      </c>
    </row>
    <row r="106" spans="1:12" s="4" customFormat="1" x14ac:dyDescent="0.2">
      <c r="E106" s="325" t="s">
        <v>110</v>
      </c>
      <c r="F106" s="217">
        <v>350</v>
      </c>
      <c r="H106" s="14"/>
      <c r="I106" s="15"/>
      <c r="J106" s="15"/>
      <c r="K106" s="278">
        <f ca="1">SUM(K102:K105)</f>
        <v>431200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457" t="s">
        <v>114</v>
      </c>
      <c r="C113" s="458">
        <v>0</v>
      </c>
    </row>
    <row r="114" spans="1:22" s="4" customFormat="1" x14ac:dyDescent="0.2">
      <c r="B114" s="275" t="s">
        <v>115</v>
      </c>
      <c r="C114" s="459">
        <v>0</v>
      </c>
    </row>
    <row r="115" spans="1:22" s="4" customFormat="1" x14ac:dyDescent="0.2">
      <c r="B115" s="275" t="s">
        <v>116</v>
      </c>
      <c r="C115" s="459">
        <f>C113*C114</f>
        <v>0</v>
      </c>
    </row>
    <row r="116" spans="1:22" s="4" customFormat="1" x14ac:dyDescent="0.2">
      <c r="B116" s="14" t="s">
        <v>117</v>
      </c>
      <c r="C116" s="76" cm="1">
        <f t="array" aca="1" ref="C116" ca="1">INDIRECT("'Input_Q"&amp;$B$3&amp;"-Predict'!C53")</f>
        <v>80000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118</v>
      </c>
    </row>
    <row r="121" spans="1:22" s="4" customFormat="1" x14ac:dyDescent="0.2"/>
    <row r="122" spans="1:22" s="4" customFormat="1" x14ac:dyDescent="0.2">
      <c r="B122" s="4" t="s">
        <v>119</v>
      </c>
    </row>
    <row r="123" spans="1:22" s="4" customFormat="1" x14ac:dyDescent="0.2">
      <c r="B123" s="9" t="s">
        <v>60</v>
      </c>
      <c r="C123" s="334">
        <f ca="1">IFERROR(VLOOKUP(B123,$B$14:$C$121,2,FALSE),0)</f>
        <v>3616316</v>
      </c>
      <c r="D123" s="286"/>
      <c r="E123" s="286"/>
    </row>
    <row r="124" spans="1:22" s="4" customFormat="1" x14ac:dyDescent="0.2">
      <c r="B124" s="275" t="s">
        <v>120</v>
      </c>
      <c r="C124" s="366">
        <f>IF(D124="Match",(C74+0.125)*C123+J73*M23,E124)</f>
        <v>1357101.21</v>
      </c>
      <c r="D124" s="302" t="s">
        <v>297</v>
      </c>
      <c r="E124" s="268">
        <v>1357101.21</v>
      </c>
      <c r="F124" s="9" t="s">
        <v>400</v>
      </c>
      <c r="G124" s="9" t="s">
        <v>122</v>
      </c>
      <c r="H124" s="331"/>
      <c r="I124" s="10">
        <f>H124/$H$128</f>
        <v>0</v>
      </c>
      <c r="J124" s="11"/>
    </row>
    <row r="125" spans="1:22" s="4" customFormat="1" x14ac:dyDescent="0.2">
      <c r="B125" s="12" t="s">
        <v>123</v>
      </c>
      <c r="C125" s="336">
        <f ca="1">C123-C124</f>
        <v>2259214.79</v>
      </c>
      <c r="E125" s="302"/>
      <c r="F125" s="12"/>
      <c r="G125" s="12" t="s">
        <v>124</v>
      </c>
      <c r="H125" s="279">
        <f ca="1">SUMIF(D127:D139,"FC",C127:C139)</f>
        <v>1774795.3399999999</v>
      </c>
      <c r="I125" s="4">
        <f ca="1">H125/$H$128</f>
        <v>1382.2393613707163</v>
      </c>
      <c r="J125" s="13"/>
    </row>
    <row r="126" spans="1:22" s="4" customFormat="1" x14ac:dyDescent="0.2">
      <c r="B126" s="12" t="s">
        <v>125</v>
      </c>
      <c r="C126" s="336"/>
      <c r="F126" s="12"/>
      <c r="G126" s="12" t="s">
        <v>120</v>
      </c>
      <c r="H126" s="279">
        <f>C124</f>
        <v>1357101.21</v>
      </c>
      <c r="I126" s="4">
        <f>H126/$H$128</f>
        <v>1056.932406542056</v>
      </c>
      <c r="J126" s="13"/>
    </row>
    <row r="127" spans="1:22" s="4" customFormat="1" x14ac:dyDescent="0.2">
      <c r="B127" s="12" t="s">
        <v>126</v>
      </c>
      <c r="C127" s="336">
        <f>IF(B7="Overtime",560000,280000)</f>
        <v>560000</v>
      </c>
      <c r="D127" s="4" t="s">
        <v>124</v>
      </c>
      <c r="F127" s="12"/>
      <c r="G127" s="12" t="s">
        <v>127</v>
      </c>
      <c r="H127" s="279">
        <f ca="1">SUM(H124:H126)</f>
        <v>3131896.55</v>
      </c>
      <c r="J127" s="13"/>
    </row>
    <row r="128" spans="1:22" s="4" customFormat="1" x14ac:dyDescent="0.2">
      <c r="B128" s="12" t="s">
        <v>81</v>
      </c>
      <c r="C128" s="336">
        <f ca="1">IF(B7="Overtime",VALUE(IFERROR(VLOOKUP(B128,$B$14:$C$121,2,FALSE),0))*2,VALUE(IFERROR(VLOOKUP(B128,$B$14:$C$121,2,FALSE),0)))</f>
        <v>608400</v>
      </c>
      <c r="D128" s="4" t="s">
        <v>124</v>
      </c>
      <c r="F128" s="12"/>
      <c r="G128" s="12" t="s">
        <v>128</v>
      </c>
      <c r="H128" s="302">
        <f>C76</f>
        <v>1284</v>
      </c>
      <c r="J128" s="13"/>
    </row>
    <row r="129" spans="2:10" s="4" customFormat="1" x14ac:dyDescent="0.2">
      <c r="B129" s="12" t="s">
        <v>87</v>
      </c>
      <c r="C129" s="336">
        <f t="shared" ref="C129:C136" ca="1" si="0">IFERROR(VLOOKUP(B129,$B$14:$C$121,2,FALSE),0)</f>
        <v>70000</v>
      </c>
      <c r="D129" s="4" t="s">
        <v>124</v>
      </c>
      <c r="F129" s="12"/>
      <c r="G129" s="12" t="s">
        <v>129</v>
      </c>
      <c r="H129" s="339">
        <f ca="1">H127/H128</f>
        <v>2439.1717679127723</v>
      </c>
      <c r="J129" s="13"/>
    </row>
    <row r="130" spans="2:10" s="4" customFormat="1" x14ac:dyDescent="0.2">
      <c r="B130" s="12" t="s">
        <v>92</v>
      </c>
      <c r="C130" s="336">
        <f t="shared" ca="1" si="0"/>
        <v>47000</v>
      </c>
      <c r="D130" s="4" t="s">
        <v>122</v>
      </c>
      <c r="F130" s="12"/>
      <c r="G130" s="12"/>
      <c r="J130" s="13"/>
    </row>
    <row r="131" spans="2:10" s="4" customFormat="1" x14ac:dyDescent="0.2">
      <c r="B131" s="12" t="s">
        <v>89</v>
      </c>
      <c r="C131" s="336">
        <f t="shared" ca="1" si="0"/>
        <v>10000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 ca="1">$H$129*(1+H131)</f>
        <v>2683.0889447040499</v>
      </c>
      <c r="I132" s="333">
        <f ca="1">$H$129*(1+I131)</f>
        <v>2927.0061214953266</v>
      </c>
      <c r="J132" s="341">
        <f ca="1">$H$129*(1+J131)</f>
        <v>3170.9232982866042</v>
      </c>
    </row>
    <row r="133" spans="2:10" s="4" customFormat="1" x14ac:dyDescent="0.2">
      <c r="B133" s="12" t="s">
        <v>11</v>
      </c>
      <c r="C133" s="336">
        <f t="shared" ca="1" si="0"/>
        <v>135000</v>
      </c>
      <c r="D133" s="4" t="s">
        <v>124</v>
      </c>
      <c r="F133" s="12"/>
      <c r="G133" s="4" t="s">
        <v>133</v>
      </c>
      <c r="H133" s="302">
        <f ca="1">H132-$H$129</f>
        <v>243.9171767912776</v>
      </c>
      <c r="I133" s="302">
        <f ca="1">I132-$H$129</f>
        <v>487.83435358255429</v>
      </c>
      <c r="J133" s="318">
        <f ca="1">J132-$H$129</f>
        <v>731.75153037383188</v>
      </c>
    </row>
    <row r="134" spans="2:10" s="4" customFormat="1" x14ac:dyDescent="0.2">
      <c r="B134" s="12" t="s">
        <v>61</v>
      </c>
      <c r="C134" s="336">
        <f t="shared" ca="1" si="0"/>
        <v>292639.19</v>
      </c>
      <c r="D134" s="4" t="s">
        <v>124</v>
      </c>
      <c r="F134" s="12" t="s">
        <v>401</v>
      </c>
      <c r="G134" s="4" t="s">
        <v>134</v>
      </c>
      <c r="H134" s="355">
        <f ca="1">H133/H132</f>
        <v>9.0909090909091037E-2</v>
      </c>
      <c r="I134" s="355">
        <f ca="1">I133/I132</f>
        <v>0.1666666666666666</v>
      </c>
      <c r="J134" s="326">
        <f ca="1">J133/J132</f>
        <v>0.23076923076923081</v>
      </c>
    </row>
    <row r="135" spans="2:10" s="4" customFormat="1" x14ac:dyDescent="0.2">
      <c r="B135" s="12" t="s">
        <v>23</v>
      </c>
      <c r="C135" s="336">
        <f>IFERROR(VLOOKUP(B135,$B$14:$C$121,2,FALSE),0)</f>
        <v>18756.150000000005</v>
      </c>
      <c r="D135" s="4" t="s">
        <v>124</v>
      </c>
      <c r="F135" s="12" t="s">
        <v>402</v>
      </c>
      <c r="G135" s="4" t="s">
        <v>135</v>
      </c>
      <c r="H135" s="279">
        <f ca="1">$H$125/H134</f>
        <v>19522748.739999972</v>
      </c>
      <c r="I135" s="279">
        <f ca="1">$H$125/I134</f>
        <v>10648772.040000003</v>
      </c>
      <c r="J135" s="281">
        <f ca="1">$H$125/J134</f>
        <v>7690779.8066666648</v>
      </c>
    </row>
    <row r="136" spans="2:10" s="4" customFormat="1" x14ac:dyDescent="0.2">
      <c r="B136" s="12" t="s">
        <v>117</v>
      </c>
      <c r="C136" s="336">
        <f t="shared" ca="1" si="0"/>
        <v>80000</v>
      </c>
      <c r="D136" s="4" t="s">
        <v>124</v>
      </c>
      <c r="F136" s="14"/>
      <c r="G136" s="15" t="s">
        <v>136</v>
      </c>
      <c r="H136" s="15">
        <f ca="1">H135/H132</f>
        <v>7276.2212294655665</v>
      </c>
      <c r="I136" s="15">
        <f ca="1">I135/I132</f>
        <v>3638.1106147327901</v>
      </c>
      <c r="J136" s="16">
        <f ca="1">J135/J132</f>
        <v>2425.4070764885255</v>
      </c>
    </row>
    <row r="137" spans="2:10" s="4" customFormat="1" x14ac:dyDescent="0.2">
      <c r="B137" s="275" t="s">
        <v>137</v>
      </c>
      <c r="C137" s="335" cm="1">
        <f t="array" ref="C137">IF(B5="Validation",E137,SUMPRODUCT(F80:I80*F73:I73))</f>
        <v>55012</v>
      </c>
      <c r="D137" s="380" t="s">
        <v>138</v>
      </c>
      <c r="E137" s="4">
        <f>INDEX(Data_Sales!B3:N8,MATCH("Freight Cost",Data_Sales!B3:B8,0),MATCH('Q7-Validation'!B3,Data_Sales!B3:N3,0))</f>
        <v>55012</v>
      </c>
    </row>
    <row r="138" spans="2:10" s="4" customFormat="1" x14ac:dyDescent="0.2">
      <c r="B138" s="12" t="s">
        <v>139</v>
      </c>
      <c r="C138" s="336">
        <f>IFERROR(VLOOKUP(B138,$B$14:$C$121,2,FALSE),0)</f>
        <v>0</v>
      </c>
    </row>
    <row r="139" spans="2:10" s="4" customFormat="1" x14ac:dyDescent="0.2">
      <c r="B139" s="365" t="s">
        <v>140</v>
      </c>
      <c r="C139" s="366" cm="1">
        <f t="array" aca="1" ref="C139" ca="1">INDIRECT("'Input_Q"&amp;$B$3&amp;"-Predict'!C18")</f>
        <v>0</v>
      </c>
    </row>
    <row r="140" spans="2:10" s="4" customFormat="1" x14ac:dyDescent="0.2">
      <c r="B140" s="12" t="s">
        <v>141</v>
      </c>
      <c r="C140" s="336">
        <f>IFERROR(VLOOKUP(B140,$B$14:$C$121,2,FALSE),0)</f>
        <v>0</v>
      </c>
      <c r="G140" s="4">
        <v>1300000</v>
      </c>
    </row>
    <row r="141" spans="2:10" s="4" customFormat="1" x14ac:dyDescent="0.2">
      <c r="B141" s="12" t="s">
        <v>142</v>
      </c>
      <c r="C141" s="336">
        <f>IFERROR(VLOOKUP(B141,$B$14:$C$121,2,FALSE),0)</f>
        <v>0</v>
      </c>
    </row>
    <row r="142" spans="2:10" s="4" customFormat="1" x14ac:dyDescent="0.2">
      <c r="B142" s="12" t="s">
        <v>143</v>
      </c>
      <c r="C142" s="336">
        <f ca="1">SUM(C127:C141)</f>
        <v>1876807.3399999999</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 ca="1">C125-C142</f>
        <v>382407.45000000019</v>
      </c>
    </row>
    <row r="148" spans="2:5" s="4" customFormat="1" x14ac:dyDescent="0.2">
      <c r="B148" s="12" t="s">
        <v>147</v>
      </c>
      <c r="C148" s="13">
        <f ca="1">IF(C147&gt;0,C147*0.15,0)</f>
        <v>57361.117500000029</v>
      </c>
    </row>
    <row r="149" spans="2:5" s="4" customFormat="1" x14ac:dyDescent="0.2">
      <c r="B149" s="12" t="s">
        <v>148</v>
      </c>
      <c r="C149" s="336">
        <f ca="1">C147-C148</f>
        <v>325046.33250000014</v>
      </c>
    </row>
    <row r="150" spans="2:5" s="4" customFormat="1" x14ac:dyDescent="0.2">
      <c r="B150" s="12" t="s">
        <v>119</v>
      </c>
      <c r="C150" s="13"/>
    </row>
    <row r="151" spans="2:5" s="4" customFormat="1" x14ac:dyDescent="0.2">
      <c r="B151" s="12" t="s">
        <v>149</v>
      </c>
      <c r="C151" s="368">
        <f>INDEX(Data_IncomeStatement!A1:M33,MATCH("PROFIT AND LOSS STATEMENT RESULTS",Data_IncomeStatement!A1:A33,0),MATCH(VALUE(B3-1),Data_IncomeStatement!A1:M1,0))</f>
        <v>-591564.37066000002</v>
      </c>
    </row>
    <row r="152" spans="2:5" s="4" customFormat="1" x14ac:dyDescent="0.2">
      <c r="B152" s="12" t="s">
        <v>148</v>
      </c>
      <c r="C152" s="336">
        <f ca="1">C149</f>
        <v>325046.33250000014</v>
      </c>
    </row>
    <row r="153" spans="2:5" s="4" customFormat="1" x14ac:dyDescent="0.2">
      <c r="B153" s="12" t="s">
        <v>150</v>
      </c>
      <c r="C153" s="13">
        <v>0</v>
      </c>
    </row>
    <row r="154" spans="2:5" s="4" customFormat="1" x14ac:dyDescent="0.2">
      <c r="B154" s="14" t="s">
        <v>151</v>
      </c>
      <c r="C154" s="337">
        <f ca="1">C152+C151</f>
        <v>-266518.03815999988</v>
      </c>
    </row>
    <row r="155" spans="2:5" s="4" customFormat="1" x14ac:dyDescent="0.2"/>
    <row r="156" spans="2:5" s="4" customFormat="1" x14ac:dyDescent="0.2">
      <c r="C156" s="330"/>
      <c r="D156" s="214"/>
      <c r="E156" s="279"/>
    </row>
    <row r="157" spans="2:5" s="4" customFormat="1" x14ac:dyDescent="0.2"/>
    <row r="158" spans="2:5" s="4" customFormat="1" x14ac:dyDescent="0.2"/>
    <row r="159" spans="2:5" s="4" customFormat="1" x14ac:dyDescent="0.2"/>
    <row r="160" spans="2:5" s="4" customFormat="1" x14ac:dyDescent="0.2"/>
    <row r="161" s="4" customFormat="1" x14ac:dyDescent="0.2"/>
    <row r="162" s="4" customFormat="1" x14ac:dyDescent="0.2"/>
    <row r="163" s="4" customFormat="1" x14ac:dyDescent="0.2"/>
    <row r="164" s="4" customFormat="1" x14ac:dyDescent="0.2"/>
    <row r="165" s="4" customFormat="1" x14ac:dyDescent="0.2"/>
    <row r="166" s="4" customFormat="1" x14ac:dyDescent="0.2"/>
    <row r="167" s="4" customFormat="1" x14ac:dyDescent="0.2"/>
    <row r="168" s="4" customFormat="1" x14ac:dyDescent="0.2"/>
    <row r="169" s="4" customFormat="1" x14ac:dyDescent="0.2"/>
    <row r="170" s="4" customFormat="1" x14ac:dyDescent="0.2"/>
    <row r="171" s="4" customFormat="1" x14ac:dyDescent="0.2"/>
    <row r="172" s="4" customFormat="1" x14ac:dyDescent="0.2"/>
    <row r="173" s="4" customFormat="1" x14ac:dyDescent="0.2"/>
    <row r="174"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AEE18219-0035-154E-9C4F-AAF2537B6424}">
          <x14:formula1>
            <xm:f>Reference!$A$31:$A$32</xm:f>
          </x14:formula1>
          <xm:sqref>B7</xm:sqref>
        </x14:dataValidation>
        <x14:dataValidation type="list" allowBlank="1" showInputMessage="1" showErrorMessage="1" xr:uid="{E1687F69-64E2-574F-AE8A-B0A29BFC67EE}">
          <x14:formula1>
            <xm:f>Reference!$B$1:$B$4</xm:f>
          </x14:formula1>
          <xm:sqref>W21 W28 K20</xm:sqref>
        </x14:dataValidation>
        <x14:dataValidation type="list" allowBlank="1" showInputMessage="1" showErrorMessage="1" xr:uid="{9C3C0462-4DB1-5548-99B0-FDF53CF2163D}">
          <x14:formula1>
            <xm:f>Reference!$D$1:$D$4</xm:f>
          </x14:formula1>
          <xm:sqref>W23 W30 K22</xm:sqref>
        </x14:dataValidation>
        <x14:dataValidation type="list" allowBlank="1" showInputMessage="1" showErrorMessage="1" xr:uid="{839DB384-6A62-0A40-9DF3-9D6656FB35EE}">
          <x14:formula1>
            <xm:f>Reference!$A$1:$A$3</xm:f>
          </x14:formula1>
          <xm:sqref>W20 W27 K19</xm:sqref>
        </x14:dataValidation>
        <x14:dataValidation type="list" allowBlank="1" showInputMessage="1" showErrorMessage="1" xr:uid="{46455655-467A-454D-BE1D-FC73F9B9ED8F}">
          <x14:formula1>
            <xm:f>Reference!$C$1:$C$5</xm:f>
          </x14:formula1>
          <xm:sqref>W22 W29 K21</xm:sqref>
        </x14:dataValidation>
        <x14:dataValidation type="list" allowBlank="1" showInputMessage="1" showErrorMessage="1" xr:uid="{8E0D83FE-003A-EE4B-B160-A00B5CD1A5D9}">
          <x14:formula1>
            <xm:f>Reference!$A$6:$A$8</xm:f>
          </x14:formula1>
          <xm:sqref>B5</xm:sqref>
        </x14:dataValidation>
        <x14:dataValidation type="list" allowBlank="1" showInputMessage="1" showErrorMessage="1" xr:uid="{4A6525FB-90F5-B646-BB26-B5EC4808FE4E}">
          <x14:formula1>
            <xm:f>Reference!$A$10:$A$12</xm:f>
          </x14:formula1>
          <xm:sqref>D124</xm:sqref>
        </x14:dataValidation>
        <x14:dataValidation type="list" allowBlank="1" showInputMessage="1" showErrorMessage="1" xr:uid="{3F00A366-0919-6A4A-9D53-272D96C0CCF5}">
          <x14:formula1>
            <xm:f>Reference!$A$14:$A$26</xm:f>
          </x14:formula1>
          <xm:sqref>B3</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AA42D-DDDA-0549-9FAE-71E5DB2286E9}">
  <sheetPr>
    <tabColor theme="2" tint="-9.9978637043366805E-2"/>
  </sheetPr>
  <dimension ref="B1:J53"/>
  <sheetViews>
    <sheetView topLeftCell="A5" zoomScale="126" workbookViewId="0">
      <selection activeCell="B24" sqref="B24"/>
    </sheetView>
  </sheetViews>
  <sheetFormatPr baseColWidth="10" defaultColWidth="11" defaultRowHeight="16" x14ac:dyDescent="0.2"/>
  <cols>
    <col min="2" max="2" width="33.83203125" bestFit="1" customWidth="1"/>
    <col min="3" max="3" width="12.83203125" style="371" customWidth="1"/>
    <col min="4" max="4" width="15.6640625" customWidth="1"/>
    <col min="10" max="10" width="34.6640625" bestFit="1" customWidth="1"/>
  </cols>
  <sheetData>
    <row r="1" spans="2:7" x14ac:dyDescent="0.2">
      <c r="C1" t="s">
        <v>159</v>
      </c>
      <c r="D1" s="371"/>
      <c r="G1" s="414"/>
    </row>
    <row r="2" spans="2:7" x14ac:dyDescent="0.2">
      <c r="B2" s="385" t="b">
        <v>1</v>
      </c>
      <c r="C2" t="s">
        <v>160</v>
      </c>
      <c r="D2" s="371"/>
    </row>
    <row r="3" spans="2:7" x14ac:dyDescent="0.2">
      <c r="B3" s="385" t="b">
        <v>0</v>
      </c>
      <c r="C3" t="s">
        <v>161</v>
      </c>
      <c r="D3" s="371"/>
    </row>
    <row r="4" spans="2:7" x14ac:dyDescent="0.2">
      <c r="B4" s="385" t="b">
        <v>0</v>
      </c>
      <c r="C4" t="s">
        <v>162</v>
      </c>
      <c r="D4" s="371"/>
    </row>
    <row r="5" spans="2:7" x14ac:dyDescent="0.2">
      <c r="B5" s="385" t="b">
        <v>0</v>
      </c>
      <c r="C5" t="s">
        <v>163</v>
      </c>
      <c r="D5" s="371"/>
    </row>
    <row r="6" spans="2:7" s="124" customFormat="1" x14ac:dyDescent="0.2">
      <c r="B6" s="141" t="s">
        <v>164</v>
      </c>
      <c r="C6" s="404">
        <v>7</v>
      </c>
    </row>
    <row r="7" spans="2:7" s="124" customFormat="1" x14ac:dyDescent="0.2">
      <c r="B7" s="81" t="s">
        <v>165</v>
      </c>
      <c r="C7" s="405" t="s">
        <v>166</v>
      </c>
      <c r="E7" s="387" t="s">
        <v>167</v>
      </c>
    </row>
    <row r="8" spans="2:7" s="124" customFormat="1" x14ac:dyDescent="0.2">
      <c r="B8" s="63" t="s">
        <v>168</v>
      </c>
      <c r="C8" s="413" t="s">
        <v>169</v>
      </c>
      <c r="E8" s="387"/>
    </row>
    <row r="9" spans="2:7" x14ac:dyDescent="0.2">
      <c r="B9" s="93" t="s">
        <v>170</v>
      </c>
      <c r="C9" s="403"/>
      <c r="D9" t="s">
        <v>403</v>
      </c>
    </row>
    <row r="10" spans="2:7" x14ac:dyDescent="0.2">
      <c r="B10" s="93">
        <v>1</v>
      </c>
      <c r="C10" s="395">
        <v>2899</v>
      </c>
      <c r="D10">
        <v>2799</v>
      </c>
    </row>
    <row r="11" spans="2:7" x14ac:dyDescent="0.2">
      <c r="B11" s="93">
        <v>2</v>
      </c>
      <c r="C11" s="395">
        <v>2399</v>
      </c>
      <c r="D11">
        <v>2199</v>
      </c>
    </row>
    <row r="12" spans="2:7" x14ac:dyDescent="0.2">
      <c r="B12" s="93">
        <v>3</v>
      </c>
      <c r="C12" s="395">
        <v>2899</v>
      </c>
      <c r="D12">
        <v>2799</v>
      </c>
    </row>
    <row r="13" spans="2:7" x14ac:dyDescent="0.2">
      <c r="B13" s="90">
        <v>4</v>
      </c>
      <c r="C13" s="396">
        <v>2899</v>
      </c>
      <c r="D13">
        <v>2799</v>
      </c>
    </row>
    <row r="14" spans="2:7" x14ac:dyDescent="0.2">
      <c r="B14" s="87" t="s">
        <v>148</v>
      </c>
      <c r="C14" s="394" cm="1">
        <f t="array" aca="1" ref="C14" ca="1">INDIRECT("'Q"&amp;C6&amp;"-Predict'!C149")</f>
        <v>121140.48479000016</v>
      </c>
    </row>
    <row r="15" spans="2:7" x14ac:dyDescent="0.2">
      <c r="B15" s="14" t="s">
        <v>151</v>
      </c>
      <c r="C15" s="397" cm="1">
        <f t="array" aca="1" ref="C15" ca="1">INDIRECT("'Q"&amp;C6&amp;"-Predict'!C154")</f>
        <v>-470423.88586999988</v>
      </c>
    </row>
    <row r="17" spans="2:10" x14ac:dyDescent="0.2">
      <c r="B17" s="87" t="s">
        <v>171</v>
      </c>
      <c r="C17" s="388">
        <f>INDEX(Data_IncomeStatement!A1:M33,MATCH("PROFIT AND LOSS STATEMENT RESULTS", Data_IncomeStatement!A1:A33, 0),MATCH(VALUE(C6-1), Data_IncomeStatement!A1:M1, 0))</f>
        <v>-591564.37066000002</v>
      </c>
      <c r="D17" s="122" t="s">
        <v>172</v>
      </c>
      <c r="I17" t="s">
        <v>173</v>
      </c>
      <c r="J17" t="s">
        <v>174</v>
      </c>
    </row>
    <row r="18" spans="2:10" x14ac:dyDescent="0.2">
      <c r="B18" s="93" t="s">
        <v>175</v>
      </c>
      <c r="C18" s="344">
        <v>0</v>
      </c>
      <c r="D18" t="s">
        <v>176</v>
      </c>
      <c r="E18" t="s">
        <v>177</v>
      </c>
      <c r="I18" t="s">
        <v>132</v>
      </c>
      <c r="J18" t="s">
        <v>120</v>
      </c>
    </row>
    <row r="19" spans="2:10" x14ac:dyDescent="0.2">
      <c r="B19" s="93" t="s">
        <v>41</v>
      </c>
      <c r="C19" s="344">
        <f>INDEX(Data_Stock!B2:N11,MATCH("Left Inventory",Data_Stock!B2:B11,0),MATCH(VALUE(C6-1),Data_Stock!B2:N2,0))</f>
        <v>25</v>
      </c>
      <c r="D19" s="122" t="s">
        <v>172</v>
      </c>
      <c r="E19" t="s">
        <v>177</v>
      </c>
      <c r="G19">
        <f>819+741-960</f>
        <v>600</v>
      </c>
      <c r="J19" t="s">
        <v>178</v>
      </c>
    </row>
    <row r="20" spans="2:10" x14ac:dyDescent="0.2">
      <c r="B20" s="93" t="s">
        <v>42</v>
      </c>
      <c r="C20" s="344">
        <f>INDEX(Data_Stock!B2:N11,MATCH("Left",Data_Stock!B2:B11,0),MATCH(VALUE(C6-1),Data_Stock!B2:N2,0))</f>
        <v>1632</v>
      </c>
      <c r="D20" s="122" t="s">
        <v>172</v>
      </c>
      <c r="E20" t="s">
        <v>177</v>
      </c>
      <c r="J20" t="s">
        <v>179</v>
      </c>
    </row>
    <row r="21" spans="2:10" x14ac:dyDescent="0.2">
      <c r="B21" s="90" t="s">
        <v>180</v>
      </c>
      <c r="C21" s="389">
        <f>IF(C8="Overtime",MIN((1500*C34+C19),(C19+(C20*C34))),MIN((1200*C34+C19),(C19+(C20*C34))))</f>
        <v>1465</v>
      </c>
      <c r="D21" s="122"/>
    </row>
    <row r="22" spans="2:10" x14ac:dyDescent="0.2">
      <c r="B22" s="87" t="s">
        <v>181</v>
      </c>
      <c r="C22" s="390">
        <v>1600</v>
      </c>
      <c r="D22" s="122"/>
      <c r="E22" t="s">
        <v>182</v>
      </c>
    </row>
    <row r="23" spans="2:10" x14ac:dyDescent="0.2">
      <c r="B23" s="391" t="str">
        <f>"-----------------------------------------------&gt;&gt;"</f>
        <v>-----------------------------------------------&gt;&gt;</v>
      </c>
      <c r="C23" s="392">
        <f>MIN(C22,C21)</f>
        <v>1465</v>
      </c>
      <c r="D23" s="122" t="s">
        <v>172</v>
      </c>
      <c r="E23" t="s">
        <v>183</v>
      </c>
      <c r="J23" t="s">
        <v>184</v>
      </c>
    </row>
    <row r="24" spans="2:10" x14ac:dyDescent="0.2">
      <c r="B24" s="93">
        <v>1</v>
      </c>
      <c r="C24" s="291">
        <f>ROUNDDOWN($C$23*D24,0)</f>
        <v>439</v>
      </c>
      <c r="D24" s="17">
        <v>0.3</v>
      </c>
      <c r="E24" t="s">
        <v>185</v>
      </c>
      <c r="J24" t="s">
        <v>186</v>
      </c>
    </row>
    <row r="25" spans="2:10" x14ac:dyDescent="0.2">
      <c r="B25" s="93">
        <v>2</v>
      </c>
      <c r="C25" s="291">
        <f t="shared" ref="C25:C27" si="0">ROUNDDOWN($C$23*D25,0)</f>
        <v>249</v>
      </c>
      <c r="D25" s="17">
        <v>0.17</v>
      </c>
      <c r="E25" t="s">
        <v>187</v>
      </c>
      <c r="J25" t="s">
        <v>188</v>
      </c>
    </row>
    <row r="26" spans="2:10" x14ac:dyDescent="0.2">
      <c r="B26" s="93">
        <v>3</v>
      </c>
      <c r="C26" s="291">
        <f t="shared" si="0"/>
        <v>43</v>
      </c>
      <c r="D26" s="17">
        <f>1-D27-D25-D24</f>
        <v>2.9999999999999971E-2</v>
      </c>
      <c r="J26" t="s">
        <v>189</v>
      </c>
    </row>
    <row r="27" spans="2:10" x14ac:dyDescent="0.2">
      <c r="B27" s="90">
        <v>4</v>
      </c>
      <c r="C27" s="291">
        <f t="shared" si="0"/>
        <v>732</v>
      </c>
      <c r="D27" s="17">
        <v>0.5</v>
      </c>
      <c r="E27" t="s">
        <v>190</v>
      </c>
      <c r="J27" t="s">
        <v>191</v>
      </c>
    </row>
    <row r="28" spans="2:10" x14ac:dyDescent="0.2">
      <c r="B28" s="87" t="s">
        <v>192</v>
      </c>
      <c r="C28" s="394">
        <f>SUM(C29:C32)</f>
        <v>1169</v>
      </c>
      <c r="D28" t="s">
        <v>193</v>
      </c>
      <c r="J28" t="s">
        <v>194</v>
      </c>
    </row>
    <row r="29" spans="2:10" x14ac:dyDescent="0.2">
      <c r="B29" s="93">
        <v>1</v>
      </c>
      <c r="C29" s="291">
        <f>ROUNDDOWN(C24*D29,0)</f>
        <v>351</v>
      </c>
      <c r="D29" s="69">
        <v>0.8</v>
      </c>
      <c r="E29">
        <v>1613</v>
      </c>
      <c r="F29" s="267">
        <f t="shared" ref="F29:F31" si="1">C29/E29</f>
        <v>0.217606943583385</v>
      </c>
      <c r="J29" t="s">
        <v>195</v>
      </c>
    </row>
    <row r="30" spans="2:10" x14ac:dyDescent="0.2">
      <c r="B30" s="93">
        <v>2</v>
      </c>
      <c r="C30" s="291">
        <f t="shared" ref="C30:C31" si="2">ROUNDDOWN(C25*D30,0)</f>
        <v>199</v>
      </c>
      <c r="D30" s="69">
        <v>0.8</v>
      </c>
      <c r="E30">
        <v>1094</v>
      </c>
      <c r="F30" s="267">
        <f t="shared" si="1"/>
        <v>0.18190127970749542</v>
      </c>
      <c r="J30" t="s">
        <v>196</v>
      </c>
    </row>
    <row r="31" spans="2:10" x14ac:dyDescent="0.2">
      <c r="B31" s="93">
        <v>3</v>
      </c>
      <c r="C31" s="291">
        <f t="shared" si="2"/>
        <v>34</v>
      </c>
      <c r="D31" s="69">
        <v>0.8</v>
      </c>
      <c r="E31">
        <v>1210</v>
      </c>
      <c r="F31" s="267">
        <f t="shared" si="1"/>
        <v>2.809917355371901E-2</v>
      </c>
    </row>
    <row r="32" spans="2:10" x14ac:dyDescent="0.2">
      <c r="B32" s="90">
        <v>4</v>
      </c>
      <c r="C32" s="393">
        <f>ROUNDDOWN(C27*D32,0)</f>
        <v>585</v>
      </c>
      <c r="D32" s="69">
        <v>0.8</v>
      </c>
      <c r="E32">
        <v>1843</v>
      </c>
      <c r="F32" s="267">
        <f>C32/E32</f>
        <v>0.31741725447639718</v>
      </c>
    </row>
    <row r="33" spans="2:5" ht="17" customHeight="1" x14ac:dyDescent="0.2">
      <c r="B33" s="87" t="s">
        <v>197</v>
      </c>
      <c r="C33" s="398">
        <f>C23-C19</f>
        <v>1440</v>
      </c>
      <c r="E33" t="s">
        <v>198</v>
      </c>
    </row>
    <row r="34" spans="2:5" ht="17" customHeight="1" x14ac:dyDescent="0.2">
      <c r="B34" s="93" t="s">
        <v>38</v>
      </c>
      <c r="C34" s="399">
        <v>0.96</v>
      </c>
    </row>
    <row r="35" spans="2:5" ht="17" customHeight="1" x14ac:dyDescent="0.2">
      <c r="B35" s="90" t="s">
        <v>199</v>
      </c>
      <c r="C35" s="400">
        <f>ROUNDDOWN(C33*C34,0)</f>
        <v>1382</v>
      </c>
    </row>
    <row r="36" spans="2:5" ht="17" customHeight="1" x14ac:dyDescent="0.2">
      <c r="B36" s="87" t="s">
        <v>200</v>
      </c>
      <c r="C36" s="390">
        <v>1500</v>
      </c>
      <c r="D36" s="269"/>
    </row>
    <row r="37" spans="2:5" ht="17" customHeight="1" x14ac:dyDescent="0.2">
      <c r="B37" s="90" t="str">
        <f>"-------------------------------&gt;"</f>
        <v>-------------------------------&gt;</v>
      </c>
      <c r="C37" s="400">
        <f>IF(C7="Conservasive",1200-(C20-C35),C36)</f>
        <v>1500</v>
      </c>
      <c r="E37" t="s">
        <v>201</v>
      </c>
    </row>
    <row r="38" spans="2:5" x14ac:dyDescent="0.2">
      <c r="B38" s="195" t="s">
        <v>19</v>
      </c>
      <c r="C38" s="401">
        <v>9</v>
      </c>
    </row>
    <row r="39" spans="2:5" x14ac:dyDescent="0.2">
      <c r="B39" s="195" t="s">
        <v>202</v>
      </c>
      <c r="C39" s="402">
        <v>0.06</v>
      </c>
    </row>
    <row r="40" spans="2:5" x14ac:dyDescent="0.2">
      <c r="B40" s="87" t="s">
        <v>203</v>
      </c>
      <c r="C40" s="394"/>
    </row>
    <row r="41" spans="2:5" x14ac:dyDescent="0.2">
      <c r="B41" s="93">
        <v>1</v>
      </c>
      <c r="C41" s="291">
        <v>7</v>
      </c>
      <c r="D41">
        <f>'Q7-Predict'!F75</f>
        <v>89086.27</v>
      </c>
    </row>
    <row r="42" spans="2:5" x14ac:dyDescent="0.2">
      <c r="B42" s="93">
        <v>2</v>
      </c>
      <c r="C42" s="291">
        <v>9</v>
      </c>
      <c r="D42">
        <f>'Q7-Predict'!G75</f>
        <v>53761.59</v>
      </c>
    </row>
    <row r="43" spans="2:5" x14ac:dyDescent="0.2">
      <c r="B43" s="93">
        <v>3</v>
      </c>
      <c r="C43" s="291">
        <v>1</v>
      </c>
      <c r="D43">
        <f>'Q7-Predict'!H75</f>
        <v>1246.57</v>
      </c>
    </row>
    <row r="44" spans="2:5" x14ac:dyDescent="0.2">
      <c r="B44" s="90">
        <v>4</v>
      </c>
      <c r="C44" s="393">
        <v>7</v>
      </c>
      <c r="D44">
        <f>'Q7-Predict'!I75</f>
        <v>148544.76</v>
      </c>
    </row>
    <row r="45" spans="2:5" x14ac:dyDescent="0.2">
      <c r="B45" s="87" t="s">
        <v>204</v>
      </c>
      <c r="C45" s="394"/>
    </row>
    <row r="46" spans="2:5" x14ac:dyDescent="0.2">
      <c r="B46" s="93">
        <v>1</v>
      </c>
      <c r="C46" s="291">
        <v>1</v>
      </c>
    </row>
    <row r="47" spans="2:5" x14ac:dyDescent="0.2">
      <c r="B47" s="93">
        <v>2</v>
      </c>
      <c r="C47" s="291">
        <v>0</v>
      </c>
    </row>
    <row r="48" spans="2:5" x14ac:dyDescent="0.2">
      <c r="B48" s="93">
        <v>3</v>
      </c>
      <c r="C48" s="291">
        <v>-1</v>
      </c>
    </row>
    <row r="49" spans="2:4" x14ac:dyDescent="0.2">
      <c r="B49" s="90">
        <v>4</v>
      </c>
      <c r="C49" s="393">
        <v>0</v>
      </c>
    </row>
    <row r="50" spans="2:4" x14ac:dyDescent="0.2">
      <c r="B50" s="87" t="s">
        <v>82</v>
      </c>
      <c r="C50" s="390">
        <v>5200</v>
      </c>
    </row>
    <row r="51" spans="2:4" x14ac:dyDescent="0.2">
      <c r="B51" s="93" t="s">
        <v>93</v>
      </c>
      <c r="C51" s="291">
        <v>7</v>
      </c>
    </row>
    <row r="52" spans="2:4" x14ac:dyDescent="0.2">
      <c r="B52" s="93" t="s">
        <v>205</v>
      </c>
      <c r="C52" s="291">
        <v>5</v>
      </c>
    </row>
    <row r="53" spans="2:4" x14ac:dyDescent="0.2">
      <c r="B53" s="90" t="s">
        <v>206</v>
      </c>
      <c r="C53" s="393">
        <v>80000</v>
      </c>
      <c r="D53" t="s">
        <v>207</v>
      </c>
    </row>
  </sheetData>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C676DC99-0A69-0A41-9748-3418FEE17D8D}">
          <x14:formula1>
            <xm:f>Reference!$A$28:$A$29</xm:f>
          </x14:formula1>
          <xm:sqref>C7</xm:sqref>
        </x14:dataValidation>
        <x14:dataValidation type="list" allowBlank="1" showInputMessage="1" showErrorMessage="1" xr:uid="{0D3A36A6-9EA4-034B-AA51-3587EA193116}">
          <x14:formula1>
            <xm:f>Reference!$A$14:$A$26</xm:f>
          </x14:formula1>
          <xm:sqref>C6</xm:sqref>
        </x14:dataValidation>
        <x14:dataValidation type="list" allowBlank="1" showInputMessage="1" showErrorMessage="1" xr:uid="{1B6D26AF-95A7-FF45-BCB3-D50160DF1DD9}">
          <x14:formula1>
            <xm:f>Reference!$A$31:$A$32</xm:f>
          </x14:formula1>
          <xm:sqref>C8</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4842A-E1AC-564A-8490-1B3FC9E5FF20}">
  <sheetPr>
    <tabColor theme="2" tint="-9.9978637043366805E-2"/>
  </sheetPr>
  <dimension ref="A1:V174"/>
  <sheetViews>
    <sheetView zoomScale="118" zoomScaleNormal="120" workbookViewId="0">
      <selection activeCell="C149" sqref="C149"/>
    </sheetView>
  </sheetViews>
  <sheetFormatPr baseColWidth="10" defaultColWidth="11" defaultRowHeight="16" x14ac:dyDescent="0.2"/>
  <cols>
    <col min="1" max="1" width="5.6640625" style="4" customWidth="1"/>
    <col min="2" max="2" width="33.33203125" bestFit="1" customWidth="1"/>
    <col min="3" max="3" width="14" bestFit="1" customWidth="1"/>
    <col min="4" max="4" width="15.1640625"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4"/>
      <c r="C2" s="4"/>
      <c r="D2" s="4"/>
      <c r="E2" s="4"/>
      <c r="F2" s="4"/>
      <c r="G2" s="4"/>
      <c r="H2" s="4"/>
      <c r="I2" s="4"/>
      <c r="J2" s="4"/>
      <c r="K2" s="4"/>
      <c r="L2" s="4"/>
      <c r="M2" s="4"/>
      <c r="N2" s="4"/>
      <c r="O2" s="4"/>
      <c r="P2" s="4"/>
      <c r="Q2" s="4"/>
      <c r="R2" s="4"/>
      <c r="S2" s="4"/>
      <c r="T2" s="4"/>
      <c r="U2" s="4"/>
      <c r="V2" s="4"/>
    </row>
    <row r="3" spans="1:22" x14ac:dyDescent="0.2">
      <c r="B3" s="4"/>
      <c r="C3" s="4"/>
      <c r="D3" s="4"/>
      <c r="E3" s="4"/>
      <c r="F3" s="4"/>
      <c r="G3" s="4"/>
      <c r="H3" s="4"/>
      <c r="I3" s="4"/>
      <c r="J3" s="4"/>
      <c r="K3" s="4"/>
      <c r="L3" s="4"/>
      <c r="M3" s="4"/>
      <c r="N3" s="4"/>
      <c r="O3" s="4"/>
      <c r="P3" s="4"/>
      <c r="Q3" s="4"/>
      <c r="R3" s="4"/>
      <c r="S3" s="4"/>
      <c r="T3" s="4"/>
      <c r="U3" s="4"/>
      <c r="V3" s="4"/>
    </row>
    <row r="4" spans="1:22" s="4" customFormat="1" x14ac:dyDescent="0.2"/>
    <row r="5" spans="1:22" s="4" customFormat="1" x14ac:dyDescent="0.2"/>
    <row r="6" spans="1:22" s="4" customFormat="1" x14ac:dyDescent="0.2"/>
    <row r="7" spans="1:22" s="4" customFormat="1" x14ac:dyDescent="0.2"/>
    <row r="8" spans="1:22" s="4" customFormat="1" x14ac:dyDescent="0.2">
      <c r="B8" s="178">
        <v>7</v>
      </c>
    </row>
    <row r="9" spans="1:22" s="4" customFormat="1" x14ac:dyDescent="0.2">
      <c r="B9" s="410" t="s">
        <v>6</v>
      </c>
    </row>
    <row r="10" spans="1:22" x14ac:dyDescent="0.2">
      <c r="B10" s="98" t="str">
        <f>'Input_Q7-Predict'!C8</f>
        <v>Overtime</v>
      </c>
      <c r="C10" s="4"/>
      <c r="F10" s="4"/>
      <c r="G10" s="4"/>
      <c r="H10" s="4"/>
      <c r="I10" s="4"/>
      <c r="J10" s="4"/>
      <c r="K10" s="4"/>
      <c r="L10" s="4"/>
      <c r="M10" s="4"/>
      <c r="N10" s="4"/>
      <c r="O10" s="4"/>
      <c r="P10" s="4"/>
      <c r="Q10" s="4"/>
      <c r="R10" s="4"/>
      <c r="S10" s="4"/>
      <c r="T10" s="4"/>
      <c r="U10" s="4"/>
      <c r="V10" s="4"/>
    </row>
    <row r="11" spans="1:22" x14ac:dyDescent="0.2">
      <c r="B11" s="4"/>
      <c r="C11" s="4"/>
      <c r="D11" s="4"/>
      <c r="E11" s="4"/>
      <c r="F11" s="4"/>
      <c r="G11" s="4"/>
      <c r="H11" s="4"/>
      <c r="I11" s="4"/>
      <c r="J11" s="4"/>
      <c r="K11" s="4"/>
      <c r="L11" s="4"/>
      <c r="M11" s="4"/>
      <c r="N11" s="4"/>
      <c r="O11" s="4"/>
      <c r="P11" s="4"/>
      <c r="Q11" s="4"/>
      <c r="R11" s="4"/>
      <c r="S11" s="4"/>
      <c r="T11" s="4"/>
      <c r="U11" s="4"/>
      <c r="V11" s="4"/>
    </row>
    <row r="12" spans="1:22" x14ac:dyDescent="0.2">
      <c r="B12" s="4"/>
      <c r="C12" s="99" t="s">
        <v>4</v>
      </c>
      <c r="D12" s="69" t="s">
        <v>404</v>
      </c>
      <c r="E12" s="268" t="s">
        <v>6</v>
      </c>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F19*F20</f>
        <v>135000</v>
      </c>
      <c r="E18" s="576" t="s">
        <v>12</v>
      </c>
      <c r="F18" s="577"/>
      <c r="G18" s="578"/>
      <c r="I18" s="71" t="s">
        <v>13</v>
      </c>
      <c r="J18" s="72"/>
      <c r="K18" s="72" t="s">
        <v>14</v>
      </c>
      <c r="L18" s="72" t="s">
        <v>15</v>
      </c>
      <c r="M18" s="72" t="s">
        <v>16</v>
      </c>
      <c r="N18" s="73" t="s">
        <v>17</v>
      </c>
    </row>
    <row r="19" spans="2:22" s="4" customFormat="1" x14ac:dyDescent="0.2">
      <c r="B19" s="12" t="s">
        <v>18</v>
      </c>
      <c r="C19" s="217">
        <f>N23</f>
        <v>857835</v>
      </c>
      <c r="E19" s="284" t="s">
        <v>19</v>
      </c>
      <c r="F19" s="285">
        <v>15000</v>
      </c>
      <c r="G19" s="11" t="s">
        <v>20</v>
      </c>
      <c r="I19" s="12"/>
      <c r="J19" s="4" t="s">
        <v>21</v>
      </c>
      <c r="K19" s="4" t="s">
        <v>22</v>
      </c>
      <c r="L19" s="4">
        <f>VLOOKUP($K$19,$E$24:F59,2,FALSE)</f>
        <v>36</v>
      </c>
      <c r="M19" s="4">
        <f>L19*$F$25</f>
        <v>36</v>
      </c>
      <c r="N19" s="13">
        <f>M19*$F$24</f>
        <v>54000</v>
      </c>
    </row>
    <row r="20" spans="2:22" s="4" customFormat="1" x14ac:dyDescent="0.2">
      <c r="B20" s="12" t="s">
        <v>23</v>
      </c>
      <c r="C20" s="281">
        <f>C34*0.02*M24</f>
        <v>18134.517600000006</v>
      </c>
      <c r="E20" s="68"/>
      <c r="F20" s="76">
        <f>'Input_Q7-Predict'!C38</f>
        <v>9</v>
      </c>
      <c r="G20" s="16"/>
      <c r="I20" s="12" t="s">
        <v>24</v>
      </c>
      <c r="J20" s="19" t="s">
        <v>25</v>
      </c>
      <c r="K20" s="4" t="s">
        <v>26</v>
      </c>
      <c r="L20" s="4">
        <f>VLOOKUP($K$20,$E$25:F60,2,FALSE)</f>
        <v>44.52</v>
      </c>
      <c r="M20" s="4">
        <f>L20*$F$28</f>
        <v>89.04</v>
      </c>
      <c r="N20" s="13">
        <f>M20*$F$24</f>
        <v>133560</v>
      </c>
    </row>
    <row r="21" spans="2:22" s="4" customFormat="1" x14ac:dyDescent="0.2">
      <c r="B21" s="276" t="s">
        <v>27</v>
      </c>
      <c r="C21" s="282">
        <v>280000</v>
      </c>
      <c r="E21" s="12" t="s">
        <v>28</v>
      </c>
      <c r="G21" s="103"/>
      <c r="I21" s="12"/>
      <c r="J21" s="20" t="s">
        <v>29</v>
      </c>
      <c r="K21" s="4" t="s">
        <v>30</v>
      </c>
      <c r="L21" s="4">
        <f>VLOOKUP($K$21,$E$26:F63,2,FALSE)</f>
        <v>187.20000000000002</v>
      </c>
      <c r="M21" s="4">
        <f>L21*$F$38</f>
        <v>374.40000000000003</v>
      </c>
      <c r="N21" s="13">
        <f>M21*$F$24</f>
        <v>561600</v>
      </c>
      <c r="V21" s="19"/>
    </row>
    <row r="22" spans="2:22" s="4" customFormat="1" x14ac:dyDescent="0.2">
      <c r="B22" s="14"/>
      <c r="C22" s="278">
        <f>SUM(C17:C21)</f>
        <v>1290969.5175999999</v>
      </c>
      <c r="E22" s="12" t="s">
        <v>31</v>
      </c>
      <c r="F22" s="214">
        <v>1300000</v>
      </c>
      <c r="G22" s="103"/>
      <c r="I22" s="12"/>
      <c r="J22" s="70" t="s">
        <v>32</v>
      </c>
      <c r="K22" s="4" t="s">
        <v>33</v>
      </c>
      <c r="L22" s="4">
        <f>VLOOKUP($K$22,$E$21:F60,2,FALSE)</f>
        <v>24.150000000000002</v>
      </c>
      <c r="M22" s="4">
        <f>L22*$F$51</f>
        <v>72.45</v>
      </c>
      <c r="N22" s="13">
        <f>M22*$F$24</f>
        <v>108675</v>
      </c>
      <c r="V22" s="20"/>
    </row>
    <row r="23" spans="2:22" s="4" customFormat="1" x14ac:dyDescent="0.2">
      <c r="E23" s="12" t="s">
        <v>34</v>
      </c>
      <c r="F23" s="214">
        <v>1500000</v>
      </c>
      <c r="G23" s="103"/>
      <c r="I23" s="71" t="s">
        <v>35</v>
      </c>
      <c r="J23" s="72"/>
      <c r="K23" s="72"/>
      <c r="L23" s="72"/>
      <c r="M23" s="72">
        <f>SUM(M19:M22)</f>
        <v>571.8900000000001</v>
      </c>
      <c r="N23" s="73">
        <f>SUM(N19:N22)</f>
        <v>857835</v>
      </c>
      <c r="V23" s="70"/>
    </row>
    <row r="24" spans="2:22" s="4" customFormat="1" x14ac:dyDescent="0.2">
      <c r="E24" s="14" t="s">
        <v>18</v>
      </c>
      <c r="F24" s="95">
        <f>'Input_Q7-Predict'!C36</f>
        <v>1500</v>
      </c>
      <c r="G24" s="103" t="s">
        <v>36</v>
      </c>
      <c r="I24" s="14" t="s">
        <v>37</v>
      </c>
      <c r="J24" s="15"/>
      <c r="K24" s="15"/>
      <c r="L24" s="15"/>
      <c r="M24" s="15">
        <f>M23-M19</f>
        <v>535.8900000000001</v>
      </c>
      <c r="N24" s="16">
        <f>M24*F24</f>
        <v>803835.00000000012</v>
      </c>
    </row>
    <row r="25" spans="2:22" s="4" customFormat="1" x14ac:dyDescent="0.2">
      <c r="B25" s="71" t="s">
        <v>38</v>
      </c>
      <c r="C25" s="287">
        <f>IF(B9="Validation",Archived_Testing_Q5!B30, 'Q7-Predict'!C30/'Q7-Predict'!C29)</f>
        <v>0.95972222222222225</v>
      </c>
      <c r="E25" s="9" t="s">
        <v>21</v>
      </c>
      <c r="F25" s="10">
        <v>1</v>
      </c>
      <c r="G25" s="103" t="s">
        <v>39</v>
      </c>
    </row>
    <row r="26" spans="2:22" s="4" customFormat="1" x14ac:dyDescent="0.2">
      <c r="E26" s="12" t="s">
        <v>40</v>
      </c>
      <c r="F26" s="214">
        <v>20</v>
      </c>
      <c r="G26" s="103"/>
    </row>
    <row r="27" spans="2:22" s="4" customFormat="1" x14ac:dyDescent="0.2">
      <c r="B27" s="9" t="s">
        <v>41</v>
      </c>
      <c r="C27" s="289">
        <f>Archived_Testing_Q5!B17</f>
        <v>819</v>
      </c>
      <c r="E27" s="14" t="s">
        <v>22</v>
      </c>
      <c r="F27" s="283">
        <v>36</v>
      </c>
      <c r="G27" s="98"/>
    </row>
    <row r="28" spans="2:22" s="4" customFormat="1" x14ac:dyDescent="0.2">
      <c r="B28" s="12" t="s">
        <v>42</v>
      </c>
      <c r="C28" s="290">
        <f>INDEX(Data_Stock!B2:N11,MATCH("Left",Data_Stock!B2:B11,0),MATCH(VALUE(B8-1),Data_Stock!B2:N2,0))</f>
        <v>1632</v>
      </c>
      <c r="E28" s="9" t="s">
        <v>25</v>
      </c>
      <c r="F28" s="11">
        <v>2</v>
      </c>
      <c r="G28" s="103" t="s">
        <v>39</v>
      </c>
      <c r="P28" s="214"/>
      <c r="V28" s="19"/>
    </row>
    <row r="29" spans="2:22" s="4" customFormat="1" x14ac:dyDescent="0.2">
      <c r="B29" s="12" t="s">
        <v>43</v>
      </c>
      <c r="C29" s="291">
        <f>'Input_Q7-Predict'!C33</f>
        <v>1440</v>
      </c>
      <c r="E29" s="12" t="s">
        <v>44</v>
      </c>
      <c r="F29" s="13">
        <f>(1+F31)*F30</f>
        <v>43.2</v>
      </c>
      <c r="G29" s="103"/>
      <c r="V29" s="20"/>
    </row>
    <row r="30" spans="2:22" s="4" customFormat="1" x14ac:dyDescent="0.2">
      <c r="B30" s="12" t="str">
        <f>IF(B9="Validation","Actual Production","Predict Production")</f>
        <v>Predict Production</v>
      </c>
      <c r="C30" s="292">
        <f>'Input_Q7-Predict'!C35</f>
        <v>1382</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F24</f>
        <v>1500</v>
      </c>
      <c r="E33" s="67" t="s">
        <v>45</v>
      </c>
      <c r="F33" s="13">
        <v>42</v>
      </c>
      <c r="G33" s="103"/>
    </row>
    <row r="34" spans="2:14" s="4" customFormat="1" x14ac:dyDescent="0.2">
      <c r="B34" s="12" t="s">
        <v>49</v>
      </c>
      <c r="C34" s="222">
        <f>C28+F24-C29</f>
        <v>1692</v>
      </c>
      <c r="E34" s="67" t="s">
        <v>46</v>
      </c>
      <c r="F34" s="13">
        <v>0.06</v>
      </c>
      <c r="G34" s="103"/>
    </row>
    <row r="35" spans="2:14" s="4" customFormat="1" x14ac:dyDescent="0.2">
      <c r="B35" s="14" t="s">
        <v>50</v>
      </c>
      <c r="C35" s="288">
        <f>C34*M24</f>
        <v>906725.88000000012</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SUMPRODUCT(F73:I73,F71:I71)</f>
        <v>3289431</v>
      </c>
    </row>
    <row r="69" spans="2:11" s="4" customFormat="1" x14ac:dyDescent="0.2">
      <c r="B69" s="12" t="s">
        <v>61</v>
      </c>
      <c r="C69" s="221">
        <f>J75</f>
        <v>292639.19</v>
      </c>
      <c r="E69" s="9" t="str">
        <f>IF(B9="Validation","Actual S.C.R","Predict S.C.R")</f>
        <v>Predict S.C.R</v>
      </c>
      <c r="F69" s="311">
        <f>IF($B$9="Validation",F73/F72,'Input_Q7-Predict'!D29)</f>
        <v>0.8</v>
      </c>
      <c r="G69" s="311">
        <f>IF($B$9="Validation",G73/G72,'Input_Q7-Predict'!D30)</f>
        <v>0.8</v>
      </c>
      <c r="H69" s="311">
        <f>IF($B$9="Validation",H73/H72,'Input_Q7-Predict'!D31)</f>
        <v>0.8</v>
      </c>
      <c r="I69" s="311">
        <f>IF($B$9="Validation",I73/I72,'Input_Q7-Predict'!D32)</f>
        <v>0.8</v>
      </c>
      <c r="J69" s="11"/>
    </row>
    <row r="70" spans="2:11" s="4" customFormat="1" x14ac:dyDescent="0.2">
      <c r="B70" s="12" t="s">
        <v>62</v>
      </c>
      <c r="C70" s="318">
        <f>C68*C74</f>
        <v>197365.86</v>
      </c>
      <c r="E70" s="297" t="s">
        <v>63</v>
      </c>
      <c r="F70" s="298">
        <v>1</v>
      </c>
      <c r="G70" s="298">
        <v>2</v>
      </c>
      <c r="H70" s="298">
        <v>3</v>
      </c>
      <c r="I70" s="299">
        <v>4</v>
      </c>
      <c r="J70" s="299" t="s">
        <v>64</v>
      </c>
    </row>
    <row r="71" spans="2:11" s="4" customFormat="1" x14ac:dyDescent="0.2">
      <c r="B71" s="14"/>
      <c r="C71" s="319">
        <f>SUM(C68:C70)</f>
        <v>3779436.05</v>
      </c>
      <c r="E71" s="300" t="s">
        <v>65</v>
      </c>
      <c r="F71" s="358">
        <f>'Input_Q7-Predict'!C10</f>
        <v>2899</v>
      </c>
      <c r="G71" s="358">
        <f>'Input_Q7-Predict'!C11</f>
        <v>2399</v>
      </c>
      <c r="H71" s="358">
        <f>'Input_Q7-Predict'!C12</f>
        <v>2899</v>
      </c>
      <c r="I71" s="358">
        <f>'Input_Q7-Predict'!C13</f>
        <v>2899</v>
      </c>
      <c r="J71" s="301" t="s">
        <v>66</v>
      </c>
      <c r="K71" s="363">
        <f>SUMPRODUCT(F71:I71,F72:I72)</f>
        <v>4116737</v>
      </c>
    </row>
    <row r="72" spans="2:11" s="4" customFormat="1" x14ac:dyDescent="0.2">
      <c r="E72" s="300" t="s">
        <v>67</v>
      </c>
      <c r="F72" s="272">
        <f>'Input_Q7-Predict'!C24</f>
        <v>439</v>
      </c>
      <c r="G72" s="272">
        <f>'Input_Q7-Predict'!C25</f>
        <v>249</v>
      </c>
      <c r="H72" s="272">
        <f>'Input_Q7-Predict'!C26</f>
        <v>43</v>
      </c>
      <c r="I72" s="272">
        <f>'Input_Q7-Predict'!C27</f>
        <v>732</v>
      </c>
      <c r="J72" s="303">
        <f>Archived_Testing_Q5!B19</f>
        <v>1600</v>
      </c>
      <c r="K72" s="4" t="s">
        <v>405</v>
      </c>
    </row>
    <row r="73" spans="2:11" s="4" customFormat="1" x14ac:dyDescent="0.2">
      <c r="D73" s="199"/>
      <c r="E73" s="300" t="str">
        <f>IF(B9="Validation","Actual Sale","Predict Sale")</f>
        <v>Predict Sale</v>
      </c>
      <c r="F73" s="273">
        <f>ROUNDDOWN(F69*F72,0)</f>
        <v>351</v>
      </c>
      <c r="G73" s="273">
        <f t="shared" ref="G73:I73" si="0">ROUNDDOWN(G69*G72,0)</f>
        <v>199</v>
      </c>
      <c r="H73" s="273">
        <f t="shared" si="0"/>
        <v>34</v>
      </c>
      <c r="I73" s="273">
        <f t="shared" si="0"/>
        <v>585</v>
      </c>
      <c r="J73" s="383">
        <f>SUM(F73:I73)</f>
        <v>1169</v>
      </c>
    </row>
    <row r="74" spans="2:11" s="4" customFormat="1" x14ac:dyDescent="0.2">
      <c r="B74" s="9" t="s">
        <v>68</v>
      </c>
      <c r="C74" s="406">
        <f>'Input_Q7-Predict'!C39</f>
        <v>0.06</v>
      </c>
      <c r="D74" s="199"/>
      <c r="E74" s="300" t="s">
        <v>69</v>
      </c>
      <c r="F74" s="256">
        <f>'Input_Q7-Predict'!C41</f>
        <v>7</v>
      </c>
      <c r="G74" s="256">
        <f>'Input_Q7-Predict'!C42</f>
        <v>9</v>
      </c>
      <c r="H74" s="256">
        <f>'Input_Q7-Predict'!C43</f>
        <v>1</v>
      </c>
      <c r="I74" s="256">
        <f>'Input_Q7-Predict'!C44</f>
        <v>7</v>
      </c>
      <c r="J74" s="301"/>
    </row>
    <row r="75" spans="2:11" s="4" customFormat="1" x14ac:dyDescent="0.2">
      <c r="B75" s="12" t="s">
        <v>70</v>
      </c>
      <c r="C75" s="221">
        <f>J72</f>
        <v>1600</v>
      </c>
      <c r="D75" s="357"/>
      <c r="E75" s="300" t="s">
        <v>71</v>
      </c>
      <c r="F75" s="312">
        <f>F72*F71*F74/100</f>
        <v>89086.27</v>
      </c>
      <c r="G75" s="312">
        <f>G72*G71*G74/100</f>
        <v>53761.59</v>
      </c>
      <c r="H75" s="312">
        <f>H72*H71*H74/100</f>
        <v>1246.57</v>
      </c>
      <c r="I75" s="304">
        <f>I72*I71*I74/100</f>
        <v>148544.76</v>
      </c>
      <c r="J75" s="304">
        <f>SUM(F75:I75)</f>
        <v>292639.19</v>
      </c>
    </row>
    <row r="76" spans="2:11" s="4" customFormat="1" x14ac:dyDescent="0.2">
      <c r="B76" s="12" t="s">
        <v>72</v>
      </c>
      <c r="C76" s="221">
        <f>J73</f>
        <v>1169</v>
      </c>
      <c r="D76" s="199"/>
      <c r="E76" s="300" t="s">
        <v>73</v>
      </c>
      <c r="F76" s="256">
        <f>'Input_Q7-Predict'!$C46</f>
        <v>1</v>
      </c>
      <c r="G76" s="256">
        <f>'Input_Q7-Predict'!$C47</f>
        <v>0</v>
      </c>
      <c r="H76" s="256">
        <f>'Input_Q7-Predict'!$C48</f>
        <v>-1</v>
      </c>
      <c r="I76" s="256">
        <f>'Input_Q7-Predict'!$C49</f>
        <v>0</v>
      </c>
      <c r="J76" s="301" t="s">
        <v>66</v>
      </c>
    </row>
    <row r="77" spans="2:11" s="4" customFormat="1" x14ac:dyDescent="0.2">
      <c r="B77" s="14" t="s">
        <v>74</v>
      </c>
      <c r="C77" s="319">
        <f>C75-C76</f>
        <v>431</v>
      </c>
      <c r="D77" s="199"/>
      <c r="E77" s="305" t="s">
        <v>75</v>
      </c>
      <c r="F77" s="306">
        <f>INDEX(Data_EmployeeNumber!$A$4:$E$16,MATCH('Q7-Predict'!$B$8-1,Data_EmployeeNumber!$A$4:$A$16,0),MATCH('Q7-Predict'!F70,Data_EmployeeNumber!$A$4:$E$4,0))+'Q7-Predict'!F76</f>
        <v>3</v>
      </c>
      <c r="G77" s="306">
        <f>INDEX(Data_EmployeeNumber!$A$4:$E$16,MATCH('Q7-Predict'!$B$8-1,Data_EmployeeNumber!$A$4:$A$16,0),MATCH('Q7-Predict'!G70,Data_EmployeeNumber!$A$4:$E$4,0))+'Q7-Predict'!G76</f>
        <v>3</v>
      </c>
      <c r="H77" s="306">
        <f>INDEX(Data_EmployeeNumber!$A$4:$E$16,MATCH('Q7-Predict'!$B$8-1,Data_EmployeeNumber!$A$4:$A$16,0),MATCH('Q7-Predict'!H70,Data_EmployeeNumber!$A$4:$E$4,0))+'Q7-Predict'!H76</f>
        <v>1</v>
      </c>
      <c r="I77" s="306">
        <f>INDEX(Data_EmployeeNumber!$A$4:$E$16,MATCH('Q7-Predict'!$B$8-1,Data_EmployeeNumber!$A$4:$A$16,0),MATCH('Q7-Predict'!I70,Data_EmployeeNumber!$A$4:$E$4,0))+'Q7-Predict'!I76</f>
        <v>4</v>
      </c>
      <c r="J77" s="307">
        <f>SUM(F77:I77)</f>
        <v>11</v>
      </c>
    </row>
    <row r="78" spans="2:11" s="4" customFormat="1" x14ac:dyDescent="0.2">
      <c r="E78" s="300" t="s">
        <v>76</v>
      </c>
      <c r="F78" s="296">
        <v>941</v>
      </c>
      <c r="G78" s="296">
        <v>638</v>
      </c>
      <c r="H78" s="296">
        <v>706</v>
      </c>
      <c r="I78" s="301">
        <v>1075</v>
      </c>
      <c r="J78" s="301"/>
    </row>
    <row r="79" spans="2:11" s="4" customFormat="1" x14ac:dyDescent="0.2">
      <c r="E79" s="305" t="s">
        <v>78</v>
      </c>
      <c r="F79" s="308">
        <f>F73/F78</f>
        <v>0.37300743889479276</v>
      </c>
      <c r="G79" s="308">
        <f>G73/G78</f>
        <v>0.31191222570532917</v>
      </c>
      <c r="H79" s="308">
        <f>H73/H78</f>
        <v>4.8158640226628892E-2</v>
      </c>
      <c r="I79" s="317">
        <f>I73/I78</f>
        <v>0.54418604651162794</v>
      </c>
      <c r="J79" s="309"/>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I98</f>
        <v>304200</v>
      </c>
      <c r="D92" s="214"/>
      <c r="E92" s="71" t="s">
        <v>82</v>
      </c>
      <c r="F92" s="329">
        <f>'Input_Q7-Predict'!C50</f>
        <v>5200</v>
      </c>
      <c r="H92" s="71" t="s">
        <v>82</v>
      </c>
      <c r="I92" s="72" t="s">
        <v>83</v>
      </c>
      <c r="J92" s="72" t="s">
        <v>84</v>
      </c>
      <c r="K92" s="72" t="s">
        <v>85</v>
      </c>
      <c r="L92" s="73" t="s">
        <v>86</v>
      </c>
    </row>
    <row r="93" spans="1:12" s="4" customFormat="1" x14ac:dyDescent="0.2">
      <c r="B93" s="12" t="s">
        <v>87</v>
      </c>
      <c r="C93" s="217">
        <f>K103</f>
        <v>70000</v>
      </c>
      <c r="D93" s="214"/>
      <c r="H93" s="12" t="s">
        <v>88</v>
      </c>
      <c r="I93" s="214">
        <f>$F$92*K93</f>
        <v>26000</v>
      </c>
      <c r="J93" s="4">
        <v>1</v>
      </c>
      <c r="K93" s="4">
        <v>5</v>
      </c>
      <c r="L93" s="13">
        <f>J93*K93</f>
        <v>5</v>
      </c>
    </row>
    <row r="94" spans="1:12" s="4" customFormat="1" x14ac:dyDescent="0.2">
      <c r="B94" s="12" t="s">
        <v>89</v>
      </c>
      <c r="C94" s="217">
        <f>K104</f>
        <v>10000</v>
      </c>
      <c r="D94" s="321"/>
      <c r="E94" s="71" t="s">
        <v>90</v>
      </c>
      <c r="F94" s="73"/>
      <c r="H94" s="12" t="s">
        <v>91</v>
      </c>
      <c r="I94" s="214">
        <f>$F$92*K94</f>
        <v>5200</v>
      </c>
      <c r="J94" s="4">
        <v>35</v>
      </c>
      <c r="K94" s="4">
        <v>1</v>
      </c>
      <c r="L94" s="13">
        <f>J94*K94</f>
        <v>35</v>
      </c>
    </row>
    <row r="95" spans="1:12" s="4" customFormat="1" x14ac:dyDescent="0.2">
      <c r="B95" s="12" t="s">
        <v>92</v>
      </c>
      <c r="C95" s="217">
        <f>K105</f>
        <v>47000</v>
      </c>
      <c r="E95" s="12" t="s">
        <v>93</v>
      </c>
      <c r="F95" s="327">
        <v>10000</v>
      </c>
      <c r="H95" s="12" t="s">
        <v>94</v>
      </c>
      <c r="I95" s="214">
        <f>$F$92*K95</f>
        <v>13000</v>
      </c>
      <c r="J95" s="4">
        <v>3</v>
      </c>
      <c r="K95" s="4">
        <v>2.5</v>
      </c>
      <c r="L95" s="13">
        <f>J95*K95</f>
        <v>7.5</v>
      </c>
    </row>
    <row r="96" spans="1:12" s="4" customFormat="1" x14ac:dyDescent="0.2">
      <c r="B96" s="71"/>
      <c r="C96" s="324">
        <f>SUM(C92:C95)</f>
        <v>431200</v>
      </c>
      <c r="E96" s="12" t="s">
        <v>95</v>
      </c>
      <c r="F96" s="194">
        <f>'Input_Q7-Predict'!C51</f>
        <v>7</v>
      </c>
      <c r="H96" s="12" t="s">
        <v>96</v>
      </c>
      <c r="I96" s="214">
        <f>$F$92*K96</f>
        <v>5200</v>
      </c>
      <c r="J96" s="4">
        <f>J77</f>
        <v>11</v>
      </c>
      <c r="K96" s="4">
        <v>1</v>
      </c>
      <c r="L96" s="13">
        <f>J96*K96</f>
        <v>11</v>
      </c>
    </row>
    <row r="97" spans="1:12" s="4" customFormat="1" x14ac:dyDescent="0.2">
      <c r="E97" s="12" t="s">
        <v>97</v>
      </c>
      <c r="F97" s="217">
        <v>2000</v>
      </c>
      <c r="H97" s="12" t="s">
        <v>64</v>
      </c>
      <c r="I97" s="4" t="s">
        <v>66</v>
      </c>
      <c r="J97" s="4">
        <f>SUM(J93:J96)</f>
        <v>50</v>
      </c>
      <c r="K97" s="4" t="s">
        <v>66</v>
      </c>
      <c r="L97" s="13">
        <f>SUM(L93:L96)</f>
        <v>58.5</v>
      </c>
    </row>
    <row r="98" spans="1:12" s="4" customFormat="1" x14ac:dyDescent="0.2">
      <c r="B98" s="71" t="s">
        <v>98</v>
      </c>
      <c r="C98" s="73" t="s">
        <v>406</v>
      </c>
      <c r="E98" s="14" t="s">
        <v>95</v>
      </c>
      <c r="F98" s="76">
        <f>'Input_Q7-Predict'!C52</f>
        <v>5</v>
      </c>
      <c r="H98" s="14" t="s">
        <v>99</v>
      </c>
      <c r="I98" s="322">
        <f>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F92</f>
        <v>5200</v>
      </c>
      <c r="J102" s="4">
        <f>L97</f>
        <v>58.5</v>
      </c>
      <c r="K102" s="217">
        <f>I102*J102</f>
        <v>304200</v>
      </c>
    </row>
    <row r="103" spans="1:12" s="4" customFormat="1" x14ac:dyDescent="0.2">
      <c r="E103" s="12" t="s">
        <v>106</v>
      </c>
      <c r="F103" s="217">
        <v>175</v>
      </c>
      <c r="H103" s="12" t="s">
        <v>93</v>
      </c>
      <c r="I103" s="214">
        <f>F95</f>
        <v>10000</v>
      </c>
      <c r="J103" s="4">
        <f>F96</f>
        <v>7</v>
      </c>
      <c r="K103" s="217">
        <f>F95*J103</f>
        <v>70000</v>
      </c>
    </row>
    <row r="104" spans="1:12" s="4" customFormat="1" ht="17" customHeight="1" x14ac:dyDescent="0.2">
      <c r="E104" s="12" t="s">
        <v>107</v>
      </c>
      <c r="F104" s="217">
        <v>400</v>
      </c>
      <c r="H104" s="12" t="s">
        <v>97</v>
      </c>
      <c r="I104" s="214">
        <f>F97</f>
        <v>2000</v>
      </c>
      <c r="J104" s="4">
        <f>F98</f>
        <v>5</v>
      </c>
      <c r="K104" s="217">
        <f>F97*J104</f>
        <v>10000</v>
      </c>
    </row>
    <row r="105" spans="1:12" s="4" customFormat="1" x14ac:dyDescent="0.2">
      <c r="E105" s="12" t="s">
        <v>108</v>
      </c>
      <c r="F105" s="217">
        <v>280</v>
      </c>
      <c r="H105" s="12" t="s">
        <v>109</v>
      </c>
      <c r="I105" s="214">
        <f>F102+F106+F107+F108</f>
        <v>940</v>
      </c>
      <c r="J105" s="4">
        <f>J97</f>
        <v>50</v>
      </c>
      <c r="K105" s="217">
        <f>I105*J105</f>
        <v>47000</v>
      </c>
    </row>
    <row r="106" spans="1:12" s="4" customFormat="1" x14ac:dyDescent="0.2">
      <c r="E106" s="325" t="s">
        <v>110</v>
      </c>
      <c r="F106" s="217">
        <v>350</v>
      </c>
      <c r="H106" s="14"/>
      <c r="I106" s="15"/>
      <c r="J106" s="15"/>
      <c r="K106" s="278">
        <f>SUM(K102:K105)</f>
        <v>431200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199" t="s">
        <v>114</v>
      </c>
      <c r="C113" s="199">
        <f>200000</f>
        <v>200000</v>
      </c>
    </row>
    <row r="114" spans="1:22" s="4" customFormat="1" x14ac:dyDescent="0.2">
      <c r="B114" s="199" t="s">
        <v>115</v>
      </c>
      <c r="C114" s="199">
        <f>2*0.019</f>
        <v>3.7999999999999999E-2</v>
      </c>
    </row>
    <row r="115" spans="1:22" s="4" customFormat="1" x14ac:dyDescent="0.2">
      <c r="B115" s="199" t="s">
        <v>116</v>
      </c>
      <c r="C115" s="199">
        <f>C113*C114</f>
        <v>7600</v>
      </c>
    </row>
    <row r="116" spans="1:22" s="4" customFormat="1" x14ac:dyDescent="0.2">
      <c r="B116" s="4" t="s">
        <v>117</v>
      </c>
      <c r="C116" s="69">
        <f>'Input_Q7-Predict'!C53</f>
        <v>80000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407</v>
      </c>
    </row>
    <row r="121" spans="1:22" s="4" customFormat="1" x14ac:dyDescent="0.2"/>
    <row r="122" spans="1:22" s="4" customFormat="1" x14ac:dyDescent="0.2">
      <c r="B122" s="4" t="s">
        <v>119</v>
      </c>
    </row>
    <row r="123" spans="1:22" s="4" customFormat="1" x14ac:dyDescent="0.2">
      <c r="B123" s="9" t="s">
        <v>60</v>
      </c>
      <c r="C123" s="334">
        <f>IFERROR(VLOOKUP(B123,$B$14:$C$121,2,FALSE),0)</f>
        <v>3289431</v>
      </c>
      <c r="D123" s="286"/>
      <c r="E123" s="286"/>
    </row>
    <row r="124" spans="1:22" s="4" customFormat="1" x14ac:dyDescent="0.2">
      <c r="B124" s="275" t="s">
        <v>120</v>
      </c>
      <c r="C124" s="366">
        <f>IF(B9="Validation",E124,(C74+0.125)*C123+J73*M23)</f>
        <v>1277084.145</v>
      </c>
      <c r="D124" s="302" t="s">
        <v>121</v>
      </c>
      <c r="E124" s="268">
        <f>1444533.05</f>
        <v>1444533.05</v>
      </c>
      <c r="F124" s="9" t="s">
        <v>400</v>
      </c>
      <c r="G124" s="9" t="s">
        <v>122</v>
      </c>
      <c r="H124" s="331"/>
      <c r="I124" s="10">
        <f>H124/$H$128</f>
        <v>0</v>
      </c>
      <c r="J124" s="11"/>
    </row>
    <row r="125" spans="1:22" s="4" customFormat="1" x14ac:dyDescent="0.2">
      <c r="B125" s="12" t="s">
        <v>123</v>
      </c>
      <c r="C125" s="336">
        <f>C123-C124</f>
        <v>2012346.855</v>
      </c>
      <c r="F125" s="12"/>
      <c r="G125" s="12" t="s">
        <v>124</v>
      </c>
      <c r="H125" s="279">
        <f>SUMIF(D127:D139,"FC",C127:C139)</f>
        <v>1774173.7075999998</v>
      </c>
      <c r="I125" s="4">
        <f>H125/$H$128</f>
        <v>1517.6849508982034</v>
      </c>
      <c r="J125" s="13"/>
    </row>
    <row r="126" spans="1:22" s="4" customFormat="1" x14ac:dyDescent="0.2">
      <c r="B126" s="12" t="s">
        <v>125</v>
      </c>
      <c r="C126" s="336"/>
      <c r="F126" s="12"/>
      <c r="G126" s="12" t="s">
        <v>120</v>
      </c>
      <c r="H126" s="279">
        <f>C124</f>
        <v>1277084.145</v>
      </c>
      <c r="I126" s="4">
        <f>H126/$H$128</f>
        <v>1092.458635585971</v>
      </c>
      <c r="J126" s="13"/>
    </row>
    <row r="127" spans="1:22" s="4" customFormat="1" x14ac:dyDescent="0.2">
      <c r="B127" s="12" t="s">
        <v>27</v>
      </c>
      <c r="C127" s="336">
        <f>IF(B10="Overtime",560000,280000)</f>
        <v>560000</v>
      </c>
      <c r="D127" s="4" t="s">
        <v>124</v>
      </c>
      <c r="F127" s="12"/>
      <c r="G127" s="12" t="s">
        <v>127</v>
      </c>
      <c r="H127" s="279">
        <f>SUM(H124:H126)</f>
        <v>3051257.8525999999</v>
      </c>
      <c r="J127" s="13"/>
    </row>
    <row r="128" spans="1:22" s="4" customFormat="1" x14ac:dyDescent="0.2">
      <c r="B128" s="12" t="s">
        <v>81</v>
      </c>
      <c r="C128" s="336">
        <f>IF(B10="Overtime",VALUE(IFERROR(VLOOKUP(B128,$B$14:$C$121,2,FALSE),0))*2,VALUE(IFERROR(VLOOKUP(B128,$B$14:$C$121,2,FALSE),0)))</f>
        <v>608400</v>
      </c>
      <c r="D128" s="4" t="s">
        <v>124</v>
      </c>
      <c r="F128" s="12"/>
      <c r="G128" s="12" t="s">
        <v>128</v>
      </c>
      <c r="H128" s="302">
        <f>C76</f>
        <v>1169</v>
      </c>
      <c r="J128" s="13"/>
    </row>
    <row r="129" spans="2:10" s="4" customFormat="1" x14ac:dyDescent="0.2">
      <c r="B129" s="12" t="s">
        <v>87</v>
      </c>
      <c r="C129" s="336">
        <f t="shared" ref="C129:C136" si="1">IFERROR(VLOOKUP(B129,$B$14:$C$121,2,FALSE),0)</f>
        <v>70000</v>
      </c>
      <c r="D129" s="4" t="s">
        <v>124</v>
      </c>
      <c r="F129" s="12"/>
      <c r="G129" s="12" t="s">
        <v>129</v>
      </c>
      <c r="H129" s="339">
        <f>H127/H128</f>
        <v>2610.1435864841742</v>
      </c>
      <c r="J129" s="13"/>
    </row>
    <row r="130" spans="2:10" s="4" customFormat="1" x14ac:dyDescent="0.2">
      <c r="B130" s="12" t="s">
        <v>92</v>
      </c>
      <c r="C130" s="336">
        <f t="shared" si="1"/>
        <v>47000</v>
      </c>
      <c r="D130" s="4" t="s">
        <v>122</v>
      </c>
      <c r="F130" s="12"/>
      <c r="G130" s="12"/>
      <c r="J130" s="13"/>
    </row>
    <row r="131" spans="2:10" s="4" customFormat="1" x14ac:dyDescent="0.2">
      <c r="B131" s="12" t="s">
        <v>89</v>
      </c>
      <c r="C131" s="336">
        <f t="shared" si="1"/>
        <v>10000</v>
      </c>
      <c r="D131" s="4" t="s">
        <v>124</v>
      </c>
      <c r="F131" s="12"/>
      <c r="G131" s="12" t="s">
        <v>130</v>
      </c>
      <c r="H131" s="286">
        <v>0.1</v>
      </c>
      <c r="I131" s="286">
        <v>0.2</v>
      </c>
      <c r="J131" s="332">
        <v>0.3</v>
      </c>
    </row>
    <row r="132" spans="2:10" s="4" customFormat="1" x14ac:dyDescent="0.2">
      <c r="B132" s="12" t="s">
        <v>131</v>
      </c>
      <c r="C132" s="336">
        <f t="shared" si="1"/>
        <v>0</v>
      </c>
      <c r="F132" s="340"/>
      <c r="G132" s="14" t="s">
        <v>132</v>
      </c>
      <c r="H132" s="333">
        <f>$H$129*(1+H131)</f>
        <v>2871.157945132592</v>
      </c>
      <c r="I132" s="333">
        <f>$H$129*(1+I131)</f>
        <v>3132.1723037810088</v>
      </c>
      <c r="J132" s="341">
        <f>$H$129*(1+J131)</f>
        <v>3393.1866624294266</v>
      </c>
    </row>
    <row r="133" spans="2:10" s="4" customFormat="1" x14ac:dyDescent="0.2">
      <c r="B133" s="12" t="s">
        <v>11</v>
      </c>
      <c r="C133" s="336">
        <f t="shared" si="1"/>
        <v>135000</v>
      </c>
      <c r="D133" s="4" t="s">
        <v>124</v>
      </c>
      <c r="F133" s="12"/>
      <c r="G133" s="4" t="s">
        <v>133</v>
      </c>
      <c r="H133" s="302">
        <f>H132-$H$129</f>
        <v>261.01435864841778</v>
      </c>
      <c r="I133" s="302">
        <f>I132-$H$129</f>
        <v>522.02871729683466</v>
      </c>
      <c r="J133" s="318">
        <f>J132-$H$129</f>
        <v>783.04307594525244</v>
      </c>
    </row>
    <row r="134" spans="2:10" s="4" customFormat="1" x14ac:dyDescent="0.2">
      <c r="B134" s="12" t="s">
        <v>61</v>
      </c>
      <c r="C134" s="336">
        <f t="shared" si="1"/>
        <v>292639.19</v>
      </c>
      <c r="D134" s="4" t="s">
        <v>124</v>
      </c>
      <c r="F134" s="12" t="s">
        <v>401</v>
      </c>
      <c r="G134" s="4" t="s">
        <v>134</v>
      </c>
      <c r="H134" s="355">
        <f>H133/H132</f>
        <v>9.0909090909091023E-2</v>
      </c>
      <c r="I134" s="355">
        <f>I133/I132</f>
        <v>0.16666666666666663</v>
      </c>
      <c r="J134" s="326">
        <f>J133/J132</f>
        <v>0.23076923076923081</v>
      </c>
    </row>
    <row r="135" spans="2:10" s="4" customFormat="1" x14ac:dyDescent="0.2">
      <c r="B135" s="12" t="s">
        <v>23</v>
      </c>
      <c r="C135" s="336">
        <f>IFERROR(VLOOKUP(B135,$B$14:$C$121,2,FALSE),0)</f>
        <v>18134.517600000006</v>
      </c>
      <c r="D135" s="4" t="s">
        <v>124</v>
      </c>
      <c r="F135" s="12" t="s">
        <v>402</v>
      </c>
      <c r="G135" s="4" t="s">
        <v>135</v>
      </c>
      <c r="H135" s="279">
        <f>$H$125/H134</f>
        <v>19515910.783599973</v>
      </c>
      <c r="I135" s="279">
        <f>$H$125/I134</f>
        <v>10645042.245600002</v>
      </c>
      <c r="J135" s="281">
        <f>$H$125/J134</f>
        <v>7688086.0662666643</v>
      </c>
    </row>
    <row r="136" spans="2:10" s="4" customFormat="1" x14ac:dyDescent="0.2">
      <c r="B136" s="12" t="s">
        <v>117</v>
      </c>
      <c r="C136" s="336">
        <f t="shared" si="1"/>
        <v>80000</v>
      </c>
      <c r="D136" s="4" t="s">
        <v>124</v>
      </c>
      <c r="F136" s="14"/>
      <c r="G136" s="15" t="s">
        <v>136</v>
      </c>
      <c r="H136" s="15">
        <f>H135/H132</f>
        <v>6797.2264697889041</v>
      </c>
      <c r="I136" s="15">
        <f>I135/I132</f>
        <v>3398.6132348944579</v>
      </c>
      <c r="J136" s="16">
        <f>J135/J132</f>
        <v>2265.7421565963041</v>
      </c>
    </row>
    <row r="137" spans="2:10" s="4" customFormat="1" x14ac:dyDescent="0.2">
      <c r="B137" s="275" t="s">
        <v>137</v>
      </c>
      <c r="C137" s="335" cm="1">
        <f t="array" ref="C137">IF(B9="Validation",E137,SUMPRODUCT(F80:I80*F73:I73))</f>
        <v>48654.93</v>
      </c>
      <c r="D137" s="380" t="s">
        <v>408</v>
      </c>
      <c r="E137" s="4">
        <v>61890</v>
      </c>
    </row>
    <row r="138" spans="2:10" s="4" customFormat="1" x14ac:dyDescent="0.2">
      <c r="B138" s="12" t="s">
        <v>139</v>
      </c>
      <c r="C138" s="336">
        <f>IFERROR(VLOOKUP(B138,$B$14:$C$121,2,FALSE),0)</f>
        <v>0</v>
      </c>
    </row>
    <row r="139" spans="2:10" s="4" customFormat="1" x14ac:dyDescent="0.2">
      <c r="B139" s="365" t="s">
        <v>140</v>
      </c>
      <c r="C139" s="366">
        <f>'Input_Q7-Predict'!C18</f>
        <v>0</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SUM(C127:C141)</f>
        <v>1869828.6375999998</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C125-C142</f>
        <v>142518.2174000002</v>
      </c>
    </row>
    <row r="148" spans="2:5" s="4" customFormat="1" x14ac:dyDescent="0.2">
      <c r="B148" s="12" t="s">
        <v>147</v>
      </c>
      <c r="C148" s="13">
        <f>IF(C147&gt;0,C147*0.15,0)</f>
        <v>21377.732610000028</v>
      </c>
    </row>
    <row r="149" spans="2:5" s="4" customFormat="1" x14ac:dyDescent="0.2">
      <c r="B149" s="12" t="s">
        <v>148</v>
      </c>
      <c r="C149" s="336">
        <f>C147-C148</f>
        <v>121140.48479000016</v>
      </c>
    </row>
    <row r="150" spans="2:5" s="4" customFormat="1" x14ac:dyDescent="0.2">
      <c r="B150" s="12" t="s">
        <v>119</v>
      </c>
      <c r="C150" s="13"/>
    </row>
    <row r="151" spans="2:5" s="4" customFormat="1" x14ac:dyDescent="0.2">
      <c r="B151" s="12" t="s">
        <v>149</v>
      </c>
      <c r="C151" s="368">
        <f>INDEX(Data_IncomeStatement!A1:M33,MATCH("PROFIT AND LOSS STATEMENT RESULTS",Data_IncomeStatement!A1:A33,0),MATCH(VALUE(B8-1),Data_IncomeStatement!A1:M1,0))</f>
        <v>-591564.37066000002</v>
      </c>
    </row>
    <row r="152" spans="2:5" s="4" customFormat="1" x14ac:dyDescent="0.2">
      <c r="B152" s="12" t="s">
        <v>148</v>
      </c>
      <c r="C152" s="336">
        <f>C149+C151</f>
        <v>-470423.88586999988</v>
      </c>
    </row>
    <row r="153" spans="2:5" s="4" customFormat="1" x14ac:dyDescent="0.2">
      <c r="B153" s="12" t="s">
        <v>150</v>
      </c>
      <c r="C153" s="13">
        <v>0</v>
      </c>
    </row>
    <row r="154" spans="2:5" s="4" customFormat="1" x14ac:dyDescent="0.2">
      <c r="B154" s="14" t="s">
        <v>151</v>
      </c>
      <c r="C154" s="337">
        <f>C152+C153</f>
        <v>-470423.88586999988</v>
      </c>
    </row>
    <row r="155" spans="2:5" s="4" customFormat="1" x14ac:dyDescent="0.2"/>
    <row r="156" spans="2:5" s="4" customFormat="1" x14ac:dyDescent="0.2">
      <c r="C156" s="330"/>
      <c r="D156" s="214"/>
      <c r="E156" s="279"/>
    </row>
    <row r="157" spans="2:5" s="4" customFormat="1" x14ac:dyDescent="0.2"/>
    <row r="158" spans="2:5" s="4" customFormat="1" x14ac:dyDescent="0.2"/>
    <row r="159" spans="2:5" s="4" customFormat="1" x14ac:dyDescent="0.2"/>
    <row r="160" spans="2:5" s="4" customFormat="1" x14ac:dyDescent="0.2"/>
    <row r="161" s="4" customFormat="1" x14ac:dyDescent="0.2"/>
    <row r="162" s="4" customFormat="1" x14ac:dyDescent="0.2"/>
    <row r="163" s="4" customFormat="1" x14ac:dyDescent="0.2"/>
    <row r="164" s="4" customFormat="1" x14ac:dyDescent="0.2"/>
    <row r="165" s="4" customFormat="1" x14ac:dyDescent="0.2"/>
    <row r="166" s="4" customFormat="1" x14ac:dyDescent="0.2"/>
    <row r="167" s="4" customFormat="1" x14ac:dyDescent="0.2"/>
    <row r="168" s="4" customFormat="1" x14ac:dyDescent="0.2"/>
    <row r="169" s="4" customFormat="1" x14ac:dyDescent="0.2"/>
    <row r="170" s="4" customFormat="1" x14ac:dyDescent="0.2"/>
    <row r="171" s="4" customFormat="1" x14ac:dyDescent="0.2"/>
    <row r="172" s="4" customFormat="1" x14ac:dyDescent="0.2"/>
    <row r="173" s="4" customFormat="1" x14ac:dyDescent="0.2"/>
    <row r="174"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r:uid="{E00E00F2-A64B-6040-BF98-BD62D7D820ED}">
          <x14:formula1>
            <xm:f>Reference!$B$1:$B$4</xm:f>
          </x14:formula1>
          <xm:sqref>W21 W28 K20</xm:sqref>
        </x14:dataValidation>
        <x14:dataValidation type="list" allowBlank="1" showInputMessage="1" showErrorMessage="1" xr:uid="{BCEC843A-A15A-A047-9C34-2917B34F7356}">
          <x14:formula1>
            <xm:f>Reference!$D$1:$D$4</xm:f>
          </x14:formula1>
          <xm:sqref>W23 W30 K22</xm:sqref>
        </x14:dataValidation>
        <x14:dataValidation type="list" allowBlank="1" showInputMessage="1" showErrorMessage="1" xr:uid="{D9197990-0CB3-0F4B-B34A-E7CCAA05982C}">
          <x14:formula1>
            <xm:f>Reference!$A$1:$A$3</xm:f>
          </x14:formula1>
          <xm:sqref>W20 W27 K19</xm:sqref>
        </x14:dataValidation>
        <x14:dataValidation type="list" allowBlank="1" showInputMessage="1" showErrorMessage="1" xr:uid="{D3020D19-D7A4-8244-AD67-599F1C8CC9BC}">
          <x14:formula1>
            <xm:f>Reference!$C$1:$C$5</xm:f>
          </x14:formula1>
          <xm:sqref>W22 W29 K21</xm:sqref>
        </x14:dataValidation>
        <x14:dataValidation type="list" allowBlank="1" showInputMessage="1" showErrorMessage="1" xr:uid="{F9170A0C-A4FD-CE46-A125-1602987F507D}">
          <x14:formula1>
            <xm:f>Reference!$A$6:$A$8</xm:f>
          </x14:formula1>
          <xm:sqref>B9</xm:sqref>
        </x14:dataValidation>
        <x14:dataValidation type="list" allowBlank="1" showInputMessage="1" showErrorMessage="1" xr:uid="{008D2A5B-FEB6-9D4A-ADBA-3424ABCE5F11}">
          <x14:formula1>
            <xm:f>Reference!$A$10:$A$12</xm:f>
          </x14:formula1>
          <xm:sqref>D124</xm:sqref>
        </x14:dataValidation>
        <x14:dataValidation type="list" allowBlank="1" showInputMessage="1" showErrorMessage="1" xr:uid="{310EED05-C52E-8C4F-929E-228A0AC50EC4}">
          <x14:formula1>
            <xm:f>Reference!$A$14:$A$26</xm:f>
          </x14:formula1>
          <xm:sqref>B8</xm:sqref>
        </x14:dataValidation>
        <x14:dataValidation type="list" allowBlank="1" showInputMessage="1" showErrorMessage="1" xr:uid="{70122441-5D22-4A48-AB0B-677BBC841FC5}">
          <x14:formula1>
            <xm:f>Reference!$A$31:$A$32</xm:f>
          </x14:formula1>
          <xm:sqref>B10</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D6AC1-0C18-D049-87F2-D4A05E4B98D6}">
  <sheetPr>
    <tabColor theme="2" tint="-9.9978637043366805E-2"/>
  </sheetPr>
  <dimension ref="A1:V174"/>
  <sheetViews>
    <sheetView topLeftCell="A11" zoomScale="117" zoomScaleNormal="120" workbookViewId="0">
      <selection activeCell="C33" sqref="C33"/>
    </sheetView>
  </sheetViews>
  <sheetFormatPr baseColWidth="10" defaultColWidth="11" defaultRowHeight="16" x14ac:dyDescent="0.2"/>
  <cols>
    <col min="1" max="1" width="5.6640625" style="4" customWidth="1"/>
    <col min="2" max="2" width="33.33203125" bestFit="1" customWidth="1"/>
    <col min="3" max="3" width="14" bestFit="1" customWidth="1"/>
    <col min="4" max="4" width="15.1640625"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4"/>
      <c r="C2" s="4"/>
      <c r="D2" s="4"/>
      <c r="E2" s="4"/>
      <c r="F2" s="4"/>
      <c r="G2" s="4"/>
      <c r="H2" s="4"/>
      <c r="I2" s="4"/>
      <c r="J2" s="4"/>
      <c r="K2" s="4"/>
      <c r="L2" s="4"/>
      <c r="M2" s="4"/>
      <c r="N2" s="4"/>
      <c r="O2" s="4"/>
      <c r="P2" s="4"/>
      <c r="Q2" s="4"/>
      <c r="R2" s="4"/>
      <c r="S2" s="4"/>
      <c r="T2" s="4"/>
      <c r="U2" s="4"/>
      <c r="V2" s="4"/>
    </row>
    <row r="3" spans="1:22" x14ac:dyDescent="0.2">
      <c r="B3" s="4"/>
      <c r="C3" s="4"/>
      <c r="D3" s="4"/>
      <c r="E3" s="4"/>
      <c r="F3" s="4"/>
      <c r="G3" s="4"/>
      <c r="H3" s="4"/>
      <c r="I3" s="4"/>
      <c r="J3" s="4"/>
      <c r="K3" s="4"/>
      <c r="L3" s="4"/>
      <c r="M3" s="4"/>
      <c r="N3" s="4"/>
      <c r="O3" s="4"/>
      <c r="P3" s="4"/>
      <c r="Q3" s="4"/>
      <c r="R3" s="4"/>
      <c r="S3" s="4"/>
      <c r="T3" s="4"/>
      <c r="U3" s="4"/>
      <c r="V3" s="4"/>
    </row>
    <row r="4" spans="1:22" s="4" customFormat="1" x14ac:dyDescent="0.2"/>
    <row r="5" spans="1:22" s="4" customFormat="1" x14ac:dyDescent="0.2"/>
    <row r="6" spans="1:22" s="4" customFormat="1" x14ac:dyDescent="0.2"/>
    <row r="7" spans="1:22" s="4" customFormat="1" x14ac:dyDescent="0.2"/>
    <row r="8" spans="1:22" s="4" customFormat="1" x14ac:dyDescent="0.2">
      <c r="B8" s="178">
        <v>6</v>
      </c>
    </row>
    <row r="9" spans="1:22" s="4" customFormat="1" x14ac:dyDescent="0.2">
      <c r="B9" s="410" t="s">
        <v>2</v>
      </c>
    </row>
    <row r="10" spans="1:22" x14ac:dyDescent="0.2">
      <c r="B10" s="4"/>
      <c r="C10" s="4"/>
      <c r="F10" s="4"/>
      <c r="G10" s="4"/>
      <c r="H10" s="4"/>
      <c r="I10" s="4"/>
      <c r="J10" s="4"/>
      <c r="K10" s="4"/>
      <c r="L10" s="4"/>
      <c r="M10" s="4"/>
      <c r="N10" s="4"/>
      <c r="O10" s="4"/>
      <c r="P10" s="4"/>
      <c r="Q10" s="4"/>
      <c r="R10" s="4"/>
      <c r="S10" s="4"/>
      <c r="T10" s="4"/>
      <c r="U10" s="4"/>
      <c r="V10" s="4"/>
    </row>
    <row r="11" spans="1:22" x14ac:dyDescent="0.2">
      <c r="B11" s="4"/>
      <c r="C11" s="4"/>
      <c r="D11" s="4"/>
      <c r="E11" s="4"/>
      <c r="F11" s="4"/>
      <c r="G11" s="4"/>
      <c r="H11" s="4"/>
      <c r="I11" s="4"/>
      <c r="J11" s="4"/>
      <c r="K11" s="4"/>
      <c r="L11" s="4"/>
      <c r="M11" s="4"/>
      <c r="N11" s="4"/>
      <c r="O11" s="4"/>
      <c r="P11" s="4"/>
      <c r="Q11" s="4"/>
      <c r="R11" s="4"/>
      <c r="S11" s="4"/>
      <c r="T11" s="4"/>
      <c r="U11" s="4"/>
      <c r="V11" s="4"/>
    </row>
    <row r="12" spans="1:22" x14ac:dyDescent="0.2">
      <c r="B12" s="4"/>
      <c r="C12" s="99" t="s">
        <v>4</v>
      </c>
      <c r="D12" s="69" t="s">
        <v>404</v>
      </c>
      <c r="E12" s="268" t="s">
        <v>6</v>
      </c>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F19*F20</f>
        <v>135000</v>
      </c>
      <c r="E18" s="576" t="s">
        <v>12</v>
      </c>
      <c r="F18" s="577"/>
      <c r="G18" s="578"/>
      <c r="I18" s="71" t="s">
        <v>13</v>
      </c>
      <c r="J18" s="72"/>
      <c r="K18" s="72" t="s">
        <v>14</v>
      </c>
      <c r="L18" s="72" t="s">
        <v>15</v>
      </c>
      <c r="M18" s="72" t="s">
        <v>16</v>
      </c>
      <c r="N18" s="73" t="s">
        <v>17</v>
      </c>
    </row>
    <row r="19" spans="2:22" s="4" customFormat="1" x14ac:dyDescent="0.2">
      <c r="B19" s="12" t="s">
        <v>18</v>
      </c>
      <c r="C19" s="217">
        <f>N23</f>
        <v>857835</v>
      </c>
      <c r="E19" s="284" t="s">
        <v>19</v>
      </c>
      <c r="F19" s="285">
        <v>15000</v>
      </c>
      <c r="G19" s="11" t="s">
        <v>20</v>
      </c>
      <c r="I19" s="12"/>
      <c r="J19" s="4" t="s">
        <v>21</v>
      </c>
      <c r="K19" s="4" t="s">
        <v>22</v>
      </c>
      <c r="L19" s="4">
        <f>VLOOKUP($K$19,$E$24:F59,2,FALSE)</f>
        <v>36</v>
      </c>
      <c r="M19" s="4">
        <f>L19*$F$25</f>
        <v>36</v>
      </c>
      <c r="N19" s="13">
        <f>M19*$F$24</f>
        <v>54000</v>
      </c>
    </row>
    <row r="20" spans="2:22" s="4" customFormat="1" x14ac:dyDescent="0.2">
      <c r="B20" s="12" t="s">
        <v>23</v>
      </c>
      <c r="C20" s="281">
        <f>C34*0.02*M24</f>
        <v>17491.449600000004</v>
      </c>
      <c r="E20" s="68"/>
      <c r="F20" s="76">
        <f>'Input_Q6-Predict'!C38</f>
        <v>9</v>
      </c>
      <c r="G20" s="16"/>
      <c r="I20" s="12" t="s">
        <v>24</v>
      </c>
      <c r="J20" s="19" t="s">
        <v>25</v>
      </c>
      <c r="K20" s="4" t="s">
        <v>26</v>
      </c>
      <c r="L20" s="4">
        <f>VLOOKUP($K$20,$E$25:F60,2,FALSE)</f>
        <v>44.52</v>
      </c>
      <c r="M20" s="4">
        <f>L20*$F$28</f>
        <v>89.04</v>
      </c>
      <c r="N20" s="13">
        <f>M20*$F$24</f>
        <v>133560</v>
      </c>
    </row>
    <row r="21" spans="2:22" s="4" customFormat="1" x14ac:dyDescent="0.2">
      <c r="B21" s="276" t="s">
        <v>27</v>
      </c>
      <c r="C21" s="282">
        <v>280000</v>
      </c>
      <c r="E21" s="12" t="s">
        <v>28</v>
      </c>
      <c r="G21" s="103"/>
      <c r="I21" s="12"/>
      <c r="J21" s="20" t="s">
        <v>29</v>
      </c>
      <c r="K21" s="4" t="s">
        <v>30</v>
      </c>
      <c r="L21" s="4">
        <f>VLOOKUP($K$21,$E$26:F63,2,FALSE)</f>
        <v>187.20000000000002</v>
      </c>
      <c r="M21" s="4">
        <f>L21*$F$38</f>
        <v>374.40000000000003</v>
      </c>
      <c r="N21" s="13">
        <f>M21*$F$24</f>
        <v>561600</v>
      </c>
      <c r="V21" s="19"/>
    </row>
    <row r="22" spans="2:22" s="4" customFormat="1" x14ac:dyDescent="0.2">
      <c r="B22" s="14"/>
      <c r="C22" s="278">
        <f>SUM(C17:C21)</f>
        <v>1290326.4495999999</v>
      </c>
      <c r="E22" s="12" t="s">
        <v>31</v>
      </c>
      <c r="F22" s="214">
        <v>1300000</v>
      </c>
      <c r="G22" s="103"/>
      <c r="I22" s="12"/>
      <c r="J22" s="70" t="s">
        <v>32</v>
      </c>
      <c r="K22" s="4" t="s">
        <v>33</v>
      </c>
      <c r="L22" s="4">
        <f>VLOOKUP($K$22,$E$21:F60,2,FALSE)</f>
        <v>24.150000000000002</v>
      </c>
      <c r="M22" s="4">
        <f>L22*$F$51</f>
        <v>72.45</v>
      </c>
      <c r="N22" s="13">
        <f>M22*$F$24</f>
        <v>108675</v>
      </c>
      <c r="V22" s="20"/>
    </row>
    <row r="23" spans="2:22" s="4" customFormat="1" x14ac:dyDescent="0.2">
      <c r="E23" s="12" t="s">
        <v>34</v>
      </c>
      <c r="F23" s="214">
        <v>1500000</v>
      </c>
      <c r="G23" s="103"/>
      <c r="I23" s="71" t="s">
        <v>35</v>
      </c>
      <c r="J23" s="72"/>
      <c r="K23" s="72"/>
      <c r="L23" s="72"/>
      <c r="M23" s="72">
        <f>SUM(M19:M22)</f>
        <v>571.8900000000001</v>
      </c>
      <c r="N23" s="73">
        <f>SUM(N19:N22)</f>
        <v>857835</v>
      </c>
      <c r="V23" s="70"/>
    </row>
    <row r="24" spans="2:22" s="4" customFormat="1" x14ac:dyDescent="0.2">
      <c r="E24" s="14" t="s">
        <v>18</v>
      </c>
      <c r="F24" s="95">
        <f>'Input_Q6-Predict'!C36</f>
        <v>1500</v>
      </c>
      <c r="G24" s="103" t="s">
        <v>36</v>
      </c>
      <c r="I24" s="14" t="s">
        <v>37</v>
      </c>
      <c r="J24" s="15"/>
      <c r="K24" s="15"/>
      <c r="L24" s="15"/>
      <c r="M24" s="15">
        <f>M23-M19</f>
        <v>535.8900000000001</v>
      </c>
      <c r="N24" s="16">
        <f>M24*F24</f>
        <v>803835.00000000012</v>
      </c>
    </row>
    <row r="25" spans="2:22" s="4" customFormat="1" x14ac:dyDescent="0.2">
      <c r="B25" s="71" t="s">
        <v>38</v>
      </c>
      <c r="C25" s="412">
        <f>IF(B9="Validation",'Q6-Validation'!C30/'Q6-Validation'!C29,'Input_Q6-Predict'!C34)</f>
        <v>0.91145833333333337</v>
      </c>
      <c r="D25" s="4" t="s">
        <v>409</v>
      </c>
      <c r="E25" s="9" t="s">
        <v>21</v>
      </c>
      <c r="F25" s="10">
        <v>1</v>
      </c>
      <c r="G25" s="103" t="s">
        <v>39</v>
      </c>
    </row>
    <row r="26" spans="2:22" s="4" customFormat="1" x14ac:dyDescent="0.2">
      <c r="E26" s="12" t="s">
        <v>40</v>
      </c>
      <c r="F26" s="214">
        <v>20</v>
      </c>
      <c r="G26" s="103"/>
    </row>
    <row r="27" spans="2:22" s="4" customFormat="1" x14ac:dyDescent="0.2">
      <c r="B27" s="9" t="s">
        <v>41</v>
      </c>
      <c r="C27" s="289">
        <f>Archived_Testing_Q5!B17</f>
        <v>819</v>
      </c>
      <c r="E27" s="14" t="s">
        <v>22</v>
      </c>
      <c r="F27" s="283">
        <v>36</v>
      </c>
      <c r="G27" s="98"/>
    </row>
    <row r="28" spans="2:22" s="4" customFormat="1" x14ac:dyDescent="0.2">
      <c r="B28" s="12" t="s">
        <v>42</v>
      </c>
      <c r="C28" s="290">
        <f>INDEX(Data_Stock!B2:N11,MATCH("Left",Data_Stock!B2:B11,0),MATCH(VALUE(B8-1),Data_Stock!B2:N2,0))</f>
        <v>1056</v>
      </c>
      <c r="E28" s="9" t="s">
        <v>25</v>
      </c>
      <c r="F28" s="11">
        <v>2</v>
      </c>
      <c r="G28" s="103" t="s">
        <v>39</v>
      </c>
      <c r="P28" s="214"/>
      <c r="V28" s="19"/>
    </row>
    <row r="29" spans="2:22" s="4" customFormat="1" x14ac:dyDescent="0.2">
      <c r="B29" s="12" t="s">
        <v>43</v>
      </c>
      <c r="C29" s="291">
        <f>'Input_Q6-Predict'!C33</f>
        <v>1013.76</v>
      </c>
      <c r="E29" s="12" t="s">
        <v>44</v>
      </c>
      <c r="F29" s="13">
        <f>(1+F31)*F30</f>
        <v>43.2</v>
      </c>
      <c r="G29" s="103"/>
      <c r="V29" s="20"/>
    </row>
    <row r="30" spans="2:22" s="4" customFormat="1" x14ac:dyDescent="0.2">
      <c r="B30" s="12" t="str">
        <f>IF(B9="Validation","Actual Production","Predict Production")</f>
        <v>Actual Production</v>
      </c>
      <c r="C30" s="292">
        <v>924</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F24</f>
        <v>1500</v>
      </c>
      <c r="E33" s="67" t="s">
        <v>45</v>
      </c>
      <c r="F33" s="13">
        <v>42</v>
      </c>
      <c r="G33" s="103"/>
    </row>
    <row r="34" spans="2:14" s="4" customFormat="1" x14ac:dyDescent="0.2">
      <c r="B34" s="12" t="s">
        <v>49</v>
      </c>
      <c r="C34" s="222">
        <f>IF(B9="Validation",INDEX(Data_Stock!B2:N11,MATCH("Left",Data_Stock!B2:B11,0),MATCH('Q6-Validation'!B8,Data_Stock!B2:N2,0)),C28+F24-C30)</f>
        <v>1632</v>
      </c>
      <c r="E34" s="67" t="s">
        <v>46</v>
      </c>
      <c r="F34" s="13">
        <v>0.06</v>
      </c>
      <c r="G34" s="103"/>
    </row>
    <row r="35" spans="2:14" s="4" customFormat="1" x14ac:dyDescent="0.2">
      <c r="B35" s="14" t="s">
        <v>50</v>
      </c>
      <c r="C35" s="288">
        <f>C34*M24</f>
        <v>874572.48000000021</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SUMPRODUCT(F73:I73,F71:I71)</f>
        <v>2554023</v>
      </c>
      <c r="H68" s="4" t="s">
        <v>410</v>
      </c>
    </row>
    <row r="69" spans="2:11" s="4" customFormat="1" x14ac:dyDescent="0.2">
      <c r="B69" s="12" t="s">
        <v>61</v>
      </c>
      <c r="C69" s="221">
        <f>J75</f>
        <v>190565.01</v>
      </c>
      <c r="E69" s="9" t="str">
        <f>IF(B9="Validation","Actual S.C.R","Predict S.C.R")</f>
        <v>Actual S.C.R</v>
      </c>
      <c r="F69" s="311">
        <f>IF($B$9="Validation",F73/F72,'Input_Q6-Predict'!D29)</f>
        <v>0.92024539877300615</v>
      </c>
      <c r="G69" s="311">
        <f>IF($B$9="Validation",G73/G72,'Input_Q6-Predict'!D30)</f>
        <v>0.92048929663608559</v>
      </c>
      <c r="H69" s="311">
        <f>IF($B$9="Validation",H73/H72,'Input_Q6-Predict'!D31)</f>
        <v>0.46296296296296297</v>
      </c>
      <c r="I69" s="311">
        <f>IF($B$9="Validation",I73/I72,'Input_Q6-Predict'!D32)</f>
        <v>0.91926605504587156</v>
      </c>
      <c r="J69" s="11"/>
    </row>
    <row r="70" spans="2:11" s="4" customFormat="1" x14ac:dyDescent="0.2">
      <c r="B70" s="12" t="s">
        <v>62</v>
      </c>
      <c r="C70" s="318">
        <f>C68*C74</f>
        <v>153241.38</v>
      </c>
      <c r="E70" s="297" t="s">
        <v>63</v>
      </c>
      <c r="F70" s="298">
        <v>1</v>
      </c>
      <c r="G70" s="298">
        <v>2</v>
      </c>
      <c r="H70" s="298">
        <v>3</v>
      </c>
      <c r="I70" s="299">
        <v>4</v>
      </c>
      <c r="J70" s="299" t="s">
        <v>64</v>
      </c>
    </row>
    <row r="71" spans="2:11" s="4" customFormat="1" x14ac:dyDescent="0.2">
      <c r="B71" s="14"/>
      <c r="C71" s="319">
        <f>SUM(C68:C70)</f>
        <v>2897829.3899999997</v>
      </c>
      <c r="E71" s="300" t="s">
        <v>65</v>
      </c>
      <c r="F71" s="358">
        <f>'Input_Q6-Predict'!C10</f>
        <v>2799</v>
      </c>
      <c r="G71" s="358">
        <f>'Input_Q6-Predict'!C11</f>
        <v>2199</v>
      </c>
      <c r="H71" s="358">
        <f>'Input_Q6-Predict'!C12</f>
        <v>2799</v>
      </c>
      <c r="I71" s="358">
        <f>'Input_Q6-Predict'!C13</f>
        <v>2799</v>
      </c>
      <c r="J71" s="301" t="s">
        <v>66</v>
      </c>
      <c r="K71" s="363">
        <f>SUMPRODUCT(F71:I71,F72:I72)</f>
        <v>2851911</v>
      </c>
    </row>
    <row r="72" spans="2:11" s="4" customFormat="1" x14ac:dyDescent="0.2">
      <c r="E72" s="300" t="s">
        <v>67</v>
      </c>
      <c r="F72" s="272">
        <f>'Input_Q6-Predict'!C24</f>
        <v>163</v>
      </c>
      <c r="G72" s="272">
        <f>'Input_Q6-Predict'!C25</f>
        <v>327</v>
      </c>
      <c r="H72" s="272">
        <f>'Input_Q6-Predict'!C26</f>
        <v>54</v>
      </c>
      <c r="I72" s="272">
        <f>'Input_Q6-Predict'!C27</f>
        <v>545</v>
      </c>
      <c r="J72" s="303">
        <f>Archived_Testing_Q5!B19</f>
        <v>1600</v>
      </c>
      <c r="K72" s="4" t="s">
        <v>405</v>
      </c>
    </row>
    <row r="73" spans="2:11" s="4" customFormat="1" x14ac:dyDescent="0.2">
      <c r="D73" s="199"/>
      <c r="E73" s="300" t="str">
        <f>IF(B9="Validation","Actual Sale","Predict Sale")</f>
        <v>Actual Sale</v>
      </c>
      <c r="F73" s="273">
        <f>INDEX(Data_Sales!$B$3:$N$8,MATCH('Q6-Validation'!F70,Data_Sales!$B$3:$B$8,0),MATCH('Q6-Validation'!$B$8,Data_Sales!$B$3:$N$3,0))</f>
        <v>150</v>
      </c>
      <c r="G73" s="273">
        <f>INDEX(Data_Sales!$B$3:$N$8,MATCH('Q6-Validation'!G70,Data_Sales!$B$3:$B$8,0),MATCH('Q6-Validation'!$B$8,Data_Sales!$B$3:$N$3,0))</f>
        <v>301</v>
      </c>
      <c r="H73" s="273">
        <f>INDEX(Data_Sales!$B$3:$N$8,MATCH('Q6-Validation'!H70,Data_Sales!$B$3:$B$8,0),MATCH('Q6-Validation'!$B$8,Data_Sales!$B$3:$N$3,0))</f>
        <v>25</v>
      </c>
      <c r="I73" s="273">
        <f>INDEX(Data_Sales!$B$3:$N$8,MATCH('Q6-Validation'!I70,Data_Sales!$B$3:$B$8,0),MATCH('Q6-Validation'!$B$8,Data_Sales!$B$3:$N$3,0))</f>
        <v>501</v>
      </c>
      <c r="J73" s="383">
        <f>SUM(F73:I73)</f>
        <v>977</v>
      </c>
    </row>
    <row r="74" spans="2:11" s="4" customFormat="1" x14ac:dyDescent="0.2">
      <c r="B74" s="9" t="s">
        <v>68</v>
      </c>
      <c r="C74" s="406">
        <f>'Input_Q6-Predict'!C39</f>
        <v>0.06</v>
      </c>
      <c r="D74" s="199"/>
      <c r="E74" s="300" t="s">
        <v>69</v>
      </c>
      <c r="F74" s="256">
        <f>Archived_Testing_Q5!B36</f>
        <v>7</v>
      </c>
      <c r="G74" s="256">
        <f>Archived_Testing_Q5!B37</f>
        <v>7</v>
      </c>
      <c r="H74" s="256">
        <f>Archived_Testing_Q5!B38</f>
        <v>1</v>
      </c>
      <c r="I74" s="256">
        <f>Archived_Testing_Q5!B39</f>
        <v>7</v>
      </c>
      <c r="J74" s="301"/>
    </row>
    <row r="75" spans="2:11" s="4" customFormat="1" x14ac:dyDescent="0.2">
      <c r="B75" s="12" t="s">
        <v>70</v>
      </c>
      <c r="C75" s="221">
        <f>J72</f>
        <v>1600</v>
      </c>
      <c r="D75" s="357"/>
      <c r="E75" s="300" t="s">
        <v>71</v>
      </c>
      <c r="F75" s="312">
        <f>F72*F71*F74/100</f>
        <v>31936.59</v>
      </c>
      <c r="G75" s="312">
        <f>G72*G71*G74/100</f>
        <v>50335.11</v>
      </c>
      <c r="H75" s="312">
        <f>H72*H71*H74/100</f>
        <v>1511.46</v>
      </c>
      <c r="I75" s="304">
        <f>I72*I71*I74/100</f>
        <v>106781.85</v>
      </c>
      <c r="J75" s="304">
        <f>SUM(F75:I75)</f>
        <v>190565.01</v>
      </c>
    </row>
    <row r="76" spans="2:11" s="4" customFormat="1" x14ac:dyDescent="0.2">
      <c r="B76" s="12" t="s">
        <v>72</v>
      </c>
      <c r="C76" s="221">
        <f>J73</f>
        <v>977</v>
      </c>
      <c r="D76" s="199"/>
      <c r="E76" s="300" t="s">
        <v>73</v>
      </c>
      <c r="F76" s="256">
        <f>'Input_Q6-Predict'!$C46</f>
        <v>0</v>
      </c>
      <c r="G76" s="256">
        <f>'Input_Q6-Predict'!$C47</f>
        <v>0</v>
      </c>
      <c r="H76" s="256">
        <f>'Input_Q6-Predict'!$C48</f>
        <v>0</v>
      </c>
      <c r="I76" s="256">
        <f>'Input_Q6-Predict'!$C49</f>
        <v>0</v>
      </c>
      <c r="J76" s="301" t="s">
        <v>66</v>
      </c>
    </row>
    <row r="77" spans="2:11" s="4" customFormat="1" x14ac:dyDescent="0.2">
      <c r="B77" s="14" t="s">
        <v>74</v>
      </c>
      <c r="C77" s="319">
        <f>C75-C76</f>
        <v>623</v>
      </c>
      <c r="D77" s="199"/>
      <c r="E77" s="305" t="s">
        <v>75</v>
      </c>
      <c r="F77" s="306">
        <f>INDEX(Data_EmployeeNumber!$A$4:$E$16,MATCH('Q6-Validation'!$B$8-1,Data_EmployeeNumber!$A$4:$A$16,0),MATCH('Q6-Validation'!F70,Data_EmployeeNumber!$A$4:$E$4,0))+'Q6-Validation'!F76</f>
        <v>2</v>
      </c>
      <c r="G77" s="306">
        <f>INDEX(Data_EmployeeNumber!$A$4:$E$16,MATCH('Q6-Validation'!$B$8-1,Data_EmployeeNumber!$A$4:$A$16,0),MATCH('Q6-Validation'!G70,Data_EmployeeNumber!$A$4:$E$4,0))+'Q6-Validation'!G76</f>
        <v>3</v>
      </c>
      <c r="H77" s="306">
        <f>INDEX(Data_EmployeeNumber!$A$4:$E$16,MATCH('Q6-Validation'!$B$8-1,Data_EmployeeNumber!$A$4:$A$16,0),MATCH('Q6-Validation'!H70,Data_EmployeeNumber!$A$4:$E$4,0))+'Q6-Validation'!H76</f>
        <v>2</v>
      </c>
      <c r="I77" s="306">
        <f>INDEX(Data_EmployeeNumber!$A$4:$E$16,MATCH('Q6-Validation'!$B$8-1,Data_EmployeeNumber!$A$4:$A$16,0),MATCH('Q6-Validation'!I70,Data_EmployeeNumber!$A$4:$E$4,0))+'Q6-Validation'!I76</f>
        <v>4</v>
      </c>
      <c r="J77" s="307">
        <f>SUM(F77:I77)</f>
        <v>11</v>
      </c>
    </row>
    <row r="78" spans="2:11" s="4" customFormat="1" x14ac:dyDescent="0.2">
      <c r="E78" s="300" t="s">
        <v>76</v>
      </c>
      <c r="F78" s="296">
        <v>941</v>
      </c>
      <c r="G78" s="296">
        <v>638</v>
      </c>
      <c r="H78" s="296">
        <v>706</v>
      </c>
      <c r="I78" s="301">
        <v>1075</v>
      </c>
      <c r="J78" s="301"/>
    </row>
    <row r="79" spans="2:11" s="4" customFormat="1" x14ac:dyDescent="0.2">
      <c r="E79" s="305" t="s">
        <v>78</v>
      </c>
      <c r="F79" s="308"/>
      <c r="G79" s="308"/>
      <c r="H79" s="308"/>
      <c r="I79" s="317"/>
      <c r="J79" s="309" t="s">
        <v>411</v>
      </c>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I98</f>
        <v>304200</v>
      </c>
      <c r="D92" s="214"/>
      <c r="E92" s="71" t="s">
        <v>82</v>
      </c>
      <c r="F92" s="329">
        <f>'Input_Q6-Predict'!C50</f>
        <v>5200</v>
      </c>
      <c r="H92" s="71" t="s">
        <v>82</v>
      </c>
      <c r="I92" s="72" t="s">
        <v>83</v>
      </c>
      <c r="J92" s="72" t="s">
        <v>84</v>
      </c>
      <c r="K92" s="72" t="s">
        <v>85</v>
      </c>
      <c r="L92" s="73" t="s">
        <v>86</v>
      </c>
    </row>
    <row r="93" spans="1:12" s="4" customFormat="1" x14ac:dyDescent="0.2">
      <c r="B93" s="12" t="s">
        <v>87</v>
      </c>
      <c r="C93" s="217">
        <f>K103</f>
        <v>70000</v>
      </c>
      <c r="D93" s="214"/>
      <c r="H93" s="12" t="s">
        <v>88</v>
      </c>
      <c r="I93" s="214">
        <f>$F$92*K93</f>
        <v>26000</v>
      </c>
      <c r="J93" s="4">
        <v>1</v>
      </c>
      <c r="K93" s="4">
        <v>5</v>
      </c>
      <c r="L93" s="13">
        <f>J93*K93</f>
        <v>5</v>
      </c>
    </row>
    <row r="94" spans="1:12" s="4" customFormat="1" x14ac:dyDescent="0.2">
      <c r="B94" s="12" t="s">
        <v>89</v>
      </c>
      <c r="C94" s="217">
        <f>K104</f>
        <v>10000</v>
      </c>
      <c r="D94" s="321"/>
      <c r="E94" s="71" t="s">
        <v>90</v>
      </c>
      <c r="F94" s="73"/>
      <c r="H94" s="12" t="s">
        <v>91</v>
      </c>
      <c r="I94" s="214">
        <f>$F$92*K94</f>
        <v>5200</v>
      </c>
      <c r="J94" s="4">
        <v>35</v>
      </c>
      <c r="K94" s="4">
        <v>1</v>
      </c>
      <c r="L94" s="13">
        <f>J94*K94</f>
        <v>35</v>
      </c>
    </row>
    <row r="95" spans="1:12" s="4" customFormat="1" x14ac:dyDescent="0.2">
      <c r="B95" s="12" t="s">
        <v>92</v>
      </c>
      <c r="C95" s="217">
        <f>K105</f>
        <v>47000</v>
      </c>
      <c r="E95" s="12" t="s">
        <v>93</v>
      </c>
      <c r="F95" s="327">
        <v>10000</v>
      </c>
      <c r="H95" s="12" t="s">
        <v>94</v>
      </c>
      <c r="I95" s="214">
        <f>$F$92*K95</f>
        <v>13000</v>
      </c>
      <c r="J95" s="4">
        <v>3</v>
      </c>
      <c r="K95" s="4">
        <v>2.5</v>
      </c>
      <c r="L95" s="13">
        <f>J95*K95</f>
        <v>7.5</v>
      </c>
    </row>
    <row r="96" spans="1:12" s="4" customFormat="1" x14ac:dyDescent="0.2">
      <c r="B96" s="71"/>
      <c r="C96" s="324">
        <f>SUM(C92:C95)</f>
        <v>431200</v>
      </c>
      <c r="E96" s="12" t="s">
        <v>95</v>
      </c>
      <c r="F96" s="194">
        <f>'Input_Q6-Predict'!C51</f>
        <v>7</v>
      </c>
      <c r="H96" s="12" t="s">
        <v>96</v>
      </c>
      <c r="I96" s="214">
        <f>$F$92*K96</f>
        <v>5200</v>
      </c>
      <c r="J96" s="4">
        <f>J77</f>
        <v>11</v>
      </c>
      <c r="K96" s="4">
        <v>1</v>
      </c>
      <c r="L96" s="13">
        <f>J96*K96</f>
        <v>11</v>
      </c>
    </row>
    <row r="97" spans="1:12" s="4" customFormat="1" x14ac:dyDescent="0.2">
      <c r="E97" s="12" t="s">
        <v>97</v>
      </c>
      <c r="F97" s="217">
        <v>2000</v>
      </c>
      <c r="H97" s="12" t="s">
        <v>64</v>
      </c>
      <c r="I97" s="4" t="s">
        <v>66</v>
      </c>
      <c r="J97" s="4">
        <f>SUM(J93:J96)</f>
        <v>50</v>
      </c>
      <c r="K97" s="4" t="s">
        <v>66</v>
      </c>
      <c r="L97" s="13">
        <f>SUM(L93:L96)</f>
        <v>58.5</v>
      </c>
    </row>
    <row r="98" spans="1:12" s="4" customFormat="1" x14ac:dyDescent="0.2">
      <c r="B98" s="71" t="s">
        <v>98</v>
      </c>
      <c r="C98" s="73" t="s">
        <v>406</v>
      </c>
      <c r="E98" s="14" t="s">
        <v>95</v>
      </c>
      <c r="F98" s="76">
        <f>'Input_Q6-Predict'!C52</f>
        <v>5</v>
      </c>
      <c r="H98" s="14" t="s">
        <v>99</v>
      </c>
      <c r="I98" s="322">
        <f>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F92</f>
        <v>5200</v>
      </c>
      <c r="J102" s="4">
        <f>L97</f>
        <v>58.5</v>
      </c>
      <c r="K102" s="217">
        <f>I102*J102</f>
        <v>304200</v>
      </c>
    </row>
    <row r="103" spans="1:12" s="4" customFormat="1" x14ac:dyDescent="0.2">
      <c r="E103" s="12" t="s">
        <v>106</v>
      </c>
      <c r="F103" s="217">
        <v>175</v>
      </c>
      <c r="H103" s="12" t="s">
        <v>93</v>
      </c>
      <c r="I103" s="214">
        <f>F95</f>
        <v>10000</v>
      </c>
      <c r="J103" s="4">
        <f>F96</f>
        <v>7</v>
      </c>
      <c r="K103" s="217">
        <f>F95*J103</f>
        <v>70000</v>
      </c>
    </row>
    <row r="104" spans="1:12" s="4" customFormat="1" ht="17" customHeight="1" x14ac:dyDescent="0.2">
      <c r="E104" s="12" t="s">
        <v>107</v>
      </c>
      <c r="F104" s="217">
        <v>400</v>
      </c>
      <c r="H104" s="12" t="s">
        <v>97</v>
      </c>
      <c r="I104" s="214">
        <f>F97</f>
        <v>2000</v>
      </c>
      <c r="J104" s="4">
        <f>F98</f>
        <v>5</v>
      </c>
      <c r="K104" s="217">
        <f>F97*J104</f>
        <v>10000</v>
      </c>
    </row>
    <row r="105" spans="1:12" s="4" customFormat="1" x14ac:dyDescent="0.2">
      <c r="E105" s="12" t="s">
        <v>108</v>
      </c>
      <c r="F105" s="217">
        <v>280</v>
      </c>
      <c r="H105" s="12" t="s">
        <v>109</v>
      </c>
      <c r="I105" s="214">
        <f>F102+F106+F107+F108</f>
        <v>940</v>
      </c>
      <c r="J105" s="4">
        <f>J97</f>
        <v>50</v>
      </c>
      <c r="K105" s="217">
        <f>I105*J105</f>
        <v>47000</v>
      </c>
    </row>
    <row r="106" spans="1:12" s="4" customFormat="1" x14ac:dyDescent="0.2">
      <c r="E106" s="325" t="s">
        <v>110</v>
      </c>
      <c r="F106" s="217">
        <v>350</v>
      </c>
      <c r="H106" s="14"/>
      <c r="I106" s="15"/>
      <c r="J106" s="15"/>
      <c r="K106" s="278">
        <f>SUM(K102:K105)</f>
        <v>431200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199" t="s">
        <v>114</v>
      </c>
      <c r="C113" s="199">
        <f>200000</f>
        <v>200000</v>
      </c>
    </row>
    <row r="114" spans="1:22" s="4" customFormat="1" x14ac:dyDescent="0.2">
      <c r="B114" s="199" t="s">
        <v>115</v>
      </c>
      <c r="C114" s="199">
        <f>2*0.019</f>
        <v>3.7999999999999999E-2</v>
      </c>
    </row>
    <row r="115" spans="1:22" s="4" customFormat="1" x14ac:dyDescent="0.2">
      <c r="B115" s="199" t="s">
        <v>116</v>
      </c>
      <c r="C115" s="199">
        <f>C113*C114</f>
        <v>7600</v>
      </c>
    </row>
    <row r="116" spans="1:22" s="4" customFormat="1" x14ac:dyDescent="0.2">
      <c r="B116" s="4" t="s">
        <v>117</v>
      </c>
      <c r="C116" s="69">
        <f>Archived_Testing_Q5!B48</f>
        <v>40000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407</v>
      </c>
    </row>
    <row r="121" spans="1:22" s="4" customFormat="1" x14ac:dyDescent="0.2"/>
    <row r="122" spans="1:22" s="4" customFormat="1" x14ac:dyDescent="0.2">
      <c r="B122" s="4" t="s">
        <v>119</v>
      </c>
    </row>
    <row r="123" spans="1:22" s="4" customFormat="1" x14ac:dyDescent="0.2">
      <c r="B123" s="9" t="s">
        <v>60</v>
      </c>
      <c r="C123" s="334">
        <f>IFERROR(VLOOKUP(B123,$B$14:$C$121,2,FALSE),0)</f>
        <v>2554023</v>
      </c>
      <c r="D123" s="286"/>
      <c r="E123" s="286"/>
    </row>
    <row r="124" spans="1:22" s="4" customFormat="1" x14ac:dyDescent="0.2">
      <c r="B124" s="275" t="s">
        <v>120</v>
      </c>
      <c r="C124" s="366">
        <f>IF(B9="Validation",E124,(C74+0.125)*C123+J73*M23)</f>
        <v>996058.8</v>
      </c>
      <c r="D124" s="302"/>
      <c r="E124" s="268">
        <v>996058.8</v>
      </c>
      <c r="F124" s="9" t="s">
        <v>400</v>
      </c>
      <c r="G124" s="9" t="s">
        <v>122</v>
      </c>
      <c r="H124" s="331"/>
      <c r="I124" s="10">
        <f>H124/$H$128</f>
        <v>0</v>
      </c>
      <c r="J124" s="11"/>
    </row>
    <row r="125" spans="1:22" s="4" customFormat="1" x14ac:dyDescent="0.2">
      <c r="B125" s="12" t="s">
        <v>123</v>
      </c>
      <c r="C125" s="336">
        <f>C123-C124</f>
        <v>1557964.2</v>
      </c>
      <c r="E125" s="302"/>
      <c r="F125" s="12"/>
      <c r="G125" s="12" t="s">
        <v>124</v>
      </c>
      <c r="H125" s="279">
        <f>SUMIF(D127:D139,"FC",C127:C139)</f>
        <v>1047256.4596000001</v>
      </c>
      <c r="I125" s="4">
        <f>H125/$H$128</f>
        <v>1071.9103987717504</v>
      </c>
      <c r="J125" s="13"/>
    </row>
    <row r="126" spans="1:22" s="4" customFormat="1" x14ac:dyDescent="0.2">
      <c r="B126" s="12" t="s">
        <v>125</v>
      </c>
      <c r="C126" s="336"/>
      <c r="F126" s="12"/>
      <c r="G126" s="12" t="s">
        <v>120</v>
      </c>
      <c r="H126" s="279">
        <f>C124</f>
        <v>996058.8</v>
      </c>
      <c r="I126" s="4">
        <f>H126/$H$128</f>
        <v>1019.50747185261</v>
      </c>
      <c r="J126" s="13"/>
    </row>
    <row r="127" spans="1:22" s="4" customFormat="1" x14ac:dyDescent="0.2">
      <c r="B127" s="12" t="s">
        <v>27</v>
      </c>
      <c r="C127" s="336">
        <v>280000</v>
      </c>
      <c r="D127" s="4" t="s">
        <v>124</v>
      </c>
      <c r="F127" s="12"/>
      <c r="G127" s="12" t="s">
        <v>127</v>
      </c>
      <c r="H127" s="279">
        <f>SUM(H124:H126)</f>
        <v>2043315.2596</v>
      </c>
      <c r="J127" s="13"/>
    </row>
    <row r="128" spans="1:22" s="4" customFormat="1" x14ac:dyDescent="0.2">
      <c r="B128" s="12" t="s">
        <v>81</v>
      </c>
      <c r="C128" s="336">
        <f t="shared" ref="C128:C136" si="0">IFERROR(VLOOKUP(B128,$B$14:$C$121,2,FALSE),0)</f>
        <v>304200</v>
      </c>
      <c r="D128" s="4" t="s">
        <v>124</v>
      </c>
      <c r="F128" s="12"/>
      <c r="G128" s="12" t="s">
        <v>128</v>
      </c>
      <c r="H128" s="302">
        <f>C76</f>
        <v>977</v>
      </c>
      <c r="J128" s="13"/>
    </row>
    <row r="129" spans="2:10" s="4" customFormat="1" x14ac:dyDescent="0.2">
      <c r="B129" s="12" t="s">
        <v>87</v>
      </c>
      <c r="C129" s="336">
        <f t="shared" si="0"/>
        <v>70000</v>
      </c>
      <c r="D129" s="4" t="s">
        <v>124</v>
      </c>
      <c r="F129" s="12"/>
      <c r="G129" s="12" t="s">
        <v>129</v>
      </c>
      <c r="H129" s="339">
        <f>H127/H128</f>
        <v>2091.4178706243601</v>
      </c>
      <c r="J129" s="13"/>
    </row>
    <row r="130" spans="2:10" s="4" customFormat="1" x14ac:dyDescent="0.2">
      <c r="B130" s="12" t="s">
        <v>92</v>
      </c>
      <c r="C130" s="336">
        <f t="shared" si="0"/>
        <v>47000</v>
      </c>
      <c r="D130" s="4" t="s">
        <v>122</v>
      </c>
      <c r="F130" s="12"/>
      <c r="G130" s="12"/>
      <c r="J130" s="13"/>
    </row>
    <row r="131" spans="2:10" s="4" customFormat="1" x14ac:dyDescent="0.2">
      <c r="B131" s="12" t="s">
        <v>89</v>
      </c>
      <c r="C131" s="336">
        <f t="shared" si="0"/>
        <v>10000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$H$129*(1+H131)</f>
        <v>2300.5596576867965</v>
      </c>
      <c r="I132" s="333">
        <f>$H$129*(1+I131)</f>
        <v>2509.701444749232</v>
      </c>
      <c r="J132" s="341">
        <f>$H$129*(1+J131)</f>
        <v>2718.8432318116684</v>
      </c>
    </row>
    <row r="133" spans="2:10" s="4" customFormat="1" x14ac:dyDescent="0.2">
      <c r="B133" s="12" t="s">
        <v>11</v>
      </c>
      <c r="C133" s="336">
        <f t="shared" si="0"/>
        <v>135000</v>
      </c>
      <c r="D133" s="4" t="s">
        <v>124</v>
      </c>
      <c r="F133" s="12"/>
      <c r="G133" s="4" t="s">
        <v>133</v>
      </c>
      <c r="H133" s="302">
        <f>H132-$H$129</f>
        <v>209.14178706243638</v>
      </c>
      <c r="I133" s="302">
        <f>I132-$H$129</f>
        <v>418.28357412487185</v>
      </c>
      <c r="J133" s="318">
        <f>J132-$H$129</f>
        <v>627.42536118730823</v>
      </c>
    </row>
    <row r="134" spans="2:10" s="4" customFormat="1" x14ac:dyDescent="0.2">
      <c r="B134" s="12" t="s">
        <v>61</v>
      </c>
      <c r="C134" s="336">
        <f t="shared" si="0"/>
        <v>190565.01</v>
      </c>
      <c r="D134" s="4" t="s">
        <v>124</v>
      </c>
      <c r="F134" s="12" t="s">
        <v>401</v>
      </c>
      <c r="G134" s="4" t="s">
        <v>134</v>
      </c>
      <c r="H134" s="355">
        <f>H133/H132</f>
        <v>9.090909090909105E-2</v>
      </c>
      <c r="I134" s="355">
        <f>I133/I132</f>
        <v>0.1666666666666666</v>
      </c>
      <c r="J134" s="326">
        <f>J133/J132</f>
        <v>0.23076923076923081</v>
      </c>
    </row>
    <row r="135" spans="2:10" s="4" customFormat="1" x14ac:dyDescent="0.2">
      <c r="B135" s="12" t="s">
        <v>23</v>
      </c>
      <c r="C135" s="336">
        <f>IFERROR(VLOOKUP(B135,$B$14:$C$121,2,FALSE),0)</f>
        <v>17491.449600000004</v>
      </c>
      <c r="D135" s="4" t="s">
        <v>124</v>
      </c>
      <c r="F135" s="12" t="s">
        <v>402</v>
      </c>
      <c r="G135" s="4" t="s">
        <v>135</v>
      </c>
      <c r="H135" s="279">
        <f>$H$125/H134</f>
        <v>11519821.055599982</v>
      </c>
      <c r="I135" s="279">
        <f>$H$125/I134</f>
        <v>6283538.7576000029</v>
      </c>
      <c r="J135" s="281">
        <f>$H$125/J134</f>
        <v>4538111.3249333324</v>
      </c>
    </row>
    <row r="136" spans="2:10" s="4" customFormat="1" x14ac:dyDescent="0.2">
      <c r="B136" s="12" t="s">
        <v>117</v>
      </c>
      <c r="C136" s="336">
        <f t="shared" si="0"/>
        <v>40000</v>
      </c>
      <c r="D136" s="4" t="s">
        <v>124</v>
      </c>
      <c r="F136" s="14"/>
      <c r="G136" s="15" t="s">
        <v>136</v>
      </c>
      <c r="H136" s="15">
        <f>H135/H132</f>
        <v>5007.3994026232367</v>
      </c>
      <c r="I136" s="15">
        <f>I135/I132</f>
        <v>2503.6997013116238</v>
      </c>
      <c r="J136" s="16">
        <f>J135/J132</f>
        <v>1669.1331342077478</v>
      </c>
    </row>
    <row r="137" spans="2:10" s="4" customFormat="1" x14ac:dyDescent="0.2">
      <c r="B137" s="275" t="s">
        <v>137</v>
      </c>
      <c r="C137" s="335" cm="1">
        <f t="array" ref="C137">IF(B9="Validation",E137,SUMPRODUCT(F80:I80*F73:I73))</f>
        <v>36058</v>
      </c>
      <c r="D137" s="380" t="s">
        <v>408</v>
      </c>
      <c r="E137" s="4">
        <f>INDEX(Data_Sales!B3:N8,MATCH("Freight Cost",Data_Sales!B3:B8,0),MATCH('Q6-Validation'!B8,Data_Sales!B3:N3,0))</f>
        <v>36058</v>
      </c>
    </row>
    <row r="138" spans="2:10" s="4" customFormat="1" x14ac:dyDescent="0.2">
      <c r="B138" s="12" t="s">
        <v>139</v>
      </c>
      <c r="C138" s="336">
        <f>IFERROR(VLOOKUP(B138,$B$14:$C$121,2,FALSE),0)</f>
        <v>0</v>
      </c>
    </row>
    <row r="139" spans="2:10" s="4" customFormat="1" x14ac:dyDescent="0.2">
      <c r="B139" s="365" t="s">
        <v>140</v>
      </c>
      <c r="C139" s="366">
        <f>'Input_Q6-Predict'!C18</f>
        <v>0</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SUM(C127:C141)</f>
        <v>1130314.4595999999</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C125-C142</f>
        <v>427649.74040000001</v>
      </c>
    </row>
    <row r="148" spans="2:5" s="4" customFormat="1" x14ac:dyDescent="0.2">
      <c r="B148" s="12" t="s">
        <v>147</v>
      </c>
      <c r="C148" s="13">
        <f>IF(C147&gt;0,C147*0.15,0)</f>
        <v>64147.461060000001</v>
      </c>
    </row>
    <row r="149" spans="2:5" s="4" customFormat="1" x14ac:dyDescent="0.2">
      <c r="B149" s="12" t="s">
        <v>148</v>
      </c>
      <c r="C149" s="336">
        <f>C147-C148</f>
        <v>363502.27934000001</v>
      </c>
    </row>
    <row r="150" spans="2:5" s="4" customFormat="1" x14ac:dyDescent="0.2">
      <c r="B150" s="12" t="s">
        <v>119</v>
      </c>
      <c r="C150" s="13"/>
    </row>
    <row r="151" spans="2:5" s="4" customFormat="1" x14ac:dyDescent="0.2">
      <c r="B151" s="12" t="s">
        <v>149</v>
      </c>
      <c r="C151" s="368">
        <f>INDEX(Data_IncomeStatement!A1:M33,MATCH("PROFIT AND LOSS STATEMENT RESULTS",Data_IncomeStatement!A1:A33,0),MATCH(VALUE(B8-1),Data_IncomeStatement!A1:M1,0))</f>
        <v>-955066.65</v>
      </c>
    </row>
    <row r="152" spans="2:5" s="4" customFormat="1" x14ac:dyDescent="0.2">
      <c r="B152" s="12" t="s">
        <v>148</v>
      </c>
      <c r="C152" s="336">
        <f>C149</f>
        <v>363502.27934000001</v>
      </c>
    </row>
    <row r="153" spans="2:5" s="4" customFormat="1" x14ac:dyDescent="0.2">
      <c r="B153" s="12" t="s">
        <v>150</v>
      </c>
      <c r="C153" s="13">
        <v>0</v>
      </c>
    </row>
    <row r="154" spans="2:5" s="4" customFormat="1" x14ac:dyDescent="0.2">
      <c r="B154" s="14" t="s">
        <v>151</v>
      </c>
      <c r="C154" s="337">
        <f>C152+C151</f>
        <v>-591564.37066000002</v>
      </c>
    </row>
    <row r="155" spans="2:5" s="4" customFormat="1" x14ac:dyDescent="0.2"/>
    <row r="156" spans="2:5" s="4" customFormat="1" x14ac:dyDescent="0.2">
      <c r="C156" s="330"/>
      <c r="D156" s="214"/>
      <c r="E156" s="279"/>
    </row>
    <row r="157" spans="2:5" s="4" customFormat="1" x14ac:dyDescent="0.2"/>
    <row r="158" spans="2:5" s="4" customFormat="1" x14ac:dyDescent="0.2"/>
    <row r="159" spans="2:5" s="4" customFormat="1" x14ac:dyDescent="0.2"/>
    <row r="160" spans="2:5" s="4" customFormat="1" x14ac:dyDescent="0.2"/>
    <row r="161" s="4" customFormat="1" x14ac:dyDescent="0.2"/>
    <row r="162" s="4" customFormat="1" x14ac:dyDescent="0.2"/>
    <row r="163" s="4" customFormat="1" x14ac:dyDescent="0.2"/>
    <row r="164" s="4" customFormat="1" x14ac:dyDescent="0.2"/>
    <row r="165" s="4" customFormat="1" x14ac:dyDescent="0.2"/>
    <row r="166" s="4" customFormat="1" x14ac:dyDescent="0.2"/>
    <row r="167" s="4" customFormat="1" x14ac:dyDescent="0.2"/>
    <row r="168" s="4" customFormat="1" x14ac:dyDescent="0.2"/>
    <row r="169" s="4" customFormat="1" x14ac:dyDescent="0.2"/>
    <row r="170" s="4" customFormat="1" x14ac:dyDescent="0.2"/>
    <row r="171" s="4" customFormat="1" x14ac:dyDescent="0.2"/>
    <row r="172" s="4" customFormat="1" x14ac:dyDescent="0.2"/>
    <row r="173" s="4" customFormat="1" x14ac:dyDescent="0.2"/>
    <row r="174"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46397C05-AF4A-A944-8CB6-C87655ACE508}">
          <x14:formula1>
            <xm:f>Reference!$B$1:$B$4</xm:f>
          </x14:formula1>
          <xm:sqref>W21 W28 K20</xm:sqref>
        </x14:dataValidation>
        <x14:dataValidation type="list" allowBlank="1" showInputMessage="1" showErrorMessage="1" xr:uid="{65A7FAE8-B8AE-8145-B8CE-E9F731935609}">
          <x14:formula1>
            <xm:f>Reference!$D$1:$D$4</xm:f>
          </x14:formula1>
          <xm:sqref>W23 W30 K22</xm:sqref>
        </x14:dataValidation>
        <x14:dataValidation type="list" allowBlank="1" showInputMessage="1" showErrorMessage="1" xr:uid="{D7731D36-0CA5-AA4C-8855-8DD0951587E1}">
          <x14:formula1>
            <xm:f>Reference!$A$1:$A$3</xm:f>
          </x14:formula1>
          <xm:sqref>W20 W27 K19</xm:sqref>
        </x14:dataValidation>
        <x14:dataValidation type="list" allowBlank="1" showInputMessage="1" showErrorMessage="1" xr:uid="{2F9EB4BB-B429-784D-AE69-A74625ABA556}">
          <x14:formula1>
            <xm:f>Reference!$C$1:$C$5</xm:f>
          </x14:formula1>
          <xm:sqref>W22 W29 K21</xm:sqref>
        </x14:dataValidation>
        <x14:dataValidation type="list" allowBlank="1" showInputMessage="1" showErrorMessage="1" xr:uid="{C1B1D624-BCED-8B4B-9B88-9D321CF9C915}">
          <x14:formula1>
            <xm:f>Reference!$A$6:$A$8</xm:f>
          </x14:formula1>
          <xm:sqref>B9</xm:sqref>
        </x14:dataValidation>
        <x14:dataValidation type="list" allowBlank="1" showInputMessage="1" showErrorMessage="1" xr:uid="{3C42401B-9F06-0F4D-ADBE-F35F59BD9773}">
          <x14:formula1>
            <xm:f>Reference!$A$10:$A$12</xm:f>
          </x14:formula1>
          <xm:sqref>D124</xm:sqref>
        </x14:dataValidation>
        <x14:dataValidation type="list" allowBlank="1" showInputMessage="1" showErrorMessage="1" xr:uid="{4A0F4D91-68FE-C247-A853-90E0DD93AD34}">
          <x14:formula1>
            <xm:f>Reference!$A$14:$A$26</xm:f>
          </x14:formula1>
          <xm:sqref>B8</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87DF-9739-FC46-B5DE-01E47D1642CF}">
  <sheetPr>
    <tabColor theme="2" tint="-9.9978637043366805E-2"/>
  </sheetPr>
  <dimension ref="B1:J53"/>
  <sheetViews>
    <sheetView zoomScale="126" workbookViewId="0">
      <selection activeCell="A13" sqref="A13"/>
    </sheetView>
  </sheetViews>
  <sheetFormatPr baseColWidth="10" defaultColWidth="11" defaultRowHeight="16" x14ac:dyDescent="0.2"/>
  <cols>
    <col min="2" max="2" width="33.83203125" bestFit="1" customWidth="1"/>
    <col min="3" max="3" width="12.83203125" style="371" customWidth="1"/>
    <col min="4" max="4" width="15.6640625" customWidth="1"/>
    <col min="10" max="10" width="34.6640625" bestFit="1" customWidth="1"/>
  </cols>
  <sheetData>
    <row r="1" spans="2:7" x14ac:dyDescent="0.2">
      <c r="C1" t="s">
        <v>159</v>
      </c>
      <c r="D1" s="371"/>
      <c r="G1" s="386"/>
    </row>
    <row r="2" spans="2:7" x14ac:dyDescent="0.2">
      <c r="B2" s="385" t="b">
        <v>1</v>
      </c>
      <c r="C2" t="s">
        <v>160</v>
      </c>
      <c r="D2" s="371"/>
    </row>
    <row r="3" spans="2:7" x14ac:dyDescent="0.2">
      <c r="B3" s="385" t="b">
        <v>1</v>
      </c>
      <c r="C3" t="s">
        <v>412</v>
      </c>
      <c r="D3" s="371"/>
    </row>
    <row r="4" spans="2:7" x14ac:dyDescent="0.2">
      <c r="B4" s="385" t="b">
        <v>0</v>
      </c>
      <c r="C4" t="s">
        <v>162</v>
      </c>
      <c r="D4" s="371"/>
    </row>
    <row r="5" spans="2:7" x14ac:dyDescent="0.2">
      <c r="B5" s="385" t="b">
        <v>0</v>
      </c>
      <c r="C5" t="s">
        <v>163</v>
      </c>
      <c r="D5" s="371"/>
    </row>
    <row r="6" spans="2:7" s="124" customFormat="1" x14ac:dyDescent="0.2">
      <c r="B6" s="141" t="s">
        <v>164</v>
      </c>
      <c r="C6" s="404">
        <v>6</v>
      </c>
    </row>
    <row r="7" spans="2:7" s="124" customFormat="1" x14ac:dyDescent="0.2">
      <c r="B7" s="81" t="s">
        <v>165</v>
      </c>
      <c r="C7" s="405" t="s">
        <v>166</v>
      </c>
      <c r="E7" s="387" t="s">
        <v>167</v>
      </c>
    </row>
    <row r="8" spans="2:7" s="124" customFormat="1" x14ac:dyDescent="0.2">
      <c r="B8" s="63"/>
      <c r="C8" s="413"/>
      <c r="E8" s="387"/>
    </row>
    <row r="9" spans="2:7" x14ac:dyDescent="0.2">
      <c r="B9" s="93" t="s">
        <v>170</v>
      </c>
      <c r="C9" s="403"/>
    </row>
    <row r="10" spans="2:7" x14ac:dyDescent="0.2">
      <c r="B10" s="93">
        <v>1</v>
      </c>
      <c r="C10" s="395">
        <v>2799</v>
      </c>
    </row>
    <row r="11" spans="2:7" x14ac:dyDescent="0.2">
      <c r="B11" s="93">
        <v>2</v>
      </c>
      <c r="C11" s="395">
        <v>2199</v>
      </c>
    </row>
    <row r="12" spans="2:7" x14ac:dyDescent="0.2">
      <c r="B12" s="93">
        <v>3</v>
      </c>
      <c r="C12" s="395">
        <v>2799</v>
      </c>
    </row>
    <row r="13" spans="2:7" x14ac:dyDescent="0.2">
      <c r="B13" s="90">
        <v>4</v>
      </c>
      <c r="C13" s="396">
        <v>2799</v>
      </c>
    </row>
    <row r="14" spans="2:7" x14ac:dyDescent="0.2">
      <c r="B14" s="87" t="s">
        <v>148</v>
      </c>
      <c r="C14" s="394">
        <f>'Q6-Predict'!C149</f>
        <v>338978.38510879991</v>
      </c>
    </row>
    <row r="15" spans="2:7" x14ac:dyDescent="0.2">
      <c r="B15" s="14" t="s">
        <v>151</v>
      </c>
      <c r="C15" s="397">
        <f>'Q6-Predict'!C154</f>
        <v>-616088.26489120012</v>
      </c>
    </row>
    <row r="17" spans="2:10" x14ac:dyDescent="0.2">
      <c r="B17" s="87" t="s">
        <v>171</v>
      </c>
      <c r="C17" s="388">
        <f>INDEX(Data_IncomeStatement!A1:M33,MATCH("PROFIT AND LOSS STATEMENT RESULTS", Data_IncomeStatement!A1:A33, 0),MATCH(VALUE(C6-1), Data_IncomeStatement!A1:M1, 0))</f>
        <v>-955066.65</v>
      </c>
      <c r="D17" s="122" t="s">
        <v>172</v>
      </c>
      <c r="I17" t="s">
        <v>173</v>
      </c>
      <c r="J17" t="s">
        <v>174</v>
      </c>
    </row>
    <row r="18" spans="2:10" x14ac:dyDescent="0.2">
      <c r="B18" s="93" t="s">
        <v>175</v>
      </c>
      <c r="C18" s="344">
        <v>0</v>
      </c>
      <c r="D18" t="s">
        <v>176</v>
      </c>
      <c r="E18" t="s">
        <v>177</v>
      </c>
      <c r="I18" t="s">
        <v>132</v>
      </c>
      <c r="J18" t="s">
        <v>120</v>
      </c>
    </row>
    <row r="19" spans="2:10" x14ac:dyDescent="0.2">
      <c r="B19" s="93" t="s">
        <v>41</v>
      </c>
      <c r="C19" s="344">
        <f>INDEX(Data_Stock!B2:N11,MATCH("Left Inventory",Data_Stock!B2:B11,0),MATCH(VALUE(C6-1),Data_Stock!B2:N2,0))</f>
        <v>78</v>
      </c>
      <c r="D19" s="122" t="s">
        <v>172</v>
      </c>
      <c r="E19" t="s">
        <v>177</v>
      </c>
      <c r="G19">
        <f>819+741-960</f>
        <v>600</v>
      </c>
      <c r="J19" t="s">
        <v>178</v>
      </c>
    </row>
    <row r="20" spans="2:10" x14ac:dyDescent="0.2">
      <c r="B20" s="93" t="s">
        <v>42</v>
      </c>
      <c r="C20" s="344">
        <f>INDEX(Data_Stock!B2:N11,MATCH("Left",Data_Stock!B2:B11,0),MATCH(VALUE(C6-1),Data_Stock!B2:N2,0))</f>
        <v>1056</v>
      </c>
      <c r="D20" s="122" t="s">
        <v>172</v>
      </c>
      <c r="E20" t="s">
        <v>177</v>
      </c>
      <c r="J20" t="s">
        <v>179</v>
      </c>
    </row>
    <row r="21" spans="2:10" x14ac:dyDescent="0.2">
      <c r="B21" s="90" t="s">
        <v>180</v>
      </c>
      <c r="C21" s="389">
        <f>C19+(C20*C34)</f>
        <v>1091.76</v>
      </c>
      <c r="D21" s="122"/>
    </row>
    <row r="22" spans="2:10" x14ac:dyDescent="0.2">
      <c r="B22" s="87" t="s">
        <v>181</v>
      </c>
      <c r="C22" s="390">
        <v>1540</v>
      </c>
      <c r="D22" s="122"/>
      <c r="E22" t="s">
        <v>182</v>
      </c>
    </row>
    <row r="23" spans="2:10" x14ac:dyDescent="0.2">
      <c r="B23" s="391" t="str">
        <f>"-----------------------------------------------&gt;&gt;"</f>
        <v>-----------------------------------------------&gt;&gt;</v>
      </c>
      <c r="C23" s="392">
        <f>MIN(C22,C21)</f>
        <v>1091.76</v>
      </c>
      <c r="D23" s="122" t="s">
        <v>172</v>
      </c>
      <c r="E23" t="s">
        <v>183</v>
      </c>
      <c r="J23" t="s">
        <v>184</v>
      </c>
    </row>
    <row r="24" spans="2:10" x14ac:dyDescent="0.2">
      <c r="B24" s="93">
        <v>1</v>
      </c>
      <c r="C24" s="291">
        <f>ROUNDDOWN($C$23*D24,0)</f>
        <v>163</v>
      </c>
      <c r="D24" s="17">
        <v>0.15</v>
      </c>
      <c r="E24" t="s">
        <v>185</v>
      </c>
      <c r="J24" t="s">
        <v>186</v>
      </c>
    </row>
    <row r="25" spans="2:10" x14ac:dyDescent="0.2">
      <c r="B25" s="93">
        <v>2</v>
      </c>
      <c r="C25" s="291">
        <f t="shared" ref="C25:C27" si="0">ROUNDDOWN($C$23*D25,0)</f>
        <v>327</v>
      </c>
      <c r="D25" s="17">
        <v>0.3</v>
      </c>
      <c r="E25" t="s">
        <v>187</v>
      </c>
      <c r="J25" t="s">
        <v>188</v>
      </c>
    </row>
    <row r="26" spans="2:10" x14ac:dyDescent="0.2">
      <c r="B26" s="93">
        <v>3</v>
      </c>
      <c r="C26" s="291">
        <f t="shared" si="0"/>
        <v>54</v>
      </c>
      <c r="D26" s="17">
        <f>1-D27-D25-D24</f>
        <v>5.0000000000000017E-2</v>
      </c>
      <c r="J26" t="s">
        <v>189</v>
      </c>
    </row>
    <row r="27" spans="2:10" x14ac:dyDescent="0.2">
      <c r="B27" s="90">
        <v>4</v>
      </c>
      <c r="C27" s="291">
        <f t="shared" si="0"/>
        <v>545</v>
      </c>
      <c r="D27" s="17">
        <v>0.5</v>
      </c>
      <c r="E27" t="s">
        <v>190</v>
      </c>
      <c r="J27" t="s">
        <v>191</v>
      </c>
    </row>
    <row r="28" spans="2:10" x14ac:dyDescent="0.2">
      <c r="B28" s="87" t="s">
        <v>192</v>
      </c>
      <c r="C28" s="394">
        <f>SUM(C29:C32)</f>
        <v>978</v>
      </c>
      <c r="D28" t="s">
        <v>193</v>
      </c>
      <c r="J28" t="s">
        <v>194</v>
      </c>
    </row>
    <row r="29" spans="2:10" x14ac:dyDescent="0.2">
      <c r="B29" s="93">
        <v>1</v>
      </c>
      <c r="C29" s="291">
        <f>ROUNDDOWN(C24*D29,0)</f>
        <v>146</v>
      </c>
      <c r="D29" s="69">
        <v>0.9</v>
      </c>
      <c r="J29" t="s">
        <v>195</v>
      </c>
    </row>
    <row r="30" spans="2:10" x14ac:dyDescent="0.2">
      <c r="B30" s="93">
        <v>2</v>
      </c>
      <c r="C30" s="291">
        <f t="shared" ref="C30:C31" si="1">ROUNDDOWN(C25*D30,0)</f>
        <v>294</v>
      </c>
      <c r="D30" s="69">
        <v>0.9</v>
      </c>
      <c r="J30" t="s">
        <v>196</v>
      </c>
    </row>
    <row r="31" spans="2:10" x14ac:dyDescent="0.2">
      <c r="B31" s="93">
        <v>3</v>
      </c>
      <c r="C31" s="291">
        <f t="shared" si="1"/>
        <v>48</v>
      </c>
      <c r="D31" s="69">
        <v>0.9</v>
      </c>
    </row>
    <row r="32" spans="2:10" x14ac:dyDescent="0.2">
      <c r="B32" s="90">
        <v>4</v>
      </c>
      <c r="C32" s="393">
        <f>ROUNDDOWN(C27*D32,0)</f>
        <v>490</v>
      </c>
      <c r="D32" s="69">
        <v>0.9</v>
      </c>
    </row>
    <row r="33" spans="2:5" ht="17" customHeight="1" x14ac:dyDescent="0.2">
      <c r="B33" s="87" t="s">
        <v>197</v>
      </c>
      <c r="C33" s="398">
        <f>C23-C19</f>
        <v>1013.76</v>
      </c>
      <c r="E33" t="s">
        <v>198</v>
      </c>
    </row>
    <row r="34" spans="2:5" ht="17" customHeight="1" x14ac:dyDescent="0.2">
      <c r="B34" s="93" t="s">
        <v>38</v>
      </c>
      <c r="C34" s="399">
        <v>0.96</v>
      </c>
    </row>
    <row r="35" spans="2:5" ht="17" customHeight="1" x14ac:dyDescent="0.2">
      <c r="B35" s="90" t="s">
        <v>199</v>
      </c>
      <c r="C35" s="400">
        <f>ROUNDDOWN(C33*C34,0)</f>
        <v>973</v>
      </c>
    </row>
    <row r="36" spans="2:5" ht="17" customHeight="1" x14ac:dyDescent="0.2">
      <c r="B36" s="87" t="s">
        <v>200</v>
      </c>
      <c r="C36" s="390">
        <v>1500</v>
      </c>
      <c r="D36" s="269"/>
    </row>
    <row r="37" spans="2:5" ht="17" customHeight="1" x14ac:dyDescent="0.2">
      <c r="B37" s="90" t="str">
        <f>"-------------------------------&gt;"</f>
        <v>-------------------------------&gt;</v>
      </c>
      <c r="C37" s="400">
        <f>IF(C7="Conservasive",1200-(C20-C35),C36)</f>
        <v>1500</v>
      </c>
      <c r="E37" t="s">
        <v>201</v>
      </c>
    </row>
    <row r="38" spans="2:5" x14ac:dyDescent="0.2">
      <c r="B38" s="195" t="s">
        <v>19</v>
      </c>
      <c r="C38" s="401">
        <v>9</v>
      </c>
    </row>
    <row r="39" spans="2:5" x14ac:dyDescent="0.2">
      <c r="B39" s="195" t="s">
        <v>202</v>
      </c>
      <c r="C39" s="402">
        <v>0.06</v>
      </c>
    </row>
    <row r="40" spans="2:5" x14ac:dyDescent="0.2">
      <c r="B40" s="87" t="s">
        <v>203</v>
      </c>
      <c r="C40" s="394"/>
    </row>
    <row r="41" spans="2:5" x14ac:dyDescent="0.2">
      <c r="B41" s="93">
        <v>1</v>
      </c>
      <c r="C41" s="291">
        <v>7</v>
      </c>
      <c r="D41">
        <f>'Q6-Predict'!F75</f>
        <v>31936.59</v>
      </c>
    </row>
    <row r="42" spans="2:5" x14ac:dyDescent="0.2">
      <c r="B42" s="93">
        <v>2</v>
      </c>
      <c r="C42" s="291">
        <v>7</v>
      </c>
      <c r="D42">
        <f>'Q6-Predict'!G75</f>
        <v>50335.11</v>
      </c>
    </row>
    <row r="43" spans="2:5" x14ac:dyDescent="0.2">
      <c r="B43" s="93">
        <v>3</v>
      </c>
      <c r="C43" s="291">
        <v>1</v>
      </c>
      <c r="D43">
        <f>'Q6-Predict'!H75</f>
        <v>1511.46</v>
      </c>
    </row>
    <row r="44" spans="2:5" x14ac:dyDescent="0.2">
      <c r="B44" s="90">
        <v>4</v>
      </c>
      <c r="C44" s="393">
        <v>7</v>
      </c>
      <c r="D44">
        <f>'Q6-Predict'!I75</f>
        <v>106781.85</v>
      </c>
    </row>
    <row r="45" spans="2:5" x14ac:dyDescent="0.2">
      <c r="B45" s="87" t="s">
        <v>204</v>
      </c>
      <c r="C45" s="394"/>
    </row>
    <row r="46" spans="2:5" x14ac:dyDescent="0.2">
      <c r="B46" s="93">
        <v>1</v>
      </c>
      <c r="C46" s="291">
        <v>0</v>
      </c>
    </row>
    <row r="47" spans="2:5" x14ac:dyDescent="0.2">
      <c r="B47" s="93">
        <v>2</v>
      </c>
      <c r="C47" s="291">
        <v>0</v>
      </c>
    </row>
    <row r="48" spans="2:5" x14ac:dyDescent="0.2">
      <c r="B48" s="93">
        <v>3</v>
      </c>
      <c r="C48" s="291">
        <v>0</v>
      </c>
    </row>
    <row r="49" spans="2:4" x14ac:dyDescent="0.2">
      <c r="B49" s="90">
        <v>4</v>
      </c>
      <c r="C49" s="393">
        <v>0</v>
      </c>
    </row>
    <row r="50" spans="2:4" x14ac:dyDescent="0.2">
      <c r="B50" s="87" t="s">
        <v>82</v>
      </c>
      <c r="C50" s="390">
        <v>5200</v>
      </c>
    </row>
    <row r="51" spans="2:4" x14ac:dyDescent="0.2">
      <c r="B51" s="93" t="s">
        <v>93</v>
      </c>
      <c r="C51" s="291">
        <v>7</v>
      </c>
    </row>
    <row r="52" spans="2:4" x14ac:dyDescent="0.2">
      <c r="B52" s="93" t="s">
        <v>205</v>
      </c>
      <c r="C52" s="291">
        <v>5</v>
      </c>
    </row>
    <row r="53" spans="2:4" x14ac:dyDescent="0.2">
      <c r="B53" s="90" t="s">
        <v>206</v>
      </c>
      <c r="C53" s="393">
        <v>40000</v>
      </c>
      <c r="D53" t="s">
        <v>207</v>
      </c>
    </row>
  </sheetData>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9D4D79D0-6ED6-BE43-A413-B8AC1D673172}">
          <x14:formula1>
            <xm:f>Reference!$A$14:$A$26</xm:f>
          </x14:formula1>
          <xm:sqref>C6</xm:sqref>
        </x14:dataValidation>
        <x14:dataValidation type="list" allowBlank="1" showInputMessage="1" showErrorMessage="1" xr:uid="{77476867-18CD-704B-B6A3-E650500442F5}">
          <x14:formula1>
            <xm:f>Reference!$A$28:$A$29</xm:f>
          </x14:formula1>
          <xm:sqref>C7:C8</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3678F-3F46-1D40-886B-7C159257512B}">
  <sheetPr>
    <tabColor theme="2" tint="-9.9978637043366805E-2"/>
  </sheetPr>
  <dimension ref="A1:V174"/>
  <sheetViews>
    <sheetView zoomScale="117" zoomScaleNormal="120" workbookViewId="0">
      <selection activeCell="E130" sqref="E130"/>
    </sheetView>
  </sheetViews>
  <sheetFormatPr baseColWidth="10" defaultColWidth="11" defaultRowHeight="16" x14ac:dyDescent="0.2"/>
  <cols>
    <col min="1" max="1" width="5.6640625" style="4" customWidth="1"/>
    <col min="2" max="2" width="33.33203125" bestFit="1" customWidth="1"/>
    <col min="3" max="3" width="14" bestFit="1" customWidth="1"/>
    <col min="4" max="4" width="15.1640625"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4"/>
      <c r="C2" s="4"/>
      <c r="D2" s="4"/>
      <c r="E2" s="4"/>
      <c r="F2" s="4"/>
      <c r="G2" s="4"/>
      <c r="H2" s="4"/>
      <c r="I2" s="4"/>
      <c r="J2" s="4"/>
      <c r="K2" s="4"/>
      <c r="L2" s="4"/>
      <c r="M2" s="4"/>
      <c r="N2" s="4"/>
      <c r="O2" s="4"/>
      <c r="P2" s="4"/>
      <c r="Q2" s="4"/>
      <c r="R2" s="4"/>
      <c r="S2" s="4"/>
      <c r="T2" s="4"/>
      <c r="U2" s="4"/>
      <c r="V2" s="4"/>
    </row>
    <row r="3" spans="1:22" x14ac:dyDescent="0.2">
      <c r="B3" s="4"/>
      <c r="C3" s="4"/>
      <c r="D3" s="4"/>
      <c r="E3" s="4"/>
      <c r="F3" s="4"/>
      <c r="G3" s="4"/>
      <c r="H3" s="4"/>
      <c r="I3" s="4"/>
      <c r="J3" s="4"/>
      <c r="K3" s="4"/>
      <c r="L3" s="4"/>
      <c r="M3" s="4"/>
      <c r="N3" s="4"/>
      <c r="O3" s="4"/>
      <c r="P3" s="4"/>
      <c r="Q3" s="4"/>
      <c r="R3" s="4"/>
      <c r="S3" s="4"/>
      <c r="T3" s="4"/>
      <c r="U3" s="4"/>
      <c r="V3" s="4"/>
    </row>
    <row r="4" spans="1:22" s="4" customFormat="1" x14ac:dyDescent="0.2"/>
    <row r="5" spans="1:22" s="4" customFormat="1" x14ac:dyDescent="0.2"/>
    <row r="6" spans="1:22" s="4" customFormat="1" x14ac:dyDescent="0.2"/>
    <row r="7" spans="1:22" s="4" customFormat="1" x14ac:dyDescent="0.2"/>
    <row r="8" spans="1:22" s="4" customFormat="1" x14ac:dyDescent="0.2">
      <c r="B8" s="178">
        <v>6</v>
      </c>
    </row>
    <row r="9" spans="1:22" s="4" customFormat="1" x14ac:dyDescent="0.2">
      <c r="B9" s="410" t="s">
        <v>6</v>
      </c>
    </row>
    <row r="10" spans="1:22" x14ac:dyDescent="0.2">
      <c r="B10" s="4"/>
      <c r="C10" s="4"/>
      <c r="F10" s="4"/>
      <c r="G10" s="4"/>
      <c r="H10" s="4"/>
      <c r="I10" s="4"/>
      <c r="J10" s="4"/>
      <c r="K10" s="4"/>
      <c r="L10" s="4"/>
      <c r="M10" s="4"/>
      <c r="N10" s="4"/>
      <c r="O10" s="4"/>
      <c r="P10" s="4"/>
      <c r="Q10" s="4"/>
      <c r="R10" s="4"/>
      <c r="S10" s="4"/>
      <c r="T10" s="4"/>
      <c r="U10" s="4"/>
      <c r="V10" s="4"/>
    </row>
    <row r="11" spans="1:22" x14ac:dyDescent="0.2">
      <c r="B11" s="4"/>
      <c r="C11" s="4"/>
      <c r="D11" s="4"/>
      <c r="E11" s="4"/>
      <c r="F11" s="4"/>
      <c r="G11" s="4"/>
      <c r="H11" s="4"/>
      <c r="I11" s="4"/>
      <c r="J11" s="4"/>
      <c r="K11" s="4"/>
      <c r="L11" s="4"/>
      <c r="M11" s="4"/>
      <c r="N11" s="4"/>
      <c r="O11" s="4"/>
      <c r="P11" s="4"/>
      <c r="Q11" s="4"/>
      <c r="R11" s="4"/>
      <c r="S11" s="4"/>
      <c r="T11" s="4"/>
      <c r="U11" s="4"/>
      <c r="V11" s="4"/>
    </row>
    <row r="12" spans="1:22" x14ac:dyDescent="0.2">
      <c r="B12" s="4"/>
      <c r="C12" s="99" t="s">
        <v>4</v>
      </c>
      <c r="D12" s="69" t="s">
        <v>404</v>
      </c>
      <c r="E12" s="268" t="s">
        <v>6</v>
      </c>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F19*F20</f>
        <v>135000</v>
      </c>
      <c r="E18" s="576" t="s">
        <v>12</v>
      </c>
      <c r="F18" s="577"/>
      <c r="G18" s="578"/>
      <c r="I18" s="71" t="s">
        <v>13</v>
      </c>
      <c r="J18" s="72"/>
      <c r="K18" s="72" t="s">
        <v>14</v>
      </c>
      <c r="L18" s="72" t="s">
        <v>15</v>
      </c>
      <c r="M18" s="72" t="s">
        <v>16</v>
      </c>
      <c r="N18" s="73" t="s">
        <v>17</v>
      </c>
    </row>
    <row r="19" spans="2:22" s="4" customFormat="1" x14ac:dyDescent="0.2">
      <c r="B19" s="12" t="s">
        <v>18</v>
      </c>
      <c r="C19" s="217">
        <f>N23</f>
        <v>857835</v>
      </c>
      <c r="E19" s="284" t="s">
        <v>19</v>
      </c>
      <c r="F19" s="285">
        <v>15000</v>
      </c>
      <c r="G19" s="11" t="s">
        <v>20</v>
      </c>
      <c r="I19" s="12"/>
      <c r="J19" s="4" t="s">
        <v>21</v>
      </c>
      <c r="K19" s="4" t="s">
        <v>22</v>
      </c>
      <c r="L19" s="4">
        <f>VLOOKUP($K$19,$E$24:F59,2,FALSE)</f>
        <v>36</v>
      </c>
      <c r="M19" s="4">
        <f>L19*$F$25</f>
        <v>36</v>
      </c>
      <c r="N19" s="13">
        <f>M19*$F$24</f>
        <v>54000</v>
      </c>
    </row>
    <row r="20" spans="2:22" s="4" customFormat="1" x14ac:dyDescent="0.2">
      <c r="B20" s="12" t="s">
        <v>23</v>
      </c>
      <c r="C20" s="281">
        <f>C34*0.02*M24</f>
        <v>16529.419872000002</v>
      </c>
      <c r="E20" s="68"/>
      <c r="F20" s="76">
        <f>'Input_Q6-Predict'!C38</f>
        <v>9</v>
      </c>
      <c r="G20" s="16"/>
      <c r="I20" s="12" t="s">
        <v>24</v>
      </c>
      <c r="J20" s="19" t="s">
        <v>25</v>
      </c>
      <c r="K20" s="4" t="s">
        <v>26</v>
      </c>
      <c r="L20" s="4">
        <f>VLOOKUP($K$20,$E$25:F60,2,FALSE)</f>
        <v>44.52</v>
      </c>
      <c r="M20" s="4">
        <f>L20*$F$28</f>
        <v>89.04</v>
      </c>
      <c r="N20" s="13">
        <f>M20*$F$24</f>
        <v>133560</v>
      </c>
    </row>
    <row r="21" spans="2:22" s="4" customFormat="1" x14ac:dyDescent="0.2">
      <c r="B21" s="276" t="s">
        <v>27</v>
      </c>
      <c r="C21" s="282">
        <v>280000</v>
      </c>
      <c r="E21" s="12" t="s">
        <v>28</v>
      </c>
      <c r="G21" s="103"/>
      <c r="I21" s="12"/>
      <c r="J21" s="20" t="s">
        <v>29</v>
      </c>
      <c r="K21" s="4" t="s">
        <v>30</v>
      </c>
      <c r="L21" s="4">
        <f>VLOOKUP($K$21,$E$26:F63,2,FALSE)</f>
        <v>187.20000000000002</v>
      </c>
      <c r="M21" s="4">
        <f>L21*$F$38</f>
        <v>374.40000000000003</v>
      </c>
      <c r="N21" s="13">
        <f>M21*$F$24</f>
        <v>561600</v>
      </c>
      <c r="V21" s="19"/>
    </row>
    <row r="22" spans="2:22" s="4" customFormat="1" x14ac:dyDescent="0.2">
      <c r="B22" s="14"/>
      <c r="C22" s="278">
        <f>SUM(C17:C21)</f>
        <v>1289364.4198719999</v>
      </c>
      <c r="E22" s="12" t="s">
        <v>31</v>
      </c>
      <c r="F22" s="214">
        <v>1300000</v>
      </c>
      <c r="G22" s="103"/>
      <c r="I22" s="12"/>
      <c r="J22" s="70" t="s">
        <v>32</v>
      </c>
      <c r="K22" s="4" t="s">
        <v>33</v>
      </c>
      <c r="L22" s="4">
        <f>VLOOKUP($K$22,$E$21:F60,2,FALSE)</f>
        <v>24.150000000000002</v>
      </c>
      <c r="M22" s="4">
        <f>L22*$F$51</f>
        <v>72.45</v>
      </c>
      <c r="N22" s="13">
        <f>M22*$F$24</f>
        <v>108675</v>
      </c>
      <c r="V22" s="20"/>
    </row>
    <row r="23" spans="2:22" s="4" customFormat="1" x14ac:dyDescent="0.2">
      <c r="E23" s="12" t="s">
        <v>34</v>
      </c>
      <c r="F23" s="214">
        <v>1500000</v>
      </c>
      <c r="G23" s="103"/>
      <c r="I23" s="71" t="s">
        <v>35</v>
      </c>
      <c r="J23" s="72"/>
      <c r="K23" s="72"/>
      <c r="L23" s="72"/>
      <c r="M23" s="72">
        <f>SUM(M19:M22)</f>
        <v>571.8900000000001</v>
      </c>
      <c r="N23" s="73">
        <f>SUM(N19:N22)</f>
        <v>857835</v>
      </c>
      <c r="V23" s="70"/>
    </row>
    <row r="24" spans="2:22" s="4" customFormat="1" x14ac:dyDescent="0.2">
      <c r="E24" s="14" t="s">
        <v>18</v>
      </c>
      <c r="F24" s="95">
        <f>'Input_Q6-Predict'!C36</f>
        <v>1500</v>
      </c>
      <c r="G24" s="103" t="s">
        <v>36</v>
      </c>
      <c r="I24" s="14" t="s">
        <v>37</v>
      </c>
      <c r="J24" s="15"/>
      <c r="K24" s="15"/>
      <c r="L24" s="15"/>
      <c r="M24" s="15">
        <f>M23-M19</f>
        <v>535.8900000000001</v>
      </c>
      <c r="N24" s="16">
        <f>M24*F24</f>
        <v>803835.00000000012</v>
      </c>
    </row>
    <row r="25" spans="2:22" s="4" customFormat="1" x14ac:dyDescent="0.2">
      <c r="B25" s="71" t="s">
        <v>38</v>
      </c>
      <c r="C25" s="287">
        <f>IF(B9="Validation",Archived_Testing_Q5!B30, 'Q6-Predict'!C30/'Q6-Predict'!C29)</f>
        <v>0.95979324494949492</v>
      </c>
      <c r="E25" s="9" t="s">
        <v>21</v>
      </c>
      <c r="F25" s="10">
        <v>1</v>
      </c>
      <c r="G25" s="103" t="s">
        <v>39</v>
      </c>
    </row>
    <row r="26" spans="2:22" s="4" customFormat="1" x14ac:dyDescent="0.2">
      <c r="E26" s="12" t="s">
        <v>40</v>
      </c>
      <c r="F26" s="214">
        <v>20</v>
      </c>
      <c r="G26" s="103"/>
    </row>
    <row r="27" spans="2:22" s="4" customFormat="1" x14ac:dyDescent="0.2">
      <c r="B27" s="9" t="s">
        <v>41</v>
      </c>
      <c r="C27" s="289">
        <f>Archived_Testing_Q5!B17</f>
        <v>819</v>
      </c>
      <c r="E27" s="14" t="s">
        <v>22</v>
      </c>
      <c r="F27" s="283">
        <v>36</v>
      </c>
      <c r="G27" s="98"/>
    </row>
    <row r="28" spans="2:22" s="4" customFormat="1" x14ac:dyDescent="0.2">
      <c r="B28" s="12" t="s">
        <v>42</v>
      </c>
      <c r="C28" s="290">
        <f>INDEX(Data_Stock!B2:N11,MATCH("Left",Data_Stock!B2:B11,0),MATCH(VALUE(B8-1),Data_Stock!B2:N2,0))</f>
        <v>1056</v>
      </c>
      <c r="E28" s="9" t="s">
        <v>25</v>
      </c>
      <c r="F28" s="11">
        <v>2</v>
      </c>
      <c r="G28" s="103" t="s">
        <v>39</v>
      </c>
      <c r="P28" s="214"/>
      <c r="V28" s="19"/>
    </row>
    <row r="29" spans="2:22" s="4" customFormat="1" x14ac:dyDescent="0.2">
      <c r="B29" s="12" t="s">
        <v>43</v>
      </c>
      <c r="C29" s="291">
        <f>'Input_Q6-Predict'!C33</f>
        <v>1013.76</v>
      </c>
      <c r="E29" s="12" t="s">
        <v>44</v>
      </c>
      <c r="F29" s="13">
        <f>(1+F31)*F30</f>
        <v>43.2</v>
      </c>
      <c r="G29" s="103"/>
      <c r="V29" s="20"/>
    </row>
    <row r="30" spans="2:22" s="4" customFormat="1" x14ac:dyDescent="0.2">
      <c r="B30" s="12" t="str">
        <f>IF(B9="Validation","Actual Production","Predict Production")</f>
        <v>Predict Production</v>
      </c>
      <c r="C30" s="292">
        <f>'Input_Q6-Predict'!C35</f>
        <v>973</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c r="E32" s="12" t="s">
        <v>26</v>
      </c>
      <c r="F32" s="13">
        <f>(1+F34)*F33</f>
        <v>44.52</v>
      </c>
      <c r="G32" s="103"/>
      <c r="P32" s="214"/>
    </row>
    <row r="33" spans="2:14" s="4" customFormat="1" x14ac:dyDescent="0.2">
      <c r="B33" s="12" t="s">
        <v>48</v>
      </c>
      <c r="C33" s="222">
        <f>F24</f>
        <v>1500</v>
      </c>
      <c r="E33" s="67" t="s">
        <v>45</v>
      </c>
      <c r="F33" s="13">
        <v>42</v>
      </c>
      <c r="G33" s="103"/>
    </row>
    <row r="34" spans="2:14" s="4" customFormat="1" x14ac:dyDescent="0.2">
      <c r="B34" s="12" t="s">
        <v>49</v>
      </c>
      <c r="C34" s="222">
        <f>C28+F24-C29</f>
        <v>1542.24</v>
      </c>
      <c r="E34" s="67" t="s">
        <v>46</v>
      </c>
      <c r="F34" s="13">
        <v>0.06</v>
      </c>
      <c r="G34" s="103"/>
    </row>
    <row r="35" spans="2:14" s="4" customFormat="1" x14ac:dyDescent="0.2">
      <c r="B35" s="14" t="s">
        <v>50</v>
      </c>
      <c r="C35" s="288">
        <f>C34*M24</f>
        <v>826470.99360000016</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SUMPRODUCT(F73:I73,F71:I71)</f>
        <v>2561022</v>
      </c>
    </row>
    <row r="69" spans="2:11" s="4" customFormat="1" x14ac:dyDescent="0.2">
      <c r="B69" s="12" t="s">
        <v>61</v>
      </c>
      <c r="C69" s="221">
        <f>J75</f>
        <v>190565.01</v>
      </c>
      <c r="E69" s="9" t="str">
        <f>IF(B9="Validation","Actual S.C.R","Predict S.C.R")</f>
        <v>Predict S.C.R</v>
      </c>
      <c r="F69" s="311">
        <f>IF($B$9="Validation",F73/F72,'Input_Q6-Predict'!D29)</f>
        <v>0.9</v>
      </c>
      <c r="G69" s="311">
        <f>IF($B$9="Validation",G73/G72,'Input_Q6-Predict'!D30)</f>
        <v>0.9</v>
      </c>
      <c r="H69" s="311">
        <f>IF($B$9="Validation",H73/H72,'Input_Q6-Predict'!D31)</f>
        <v>0.9</v>
      </c>
      <c r="I69" s="311">
        <f>IF($B$9="Validation",I73/I72,'Input_Q6-Predict'!D32)</f>
        <v>0.9</v>
      </c>
      <c r="J69" s="11"/>
    </row>
    <row r="70" spans="2:11" s="4" customFormat="1" x14ac:dyDescent="0.2">
      <c r="B70" s="12" t="s">
        <v>62</v>
      </c>
      <c r="C70" s="318">
        <f>C68*C74</f>
        <v>153661.32</v>
      </c>
      <c r="E70" s="297" t="s">
        <v>63</v>
      </c>
      <c r="F70" s="298">
        <v>1</v>
      </c>
      <c r="G70" s="298">
        <v>2</v>
      </c>
      <c r="H70" s="298">
        <v>3</v>
      </c>
      <c r="I70" s="299">
        <v>4</v>
      </c>
      <c r="J70" s="299" t="s">
        <v>64</v>
      </c>
    </row>
    <row r="71" spans="2:11" s="4" customFormat="1" x14ac:dyDescent="0.2">
      <c r="B71" s="14"/>
      <c r="C71" s="319">
        <f>SUM(C68:C70)</f>
        <v>2905248.3299999996</v>
      </c>
      <c r="E71" s="300" t="s">
        <v>65</v>
      </c>
      <c r="F71" s="358">
        <f>'Input_Q6-Predict'!C10</f>
        <v>2799</v>
      </c>
      <c r="G71" s="358">
        <f>'Input_Q6-Predict'!C11</f>
        <v>2199</v>
      </c>
      <c r="H71" s="358">
        <f>'Input_Q6-Predict'!C12</f>
        <v>2799</v>
      </c>
      <c r="I71" s="358">
        <f>'Input_Q6-Predict'!C13</f>
        <v>2799</v>
      </c>
      <c r="J71" s="301" t="s">
        <v>66</v>
      </c>
      <c r="K71" s="363">
        <f>SUMPRODUCT(F71:I71,F72:I72)</f>
        <v>2851911</v>
      </c>
    </row>
    <row r="72" spans="2:11" s="4" customFormat="1" x14ac:dyDescent="0.2">
      <c r="E72" s="300" t="s">
        <v>67</v>
      </c>
      <c r="F72" s="272">
        <f>'Input_Q6-Predict'!C24</f>
        <v>163</v>
      </c>
      <c r="G72" s="272">
        <f>'Input_Q6-Predict'!C25</f>
        <v>327</v>
      </c>
      <c r="H72" s="272">
        <f>'Input_Q6-Predict'!C26</f>
        <v>54</v>
      </c>
      <c r="I72" s="272">
        <f>'Input_Q6-Predict'!C27</f>
        <v>545</v>
      </c>
      <c r="J72" s="303">
        <f>Archived_Testing_Q5!B19</f>
        <v>1600</v>
      </c>
      <c r="K72" s="4" t="s">
        <v>405</v>
      </c>
    </row>
    <row r="73" spans="2:11" s="4" customFormat="1" x14ac:dyDescent="0.2">
      <c r="D73" s="199"/>
      <c r="E73" s="300" t="str">
        <f>IF(B9="Validation","Actual Sale","Predict Sale")</f>
        <v>Predict Sale</v>
      </c>
      <c r="F73" s="273">
        <f>ROUNDDOWN(F69*F72,0)</f>
        <v>146</v>
      </c>
      <c r="G73" s="273">
        <f t="shared" ref="G73:I73" si="0">ROUNDDOWN(G69*G72,0)</f>
        <v>294</v>
      </c>
      <c r="H73" s="273">
        <f t="shared" si="0"/>
        <v>48</v>
      </c>
      <c r="I73" s="273">
        <f t="shared" si="0"/>
        <v>490</v>
      </c>
      <c r="J73" s="383">
        <f>SUM(F73:I73)</f>
        <v>978</v>
      </c>
    </row>
    <row r="74" spans="2:11" s="4" customFormat="1" x14ac:dyDescent="0.2">
      <c r="B74" s="9" t="s">
        <v>68</v>
      </c>
      <c r="C74" s="406">
        <f>'Input_Q6-Predict'!C39</f>
        <v>0.06</v>
      </c>
      <c r="D74" s="199"/>
      <c r="E74" s="300" t="s">
        <v>69</v>
      </c>
      <c r="F74" s="256">
        <f>Archived_Testing_Q5!B36</f>
        <v>7</v>
      </c>
      <c r="G74" s="256">
        <f>Archived_Testing_Q5!B37</f>
        <v>7</v>
      </c>
      <c r="H74" s="256">
        <f>Archived_Testing_Q5!B38</f>
        <v>1</v>
      </c>
      <c r="I74" s="256">
        <f>Archived_Testing_Q5!B39</f>
        <v>7</v>
      </c>
      <c r="J74" s="301"/>
    </row>
    <row r="75" spans="2:11" s="4" customFormat="1" x14ac:dyDescent="0.2">
      <c r="B75" s="12" t="s">
        <v>70</v>
      </c>
      <c r="C75" s="221">
        <f>J72</f>
        <v>1600</v>
      </c>
      <c r="D75" s="357"/>
      <c r="E75" s="300" t="s">
        <v>71</v>
      </c>
      <c r="F75" s="312">
        <f>F72*F71*F74/100</f>
        <v>31936.59</v>
      </c>
      <c r="G75" s="312">
        <f>G72*G71*G74/100</f>
        <v>50335.11</v>
      </c>
      <c r="H75" s="312">
        <f>H72*H71*H74/100</f>
        <v>1511.46</v>
      </c>
      <c r="I75" s="304">
        <f>I72*I71*I74/100</f>
        <v>106781.85</v>
      </c>
      <c r="J75" s="304">
        <f>SUM(F75:I75)</f>
        <v>190565.01</v>
      </c>
    </row>
    <row r="76" spans="2:11" s="4" customFormat="1" x14ac:dyDescent="0.2">
      <c r="B76" s="12" t="s">
        <v>72</v>
      </c>
      <c r="C76" s="221">
        <f>J73</f>
        <v>978</v>
      </c>
      <c r="D76" s="199"/>
      <c r="E76" s="300" t="s">
        <v>73</v>
      </c>
      <c r="F76" s="256">
        <f>'Input_Q6-Predict'!$C46</f>
        <v>0</v>
      </c>
      <c r="G76" s="256">
        <f>'Input_Q6-Predict'!$C47</f>
        <v>0</v>
      </c>
      <c r="H76" s="256">
        <f>'Input_Q6-Predict'!$C48</f>
        <v>0</v>
      </c>
      <c r="I76" s="256">
        <f>'Input_Q6-Predict'!$C49</f>
        <v>0</v>
      </c>
      <c r="J76" s="301" t="s">
        <v>66</v>
      </c>
    </row>
    <row r="77" spans="2:11" s="4" customFormat="1" x14ac:dyDescent="0.2">
      <c r="B77" s="14" t="s">
        <v>74</v>
      </c>
      <c r="C77" s="319">
        <f>C75-C76</f>
        <v>622</v>
      </c>
      <c r="D77" s="199"/>
      <c r="E77" s="305" t="s">
        <v>75</v>
      </c>
      <c r="F77" s="306">
        <f>INDEX(Data_EmployeeNumber!$A$4:$E$16,MATCH('Q6-Predict'!$B$8-1,Data_EmployeeNumber!$A$4:$A$16,0),MATCH('Q6-Predict'!F70,Data_EmployeeNumber!$A$4:$E$4,0))+'Q6-Predict'!F76</f>
        <v>2</v>
      </c>
      <c r="G77" s="306">
        <f>INDEX(Data_EmployeeNumber!$A$4:$E$16,MATCH('Q6-Predict'!$B$8-1,Data_EmployeeNumber!$A$4:$A$16,0),MATCH('Q6-Predict'!G70,Data_EmployeeNumber!$A$4:$E$4,0))+'Q6-Predict'!G76</f>
        <v>3</v>
      </c>
      <c r="H77" s="306">
        <f>INDEX(Data_EmployeeNumber!$A$4:$E$16,MATCH('Q6-Predict'!$B$8-1,Data_EmployeeNumber!$A$4:$A$16,0),MATCH('Q6-Predict'!H70,Data_EmployeeNumber!$A$4:$E$4,0))+'Q6-Predict'!H76</f>
        <v>2</v>
      </c>
      <c r="I77" s="306">
        <f>INDEX(Data_EmployeeNumber!$A$4:$E$16,MATCH('Q6-Predict'!$B$8-1,Data_EmployeeNumber!$A$4:$A$16,0),MATCH('Q6-Predict'!I70,Data_EmployeeNumber!$A$4:$E$4,0))+'Q6-Predict'!I76</f>
        <v>4</v>
      </c>
      <c r="J77" s="307">
        <f>SUM(F77:I77)</f>
        <v>11</v>
      </c>
    </row>
    <row r="78" spans="2:11" s="4" customFormat="1" x14ac:dyDescent="0.2">
      <c r="E78" s="300" t="s">
        <v>76</v>
      </c>
      <c r="F78" s="296">
        <v>941</v>
      </c>
      <c r="G78" s="296">
        <v>638</v>
      </c>
      <c r="H78" s="296">
        <v>706</v>
      </c>
      <c r="I78" s="301">
        <v>1075</v>
      </c>
      <c r="J78" s="301"/>
    </row>
    <row r="79" spans="2:11" s="4" customFormat="1" x14ac:dyDescent="0.2">
      <c r="E79" s="305" t="s">
        <v>78</v>
      </c>
      <c r="F79" s="308">
        <f>F73/F78</f>
        <v>0.15515409139213601</v>
      </c>
      <c r="G79" s="308">
        <f>G73/G78</f>
        <v>0.46081504702194359</v>
      </c>
      <c r="H79" s="308">
        <f>H73/H78</f>
        <v>6.79886685552408E-2</v>
      </c>
      <c r="I79" s="317">
        <f>I73/I78</f>
        <v>0.45581395348837211</v>
      </c>
      <c r="J79" s="309"/>
    </row>
    <row r="80" spans="2:11" s="4" customFormat="1" x14ac:dyDescent="0.2">
      <c r="E80" s="296" t="s">
        <v>79</v>
      </c>
      <c r="F80" s="367">
        <v>39.229999999999997</v>
      </c>
      <c r="G80" s="310">
        <v>0</v>
      </c>
      <c r="H80" s="310">
        <v>45.3</v>
      </c>
      <c r="I80" s="310">
        <v>57</v>
      </c>
      <c r="J80" s="296"/>
    </row>
    <row r="81" spans="1:12" s="4" customFormat="1" x14ac:dyDescent="0.2">
      <c r="E81" s="296"/>
      <c r="F81" s="367"/>
      <c r="G81" s="367"/>
      <c r="H81" s="367"/>
      <c r="I81" s="367"/>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I98</f>
        <v>304200</v>
      </c>
      <c r="D92" s="214"/>
      <c r="E92" s="71" t="s">
        <v>82</v>
      </c>
      <c r="F92" s="329">
        <f>'Input_Q6-Predict'!C50</f>
        <v>5200</v>
      </c>
      <c r="H92" s="71" t="s">
        <v>82</v>
      </c>
      <c r="I92" s="72" t="s">
        <v>83</v>
      </c>
      <c r="J92" s="72" t="s">
        <v>84</v>
      </c>
      <c r="K92" s="72" t="s">
        <v>85</v>
      </c>
      <c r="L92" s="73" t="s">
        <v>86</v>
      </c>
    </row>
    <row r="93" spans="1:12" s="4" customFormat="1" x14ac:dyDescent="0.2">
      <c r="B93" s="12" t="s">
        <v>87</v>
      </c>
      <c r="C93" s="217">
        <f>K103</f>
        <v>70000</v>
      </c>
      <c r="D93" s="214"/>
      <c r="H93" s="12" t="s">
        <v>88</v>
      </c>
      <c r="I93" s="214">
        <f>$F$92*K93</f>
        <v>26000</v>
      </c>
      <c r="J93" s="4">
        <v>1</v>
      </c>
      <c r="K93" s="4">
        <v>5</v>
      </c>
      <c r="L93" s="13">
        <f>J93*K93</f>
        <v>5</v>
      </c>
    </row>
    <row r="94" spans="1:12" s="4" customFormat="1" x14ac:dyDescent="0.2">
      <c r="B94" s="12" t="s">
        <v>89</v>
      </c>
      <c r="C94" s="217">
        <f>K104</f>
        <v>10000</v>
      </c>
      <c r="D94" s="321"/>
      <c r="E94" s="71" t="s">
        <v>90</v>
      </c>
      <c r="F94" s="73"/>
      <c r="H94" s="12" t="s">
        <v>91</v>
      </c>
      <c r="I94" s="214">
        <f>$F$92*K94</f>
        <v>5200</v>
      </c>
      <c r="J94" s="4">
        <v>35</v>
      </c>
      <c r="K94" s="4">
        <v>1</v>
      </c>
      <c r="L94" s="13">
        <f>J94*K94</f>
        <v>35</v>
      </c>
    </row>
    <row r="95" spans="1:12" s="4" customFormat="1" x14ac:dyDescent="0.2">
      <c r="B95" s="12" t="s">
        <v>92</v>
      </c>
      <c r="C95" s="217">
        <f>K105</f>
        <v>47000</v>
      </c>
      <c r="E95" s="12" t="s">
        <v>93</v>
      </c>
      <c r="F95" s="327">
        <v>10000</v>
      </c>
      <c r="H95" s="12" t="s">
        <v>94</v>
      </c>
      <c r="I95" s="214">
        <f>$F$92*K95</f>
        <v>13000</v>
      </c>
      <c r="J95" s="4">
        <v>3</v>
      </c>
      <c r="K95" s="4">
        <v>2.5</v>
      </c>
      <c r="L95" s="13">
        <f>J95*K95</f>
        <v>7.5</v>
      </c>
    </row>
    <row r="96" spans="1:12" s="4" customFormat="1" x14ac:dyDescent="0.2">
      <c r="B96" s="71"/>
      <c r="C96" s="324">
        <f>SUM(C92:C95)</f>
        <v>431200</v>
      </c>
      <c r="E96" s="12" t="s">
        <v>95</v>
      </c>
      <c r="F96" s="194">
        <f>'Input_Q6-Predict'!C51</f>
        <v>7</v>
      </c>
      <c r="H96" s="12" t="s">
        <v>96</v>
      </c>
      <c r="I96" s="214">
        <f>$F$92*K96</f>
        <v>5200</v>
      </c>
      <c r="J96" s="4">
        <f>J77</f>
        <v>11</v>
      </c>
      <c r="K96" s="4">
        <v>1</v>
      </c>
      <c r="L96" s="13">
        <f>J96*K96</f>
        <v>11</v>
      </c>
    </row>
    <row r="97" spans="1:12" s="4" customFormat="1" x14ac:dyDescent="0.2">
      <c r="E97" s="12" t="s">
        <v>97</v>
      </c>
      <c r="F97" s="217">
        <v>2000</v>
      </c>
      <c r="H97" s="12" t="s">
        <v>64</v>
      </c>
      <c r="I97" s="4" t="s">
        <v>66</v>
      </c>
      <c r="J97" s="4">
        <f>SUM(J93:J96)</f>
        <v>50</v>
      </c>
      <c r="K97" s="4" t="s">
        <v>66</v>
      </c>
      <c r="L97" s="13">
        <f>SUM(L93:L96)</f>
        <v>58.5</v>
      </c>
    </row>
    <row r="98" spans="1:12" s="4" customFormat="1" x14ac:dyDescent="0.2">
      <c r="B98" s="71" t="s">
        <v>98</v>
      </c>
      <c r="C98" s="73" t="s">
        <v>406</v>
      </c>
      <c r="E98" s="14" t="s">
        <v>95</v>
      </c>
      <c r="F98" s="76">
        <f>'Input_Q6-Predict'!C52</f>
        <v>5</v>
      </c>
      <c r="H98" s="14" t="s">
        <v>99</v>
      </c>
      <c r="I98" s="322">
        <f>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F92</f>
        <v>5200</v>
      </c>
      <c r="J102" s="4">
        <f>L97</f>
        <v>58.5</v>
      </c>
      <c r="K102" s="217">
        <f>I102*J102</f>
        <v>304200</v>
      </c>
    </row>
    <row r="103" spans="1:12" s="4" customFormat="1" x14ac:dyDescent="0.2">
      <c r="E103" s="12" t="s">
        <v>106</v>
      </c>
      <c r="F103" s="217">
        <v>175</v>
      </c>
      <c r="H103" s="12" t="s">
        <v>93</v>
      </c>
      <c r="I103" s="214">
        <f>F95</f>
        <v>10000</v>
      </c>
      <c r="J103" s="4">
        <f>F96</f>
        <v>7</v>
      </c>
      <c r="K103" s="217">
        <f>F95*J103</f>
        <v>70000</v>
      </c>
    </row>
    <row r="104" spans="1:12" s="4" customFormat="1" ht="17" customHeight="1" x14ac:dyDescent="0.2">
      <c r="E104" s="12" t="s">
        <v>107</v>
      </c>
      <c r="F104" s="217">
        <v>400</v>
      </c>
      <c r="H104" s="12" t="s">
        <v>97</v>
      </c>
      <c r="I104" s="214">
        <f>F97</f>
        <v>2000</v>
      </c>
      <c r="J104" s="4">
        <f>F98</f>
        <v>5</v>
      </c>
      <c r="K104" s="217">
        <f>F97*J104</f>
        <v>10000</v>
      </c>
    </row>
    <row r="105" spans="1:12" s="4" customFormat="1" x14ac:dyDescent="0.2">
      <c r="E105" s="12" t="s">
        <v>108</v>
      </c>
      <c r="F105" s="217">
        <v>280</v>
      </c>
      <c r="H105" s="12" t="s">
        <v>109</v>
      </c>
      <c r="I105" s="214">
        <f>F102+F106+F107+F108</f>
        <v>940</v>
      </c>
      <c r="J105" s="4">
        <f>J97</f>
        <v>50</v>
      </c>
      <c r="K105" s="217">
        <f>I105*J105</f>
        <v>47000</v>
      </c>
    </row>
    <row r="106" spans="1:12" s="4" customFormat="1" x14ac:dyDescent="0.2">
      <c r="E106" s="325" t="s">
        <v>110</v>
      </c>
      <c r="F106" s="217">
        <v>350</v>
      </c>
      <c r="H106" s="14"/>
      <c r="I106" s="15"/>
      <c r="J106" s="15"/>
      <c r="K106" s="278">
        <f>SUM(K102:K105)</f>
        <v>431200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199" t="s">
        <v>114</v>
      </c>
      <c r="C113" s="199">
        <f>200000</f>
        <v>200000</v>
      </c>
    </row>
    <row r="114" spans="1:22" s="4" customFormat="1" x14ac:dyDescent="0.2">
      <c r="B114" s="199" t="s">
        <v>115</v>
      </c>
      <c r="C114" s="199">
        <f>2*0.019</f>
        <v>3.7999999999999999E-2</v>
      </c>
    </row>
    <row r="115" spans="1:22" s="4" customFormat="1" x14ac:dyDescent="0.2">
      <c r="B115" s="199" t="s">
        <v>116</v>
      </c>
      <c r="C115" s="199">
        <f>C113*C114</f>
        <v>7600</v>
      </c>
    </row>
    <row r="116" spans="1:22" s="4" customFormat="1" x14ac:dyDescent="0.2">
      <c r="B116" s="4" t="s">
        <v>117</v>
      </c>
      <c r="C116" s="69">
        <f>Archived_Testing_Q5!B48</f>
        <v>40000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407</v>
      </c>
    </row>
    <row r="121" spans="1:22" s="4" customFormat="1" x14ac:dyDescent="0.2"/>
    <row r="122" spans="1:22" s="4" customFormat="1" x14ac:dyDescent="0.2">
      <c r="B122" s="4" t="s">
        <v>119</v>
      </c>
    </row>
    <row r="123" spans="1:22" s="4" customFormat="1" x14ac:dyDescent="0.2">
      <c r="B123" s="9" t="s">
        <v>60</v>
      </c>
      <c r="C123" s="334">
        <f>IFERROR(VLOOKUP(B123,$B$14:$C$121,2,FALSE),0)</f>
        <v>2561022</v>
      </c>
      <c r="D123" s="286"/>
      <c r="E123" s="286"/>
    </row>
    <row r="124" spans="1:22" s="4" customFormat="1" x14ac:dyDescent="0.2">
      <c r="B124" s="275" t="s">
        <v>120</v>
      </c>
      <c r="C124" s="366">
        <f>IF(B9="Validation",E124,(C74+0.125)*C123+J73*M23)</f>
        <v>1033097.49</v>
      </c>
      <c r="D124" s="302" t="s">
        <v>297</v>
      </c>
      <c r="E124" s="268">
        <f>1444533.05</f>
        <v>1444533.05</v>
      </c>
      <c r="F124" s="9" t="s">
        <v>400</v>
      </c>
      <c r="G124" s="9" t="s">
        <v>122</v>
      </c>
      <c r="H124" s="331"/>
      <c r="I124" s="10">
        <f>H124/$H$128</f>
        <v>0</v>
      </c>
      <c r="J124" s="11"/>
    </row>
    <row r="125" spans="1:22" s="4" customFormat="1" x14ac:dyDescent="0.2">
      <c r="B125" s="12" t="s">
        <v>123</v>
      </c>
      <c r="C125" s="336">
        <f>C123-C124</f>
        <v>1527924.51</v>
      </c>
      <c r="F125" s="12"/>
      <c r="G125" s="12" t="s">
        <v>124</v>
      </c>
      <c r="H125" s="279">
        <f>SUMIF(D127:D139,"FC",C127:C139)</f>
        <v>1046294.429872</v>
      </c>
      <c r="I125" s="4">
        <f>H125/$H$128</f>
        <v>1069.830705390593</v>
      </c>
      <c r="J125" s="13"/>
    </row>
    <row r="126" spans="1:22" s="4" customFormat="1" x14ac:dyDescent="0.2">
      <c r="B126" s="12" t="s">
        <v>125</v>
      </c>
      <c r="C126" s="336"/>
      <c r="F126" s="12"/>
      <c r="G126" s="12" t="s">
        <v>120</v>
      </c>
      <c r="H126" s="279">
        <f>C124</f>
        <v>1033097.49</v>
      </c>
      <c r="I126" s="4">
        <f>H126/$H$128</f>
        <v>1056.3369018404908</v>
      </c>
      <c r="J126" s="13"/>
    </row>
    <row r="127" spans="1:22" s="4" customFormat="1" x14ac:dyDescent="0.2">
      <c r="B127" s="12" t="s">
        <v>27</v>
      </c>
      <c r="C127" s="336">
        <v>280000</v>
      </c>
      <c r="D127" s="4" t="s">
        <v>124</v>
      </c>
      <c r="F127" s="12"/>
      <c r="G127" s="12" t="s">
        <v>127</v>
      </c>
      <c r="H127" s="279">
        <f>SUM(H124:H126)</f>
        <v>2079391.9198719999</v>
      </c>
      <c r="J127" s="13"/>
    </row>
    <row r="128" spans="1:22" s="4" customFormat="1" x14ac:dyDescent="0.2">
      <c r="B128" s="12" t="s">
        <v>81</v>
      </c>
      <c r="C128" s="336">
        <f t="shared" ref="C128:C136" si="1">IFERROR(VLOOKUP(B128,$B$14:$C$121,2,FALSE),0)</f>
        <v>304200</v>
      </c>
      <c r="D128" s="4" t="s">
        <v>124</v>
      </c>
      <c r="F128" s="12"/>
      <c r="G128" s="12" t="s">
        <v>128</v>
      </c>
      <c r="H128" s="302">
        <f>C76</f>
        <v>978</v>
      </c>
      <c r="J128" s="13"/>
    </row>
    <row r="129" spans="2:10" s="4" customFormat="1" x14ac:dyDescent="0.2">
      <c r="B129" s="12" t="s">
        <v>87</v>
      </c>
      <c r="C129" s="336">
        <f t="shared" si="1"/>
        <v>70000</v>
      </c>
      <c r="D129" s="4" t="s">
        <v>124</v>
      </c>
      <c r="F129" s="12"/>
      <c r="G129" s="12" t="s">
        <v>129</v>
      </c>
      <c r="H129" s="339">
        <f>H127/H128</f>
        <v>2126.1676072310838</v>
      </c>
      <c r="J129" s="13"/>
    </row>
    <row r="130" spans="2:10" s="4" customFormat="1" x14ac:dyDescent="0.2">
      <c r="B130" s="12" t="s">
        <v>92</v>
      </c>
      <c r="C130" s="336">
        <f t="shared" si="1"/>
        <v>47000</v>
      </c>
      <c r="D130" s="4" t="s">
        <v>122</v>
      </c>
      <c r="F130" s="12"/>
      <c r="G130" s="12"/>
      <c r="J130" s="13"/>
    </row>
    <row r="131" spans="2:10" s="4" customFormat="1" x14ac:dyDescent="0.2">
      <c r="B131" s="12" t="s">
        <v>89</v>
      </c>
      <c r="C131" s="336">
        <f t="shared" si="1"/>
        <v>10000</v>
      </c>
      <c r="D131" s="4" t="s">
        <v>124</v>
      </c>
      <c r="F131" s="12"/>
      <c r="G131" s="12" t="s">
        <v>130</v>
      </c>
      <c r="H131" s="286">
        <v>0.1</v>
      </c>
      <c r="I131" s="286">
        <v>0.2</v>
      </c>
      <c r="J131" s="332">
        <v>0.3</v>
      </c>
    </row>
    <row r="132" spans="2:10" s="4" customFormat="1" x14ac:dyDescent="0.2">
      <c r="B132" s="12" t="s">
        <v>131</v>
      </c>
      <c r="C132" s="336">
        <f t="shared" si="1"/>
        <v>0</v>
      </c>
      <c r="F132" s="340"/>
      <c r="G132" s="14" t="s">
        <v>132</v>
      </c>
      <c r="H132" s="333">
        <f>$H$129*(1+H131)</f>
        <v>2338.7843679541925</v>
      </c>
      <c r="I132" s="333">
        <f>$H$129*(1+I131)</f>
        <v>2551.4011286773007</v>
      </c>
      <c r="J132" s="341">
        <f>$H$129*(1+J131)</f>
        <v>2764.0178894004089</v>
      </c>
    </row>
    <row r="133" spans="2:10" s="4" customFormat="1" x14ac:dyDescent="0.2">
      <c r="B133" s="12" t="s">
        <v>11</v>
      </c>
      <c r="C133" s="336">
        <f t="shared" si="1"/>
        <v>135000</v>
      </c>
      <c r="D133" s="4" t="s">
        <v>124</v>
      </c>
      <c r="F133" s="12"/>
      <c r="G133" s="4" t="s">
        <v>133</v>
      </c>
      <c r="H133" s="302">
        <f>H132-$H$129</f>
        <v>212.61676072310865</v>
      </c>
      <c r="I133" s="302">
        <f>I132-$H$129</f>
        <v>425.23352144621686</v>
      </c>
      <c r="J133" s="318">
        <f>J132-$H$129</f>
        <v>637.85028216932506</v>
      </c>
    </row>
    <row r="134" spans="2:10" s="4" customFormat="1" x14ac:dyDescent="0.2">
      <c r="B134" s="12" t="s">
        <v>61</v>
      </c>
      <c r="C134" s="336">
        <f t="shared" si="1"/>
        <v>190565.01</v>
      </c>
      <c r="D134" s="4" t="s">
        <v>124</v>
      </c>
      <c r="F134" s="12" t="s">
        <v>401</v>
      </c>
      <c r="G134" s="4" t="s">
        <v>134</v>
      </c>
      <c r="H134" s="355">
        <f>H133/H132</f>
        <v>9.0909090909091009E-2</v>
      </c>
      <c r="I134" s="355">
        <f>I133/I132</f>
        <v>0.16666666666666669</v>
      </c>
      <c r="J134" s="326">
        <f>J133/J132</f>
        <v>0.23076923076923075</v>
      </c>
    </row>
    <row r="135" spans="2:10" s="4" customFormat="1" x14ac:dyDescent="0.2">
      <c r="B135" s="12" t="s">
        <v>23</v>
      </c>
      <c r="C135" s="336">
        <f>IFERROR(VLOOKUP(B135,$B$14:$C$121,2,FALSE),0)</f>
        <v>16529.419872000002</v>
      </c>
      <c r="D135" s="4" t="s">
        <v>124</v>
      </c>
      <c r="F135" s="12" t="s">
        <v>402</v>
      </c>
      <c r="G135" s="4" t="s">
        <v>135</v>
      </c>
      <c r="H135" s="279">
        <f>$H$125/H134</f>
        <v>11509238.728591988</v>
      </c>
      <c r="I135" s="279">
        <f>$H$125/I134</f>
        <v>6277766.5792319998</v>
      </c>
      <c r="J135" s="281">
        <f>$H$125/J134</f>
        <v>4533942.5294453334</v>
      </c>
    </row>
    <row r="136" spans="2:10" s="4" customFormat="1" x14ac:dyDescent="0.2">
      <c r="B136" s="12" t="s">
        <v>117</v>
      </c>
      <c r="C136" s="336">
        <f t="shared" si="1"/>
        <v>40000</v>
      </c>
      <c r="D136" s="4" t="s">
        <v>124</v>
      </c>
      <c r="F136" s="14"/>
      <c r="G136" s="15" t="s">
        <v>136</v>
      </c>
      <c r="H136" s="15">
        <f>H135/H132</f>
        <v>4921.0345709038056</v>
      </c>
      <c r="I136" s="15">
        <f>I135/I132</f>
        <v>2460.5172854519055</v>
      </c>
      <c r="J136" s="16">
        <f>J135/J132</f>
        <v>1640.3448569679372</v>
      </c>
    </row>
    <row r="137" spans="2:10" s="4" customFormat="1" x14ac:dyDescent="0.2">
      <c r="B137" s="275" t="s">
        <v>137</v>
      </c>
      <c r="C137" s="335" cm="1">
        <f t="array" ref="C137">IF(B9="Validation",E137,SUMPRODUCT(F80:I80*F73:I73))</f>
        <v>35831.979999999996</v>
      </c>
      <c r="D137" s="380" t="s">
        <v>408</v>
      </c>
      <c r="E137" s="4">
        <v>61890</v>
      </c>
    </row>
    <row r="138" spans="2:10" s="4" customFormat="1" x14ac:dyDescent="0.2">
      <c r="B138" s="12" t="s">
        <v>139</v>
      </c>
      <c r="C138" s="336">
        <f>IFERROR(VLOOKUP(B138,$B$14:$C$121,2,FALSE),0)</f>
        <v>0</v>
      </c>
    </row>
    <row r="139" spans="2:10" s="4" customFormat="1" x14ac:dyDescent="0.2">
      <c r="B139" s="365" t="s">
        <v>140</v>
      </c>
      <c r="C139" s="366">
        <f>'Input_Q6-Predict'!C18</f>
        <v>0</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SUM(C127:C141)</f>
        <v>1129126.4098720001</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C125-C142</f>
        <v>398798.1001279999</v>
      </c>
    </row>
    <row r="148" spans="2:5" s="4" customFormat="1" x14ac:dyDescent="0.2">
      <c r="B148" s="12" t="s">
        <v>147</v>
      </c>
      <c r="C148" s="13">
        <f>IF(C147&gt;0,C147*0.15,0)</f>
        <v>59819.715019199983</v>
      </c>
    </row>
    <row r="149" spans="2:5" s="4" customFormat="1" x14ac:dyDescent="0.2">
      <c r="B149" s="12" t="s">
        <v>148</v>
      </c>
      <c r="C149" s="336">
        <f>C147-C148</f>
        <v>338978.38510879991</v>
      </c>
    </row>
    <row r="150" spans="2:5" s="4" customFormat="1" x14ac:dyDescent="0.2">
      <c r="B150" s="12" t="s">
        <v>119</v>
      </c>
      <c r="C150" s="13"/>
    </row>
    <row r="151" spans="2:5" s="4" customFormat="1" x14ac:dyDescent="0.2">
      <c r="B151" s="12" t="s">
        <v>149</v>
      </c>
      <c r="C151" s="368">
        <f>INDEX(Data_IncomeStatement!A1:M33,MATCH("PROFIT AND LOSS STATEMENT RESULTS",Data_IncomeStatement!A1:A33,0),MATCH(VALUE(B8-1),Data_IncomeStatement!A1:M1,0))</f>
        <v>-955066.65</v>
      </c>
    </row>
    <row r="152" spans="2:5" s="4" customFormat="1" x14ac:dyDescent="0.2">
      <c r="B152" s="12" t="s">
        <v>148</v>
      </c>
      <c r="C152" s="336">
        <f>C149+C151</f>
        <v>-616088.26489120012</v>
      </c>
    </row>
    <row r="153" spans="2:5" s="4" customFormat="1" x14ac:dyDescent="0.2">
      <c r="B153" s="12" t="s">
        <v>150</v>
      </c>
      <c r="C153" s="13">
        <v>0</v>
      </c>
    </row>
    <row r="154" spans="2:5" s="4" customFormat="1" x14ac:dyDescent="0.2">
      <c r="B154" s="14" t="s">
        <v>151</v>
      </c>
      <c r="C154" s="337">
        <f>C152+C153</f>
        <v>-616088.26489120012</v>
      </c>
    </row>
    <row r="155" spans="2:5" s="4" customFormat="1" x14ac:dyDescent="0.2"/>
    <row r="156" spans="2:5" s="4" customFormat="1" x14ac:dyDescent="0.2">
      <c r="C156" s="330"/>
      <c r="D156" s="214"/>
      <c r="E156" s="279"/>
    </row>
    <row r="157" spans="2:5" s="4" customFormat="1" x14ac:dyDescent="0.2"/>
    <row r="158" spans="2:5" s="4" customFormat="1" x14ac:dyDescent="0.2"/>
    <row r="159" spans="2:5" s="4" customFormat="1" x14ac:dyDescent="0.2"/>
    <row r="160" spans="2:5" s="4" customFormat="1" x14ac:dyDescent="0.2"/>
    <row r="161" s="4" customFormat="1" x14ac:dyDescent="0.2"/>
    <row r="162" s="4" customFormat="1" x14ac:dyDescent="0.2"/>
    <row r="163" s="4" customFormat="1" x14ac:dyDescent="0.2"/>
    <row r="164" s="4" customFormat="1" x14ac:dyDescent="0.2"/>
    <row r="165" s="4" customFormat="1" x14ac:dyDescent="0.2"/>
    <row r="166" s="4" customFormat="1" x14ac:dyDescent="0.2"/>
    <row r="167" s="4" customFormat="1" x14ac:dyDescent="0.2"/>
    <row r="168" s="4" customFormat="1" x14ac:dyDescent="0.2"/>
    <row r="169" s="4" customFormat="1" x14ac:dyDescent="0.2"/>
    <row r="170" s="4" customFormat="1" x14ac:dyDescent="0.2"/>
    <row r="171" s="4" customFormat="1" x14ac:dyDescent="0.2"/>
    <row r="172" s="4" customFormat="1" x14ac:dyDescent="0.2"/>
    <row r="173" s="4" customFormat="1" x14ac:dyDescent="0.2"/>
    <row r="174"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6C5A2309-0EDC-1647-8585-6E7FFDD6A10E}">
          <x14:formula1>
            <xm:f>Reference!$A$14:$A$26</xm:f>
          </x14:formula1>
          <xm:sqref>B8</xm:sqref>
        </x14:dataValidation>
        <x14:dataValidation type="list" allowBlank="1" showInputMessage="1" showErrorMessage="1" xr:uid="{77FAF58E-481D-7C49-973A-CCC7B79E56EF}">
          <x14:formula1>
            <xm:f>Reference!$A$10:$A$12</xm:f>
          </x14:formula1>
          <xm:sqref>D124</xm:sqref>
        </x14:dataValidation>
        <x14:dataValidation type="list" allowBlank="1" showInputMessage="1" showErrorMessage="1" xr:uid="{94A4B52E-0EEE-144F-A69F-34FB0901EC02}">
          <x14:formula1>
            <xm:f>Reference!$A$6:$A$8</xm:f>
          </x14:formula1>
          <xm:sqref>B9</xm:sqref>
        </x14:dataValidation>
        <x14:dataValidation type="list" allowBlank="1" showInputMessage="1" showErrorMessage="1" xr:uid="{E8C11537-9E90-894A-901F-C3E08716061E}">
          <x14:formula1>
            <xm:f>Reference!$C$1:$C$5</xm:f>
          </x14:formula1>
          <xm:sqref>W22 W29 K21</xm:sqref>
        </x14:dataValidation>
        <x14:dataValidation type="list" allowBlank="1" showInputMessage="1" showErrorMessage="1" xr:uid="{04441AE8-5AB0-C447-971C-B4AEFE0BFD7C}">
          <x14:formula1>
            <xm:f>Reference!$A$1:$A$3</xm:f>
          </x14:formula1>
          <xm:sqref>W20 W27 K19</xm:sqref>
        </x14:dataValidation>
        <x14:dataValidation type="list" allowBlank="1" showInputMessage="1" showErrorMessage="1" xr:uid="{5DB6CC67-35DE-8B4D-A963-F9BB4259BE35}">
          <x14:formula1>
            <xm:f>Reference!$D$1:$D$4</xm:f>
          </x14:formula1>
          <xm:sqref>W23 W30 K22</xm:sqref>
        </x14:dataValidation>
        <x14:dataValidation type="list" allowBlank="1" showInputMessage="1" showErrorMessage="1" xr:uid="{FADDEC80-32F1-C146-AD4D-F88DB39D822A}">
          <x14:formula1>
            <xm:f>Reference!$B$1:$B$4</xm:f>
          </x14:formula1>
          <xm:sqref>W21 W28 K20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3010C-DC86-CE4F-954A-458DFC92CA44}">
  <sheetPr>
    <tabColor theme="2" tint="-9.9978637043366805E-2"/>
  </sheetPr>
  <dimension ref="A1:V174"/>
  <sheetViews>
    <sheetView topLeftCell="A62" zoomScale="131" zoomScaleNormal="120" workbookViewId="0">
      <selection activeCell="C33" sqref="C33"/>
    </sheetView>
  </sheetViews>
  <sheetFormatPr baseColWidth="10" defaultColWidth="11" defaultRowHeight="16" x14ac:dyDescent="0.2"/>
  <cols>
    <col min="1" max="1" width="5.6640625" style="4" customWidth="1"/>
    <col min="2" max="2" width="33.33203125" bestFit="1" customWidth="1"/>
    <col min="3" max="3" width="14" bestFit="1" customWidth="1"/>
    <col min="4" max="4" width="15.1640625"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4"/>
      <c r="C2" s="4"/>
      <c r="D2" s="4"/>
      <c r="E2" s="4"/>
      <c r="F2" s="4"/>
      <c r="G2" s="4"/>
      <c r="H2" s="4"/>
      <c r="I2" s="4"/>
      <c r="J2" s="4"/>
      <c r="K2" s="4"/>
      <c r="L2" s="4"/>
      <c r="M2" s="4"/>
      <c r="N2" s="4"/>
      <c r="O2" s="4"/>
      <c r="P2" s="4"/>
      <c r="Q2" s="4"/>
      <c r="R2" s="4"/>
      <c r="S2" s="4"/>
      <c r="T2" s="4"/>
      <c r="U2" s="4"/>
      <c r="V2" s="4"/>
    </row>
    <row r="3" spans="1:22" x14ac:dyDescent="0.2">
      <c r="B3" s="4"/>
      <c r="C3" s="4"/>
      <c r="D3" s="4"/>
      <c r="E3" s="4"/>
      <c r="F3" s="4"/>
      <c r="G3" s="4"/>
      <c r="H3" s="4"/>
      <c r="I3" s="4"/>
      <c r="J3" s="4"/>
      <c r="K3" s="4"/>
      <c r="L3" s="4"/>
      <c r="M3" s="4"/>
      <c r="N3" s="4"/>
      <c r="O3" s="4"/>
      <c r="P3" s="4"/>
      <c r="Q3" s="4"/>
      <c r="R3" s="4"/>
      <c r="S3" s="4"/>
      <c r="T3" s="4"/>
      <c r="U3" s="4"/>
      <c r="V3" s="4"/>
    </row>
    <row r="4" spans="1:22" s="4" customFormat="1" x14ac:dyDescent="0.2"/>
    <row r="5" spans="1:22" s="4" customFormat="1" x14ac:dyDescent="0.2"/>
    <row r="6" spans="1:22" s="4" customFormat="1" x14ac:dyDescent="0.2"/>
    <row r="7" spans="1:22" s="4" customFormat="1" x14ac:dyDescent="0.2"/>
    <row r="8" spans="1:22" s="4" customFormat="1" x14ac:dyDescent="0.2">
      <c r="B8" s="4">
        <v>5</v>
      </c>
    </row>
    <row r="9" spans="1:22" s="4" customFormat="1" x14ac:dyDescent="0.2">
      <c r="B9" s="17" t="s">
        <v>2</v>
      </c>
    </row>
    <row r="10" spans="1:22" x14ac:dyDescent="0.2">
      <c r="B10" s="99" t="s">
        <v>4</v>
      </c>
      <c r="C10" s="4"/>
      <c r="D10" s="4"/>
      <c r="E10" s="4"/>
      <c r="F10" s="4"/>
      <c r="G10" s="4"/>
      <c r="H10" s="4"/>
      <c r="I10" s="4"/>
      <c r="J10" s="4"/>
      <c r="K10" s="4"/>
      <c r="L10" s="4"/>
      <c r="M10" s="4"/>
      <c r="N10" s="4"/>
      <c r="O10" s="4"/>
      <c r="P10" s="4"/>
      <c r="Q10" s="4"/>
      <c r="R10" s="4"/>
      <c r="S10" s="4"/>
      <c r="T10" s="4"/>
      <c r="U10" s="4"/>
      <c r="V10" s="4"/>
    </row>
    <row r="11" spans="1:22" x14ac:dyDescent="0.2">
      <c r="B11" s="69" t="s">
        <v>404</v>
      </c>
      <c r="C11" s="4"/>
      <c r="D11" s="4"/>
      <c r="E11" s="4"/>
      <c r="F11" s="4"/>
      <c r="G11" s="4"/>
      <c r="H11" s="4"/>
      <c r="I11" s="4"/>
      <c r="J11" s="4"/>
      <c r="K11" s="4"/>
      <c r="L11" s="4"/>
      <c r="M11" s="4"/>
      <c r="N11" s="4"/>
      <c r="O11" s="4"/>
      <c r="P11" s="4"/>
      <c r="Q11" s="4"/>
      <c r="R11" s="4"/>
      <c r="S11" s="4"/>
      <c r="T11" s="4"/>
      <c r="U11" s="4"/>
      <c r="V11" s="4"/>
    </row>
    <row r="12" spans="1:22" x14ac:dyDescent="0.2">
      <c r="B12" s="268" t="s">
        <v>6</v>
      </c>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F19*F20</f>
        <v>135000</v>
      </c>
      <c r="E18" s="576" t="s">
        <v>12</v>
      </c>
      <c r="F18" s="577"/>
      <c r="G18" s="578"/>
      <c r="I18" s="71" t="s">
        <v>13</v>
      </c>
      <c r="J18" s="72"/>
      <c r="K18" s="72" t="s">
        <v>14</v>
      </c>
      <c r="L18" s="72" t="s">
        <v>15</v>
      </c>
      <c r="M18" s="72" t="s">
        <v>16</v>
      </c>
      <c r="N18" s="73" t="s">
        <v>17</v>
      </c>
    </row>
    <row r="19" spans="2:22" s="4" customFormat="1" x14ac:dyDescent="0.2">
      <c r="B19" s="12" t="s">
        <v>18</v>
      </c>
      <c r="C19" s="217">
        <f>N23</f>
        <v>386025.75</v>
      </c>
      <c r="E19" s="284" t="s">
        <v>19</v>
      </c>
      <c r="F19" s="285">
        <v>15000</v>
      </c>
      <c r="G19" s="11" t="s">
        <v>20</v>
      </c>
      <c r="I19" s="12"/>
      <c r="J19" s="4" t="s">
        <v>21</v>
      </c>
      <c r="K19" s="4" t="s">
        <v>22</v>
      </c>
      <c r="L19" s="4">
        <f>VLOOKUP($K$19,$E$24:F59,2,FALSE)</f>
        <v>36</v>
      </c>
      <c r="M19" s="4">
        <f>L19*$F$25</f>
        <v>36</v>
      </c>
      <c r="N19" s="13">
        <f>M19*$F$24</f>
        <v>24300</v>
      </c>
    </row>
    <row r="20" spans="2:22" s="4" customFormat="1" x14ac:dyDescent="0.2">
      <c r="B20" s="12" t="s">
        <v>23</v>
      </c>
      <c r="C20" s="281">
        <f>C34*0.02*M24</f>
        <v>11317.996800000003</v>
      </c>
      <c r="E20" s="68"/>
      <c r="F20" s="76">
        <f>Archived_Testing_Q5!B33</f>
        <v>9</v>
      </c>
      <c r="G20" s="16"/>
      <c r="I20" s="12" t="s">
        <v>24</v>
      </c>
      <c r="J20" s="19" t="s">
        <v>25</v>
      </c>
      <c r="K20" s="4" t="s">
        <v>26</v>
      </c>
      <c r="L20" s="4">
        <f>VLOOKUP($K$20,$E$25:F60,2,FALSE)</f>
        <v>44.52</v>
      </c>
      <c r="M20" s="4">
        <f>L20*$F$28</f>
        <v>89.04</v>
      </c>
      <c r="N20" s="13">
        <f>M20*$F$24</f>
        <v>60102.000000000007</v>
      </c>
    </row>
    <row r="21" spans="2:22" s="4" customFormat="1" x14ac:dyDescent="0.2">
      <c r="B21" s="276" t="s">
        <v>27</v>
      </c>
      <c r="C21" s="282">
        <v>280000</v>
      </c>
      <c r="E21" s="12" t="s">
        <v>28</v>
      </c>
      <c r="G21" s="103"/>
      <c r="I21" s="12"/>
      <c r="J21" s="20" t="s">
        <v>29</v>
      </c>
      <c r="K21" s="4" t="s">
        <v>30</v>
      </c>
      <c r="L21" s="4">
        <f>VLOOKUP($K$21,$E$26:F63,2,FALSE)</f>
        <v>187.20000000000002</v>
      </c>
      <c r="M21" s="4">
        <f>L21*$F$38</f>
        <v>374.40000000000003</v>
      </c>
      <c r="N21" s="13">
        <f>M21*$F$24</f>
        <v>252720.00000000003</v>
      </c>
      <c r="V21" s="19"/>
    </row>
    <row r="22" spans="2:22" s="4" customFormat="1" x14ac:dyDescent="0.2">
      <c r="B22" s="14"/>
      <c r="C22" s="278">
        <f>SUM(C17:C21)</f>
        <v>812343.74679999996</v>
      </c>
      <c r="E22" s="12" t="s">
        <v>31</v>
      </c>
      <c r="F22" s="214">
        <v>1300000</v>
      </c>
      <c r="G22" s="103"/>
      <c r="I22" s="12"/>
      <c r="J22" s="70" t="s">
        <v>32</v>
      </c>
      <c r="K22" s="4" t="s">
        <v>33</v>
      </c>
      <c r="L22" s="4">
        <f>VLOOKUP($K$22,$E$21:F60,2,FALSE)</f>
        <v>24.150000000000002</v>
      </c>
      <c r="M22" s="4">
        <f>L22*$F$51</f>
        <v>72.45</v>
      </c>
      <c r="N22" s="13">
        <f>M22*$F$24</f>
        <v>48903.75</v>
      </c>
      <c r="V22" s="20"/>
    </row>
    <row r="23" spans="2:22" s="4" customFormat="1" x14ac:dyDescent="0.2">
      <c r="E23" s="12" t="s">
        <v>34</v>
      </c>
      <c r="F23" s="214">
        <v>1500000</v>
      </c>
      <c r="G23" s="103"/>
      <c r="I23" s="71" t="s">
        <v>35</v>
      </c>
      <c r="J23" s="72"/>
      <c r="K23" s="72"/>
      <c r="L23" s="72"/>
      <c r="M23" s="72">
        <f>SUM(M19:M22)</f>
        <v>571.8900000000001</v>
      </c>
      <c r="N23" s="73">
        <f>SUM(N19:N22)</f>
        <v>386025.75</v>
      </c>
      <c r="V23" s="70"/>
    </row>
    <row r="24" spans="2:22" s="4" customFormat="1" x14ac:dyDescent="0.2">
      <c r="E24" s="14" t="s">
        <v>18</v>
      </c>
      <c r="F24" s="95">
        <f>Archived_Testing_Q5!B32</f>
        <v>675</v>
      </c>
      <c r="G24" s="103" t="s">
        <v>36</v>
      </c>
      <c r="I24" s="14" t="s">
        <v>37</v>
      </c>
      <c r="J24" s="15"/>
      <c r="K24" s="15"/>
      <c r="L24" s="15"/>
      <c r="M24" s="15">
        <f>M23-M19</f>
        <v>535.8900000000001</v>
      </c>
      <c r="N24" s="16">
        <f>M24*F24</f>
        <v>361725.75000000006</v>
      </c>
    </row>
    <row r="25" spans="2:22" s="4" customFormat="1" x14ac:dyDescent="0.2">
      <c r="B25" s="71" t="s">
        <v>38</v>
      </c>
      <c r="C25" s="287">
        <f>IF(B9="Validation",Archived_Testing_Q5!B30, 'Q5-Validation'!C30/'Q5-Validation'!C29)</f>
        <v>0.95</v>
      </c>
      <c r="E25" s="9" t="s">
        <v>21</v>
      </c>
      <c r="F25" s="10">
        <v>1</v>
      </c>
      <c r="G25" s="103" t="s">
        <v>39</v>
      </c>
    </row>
    <row r="26" spans="2:22" s="4" customFormat="1" x14ac:dyDescent="0.2">
      <c r="E26" s="12" t="s">
        <v>40</v>
      </c>
      <c r="F26" s="214">
        <v>20</v>
      </c>
      <c r="G26" s="103"/>
    </row>
    <row r="27" spans="2:22" s="4" customFormat="1" x14ac:dyDescent="0.2">
      <c r="B27" s="9" t="s">
        <v>41</v>
      </c>
      <c r="C27" s="289">
        <f>Archived_Testing_Q5!B17</f>
        <v>819</v>
      </c>
      <c r="E27" s="14" t="s">
        <v>22</v>
      </c>
      <c r="F27" s="283">
        <v>36</v>
      </c>
      <c r="G27" s="98"/>
    </row>
    <row r="28" spans="2:22" s="4" customFormat="1" x14ac:dyDescent="0.2">
      <c r="B28" s="12" t="s">
        <v>42</v>
      </c>
      <c r="C28" s="290">
        <f>INDEX(Data_Stock!B2:N11,MATCH("Left",Data_Stock!B2:B11,0),MATCH(VALUE(B8-1),Data_Stock!B2:N2,0))</f>
        <v>1266</v>
      </c>
      <c r="E28" s="9" t="s">
        <v>25</v>
      </c>
      <c r="F28" s="11">
        <v>2</v>
      </c>
      <c r="G28" s="103" t="s">
        <v>39</v>
      </c>
      <c r="P28" s="214"/>
      <c r="V28" s="19"/>
    </row>
    <row r="29" spans="2:22" s="4" customFormat="1" x14ac:dyDescent="0.2">
      <c r="B29" s="12" t="s">
        <v>43</v>
      </c>
      <c r="C29" s="291">
        <f>Archived_Testing_Q5!B29</f>
        <v>781</v>
      </c>
      <c r="E29" s="12" t="s">
        <v>44</v>
      </c>
      <c r="F29" s="13">
        <f>(1+F31)*F30</f>
        <v>43.2</v>
      </c>
      <c r="G29" s="103"/>
      <c r="V29" s="20"/>
    </row>
    <row r="30" spans="2:22" s="4" customFormat="1" x14ac:dyDescent="0.2">
      <c r="B30" s="12" t="str">
        <f>IF(B9="Validation","Actual Production","Predict Production")</f>
        <v>Actual Production</v>
      </c>
      <c r="C30" s="292">
        <v>750</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f>C28-C30</f>
        <v>516</v>
      </c>
      <c r="E32" s="12" t="s">
        <v>26</v>
      </c>
      <c r="F32" s="13">
        <f>(1+F34)*F33</f>
        <v>44.52</v>
      </c>
      <c r="G32" s="103"/>
      <c r="P32" s="214"/>
    </row>
    <row r="33" spans="2:14" s="4" customFormat="1" x14ac:dyDescent="0.2">
      <c r="B33" s="12" t="s">
        <v>48</v>
      </c>
      <c r="C33" s="222">
        <f>F24</f>
        <v>675</v>
      </c>
      <c r="E33" s="67" t="s">
        <v>45</v>
      </c>
      <c r="F33" s="13">
        <v>42</v>
      </c>
      <c r="G33" s="103"/>
    </row>
    <row r="34" spans="2:14" s="4" customFormat="1" x14ac:dyDescent="0.2">
      <c r="B34" s="12" t="s">
        <v>49</v>
      </c>
      <c r="C34" s="222">
        <f>INDEX(Data_Stock!B2:N11,MATCH("Left",Data_Stock!B2:B11,0),MATCH(VALUE(B8),Data_Stock!B2:N2,0))</f>
        <v>1056</v>
      </c>
      <c r="E34" s="67" t="s">
        <v>46</v>
      </c>
      <c r="F34" s="13">
        <v>0.06</v>
      </c>
      <c r="G34" s="103"/>
    </row>
    <row r="35" spans="2:14" s="4" customFormat="1" x14ac:dyDescent="0.2">
      <c r="B35" s="14" t="s">
        <v>50</v>
      </c>
      <c r="C35" s="288">
        <f>C34*M24</f>
        <v>565899.84000000008</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SUMPRODUCT(F73:I73,F71:I71)</f>
        <v>3489303</v>
      </c>
    </row>
    <row r="69" spans="2:11" s="4" customFormat="1" x14ac:dyDescent="0.2">
      <c r="B69" s="12" t="s">
        <v>61</v>
      </c>
      <c r="C69" s="221">
        <f>J75</f>
        <v>238537.60000000001</v>
      </c>
      <c r="E69" s="9" t="str">
        <f>IF(B9="Validation","Actual S.C.R","Predict S.C.R")</f>
        <v>Actual S.C.R</v>
      </c>
      <c r="F69" s="311">
        <f>IF($B$9="Validation",F73/F72,Archived_Testing_Q5!C25)</f>
        <v>0.91249999999999998</v>
      </c>
      <c r="G69" s="311">
        <f>IF($B$9="Validation",G73/G72,Archived_Testing_Q5!C26)</f>
        <v>0.92812499999999998</v>
      </c>
      <c r="H69" s="311">
        <f>IF($B$9="Validation",H73/H72,Archived_Testing_Q5!C27)</f>
        <v>0.73124999999999996</v>
      </c>
      <c r="I69" s="311">
        <f>IF($B$9="Validation",I73/I72,Archived_Testing_Q5!C28)</f>
        <v>0.98124999999999996</v>
      </c>
      <c r="J69" s="11"/>
    </row>
    <row r="70" spans="2:11" s="4" customFormat="1" x14ac:dyDescent="0.2">
      <c r="B70" s="12" t="s">
        <v>62</v>
      </c>
      <c r="C70" s="318">
        <f>C68*C74</f>
        <v>209358.18</v>
      </c>
      <c r="E70" s="297" t="s">
        <v>63</v>
      </c>
      <c r="F70" s="298">
        <v>1</v>
      </c>
      <c r="G70" s="298">
        <v>2</v>
      </c>
      <c r="H70" s="298">
        <v>3</v>
      </c>
      <c r="I70" s="299">
        <v>4</v>
      </c>
      <c r="J70" s="299" t="s">
        <v>64</v>
      </c>
    </row>
    <row r="71" spans="2:11" s="4" customFormat="1" x14ac:dyDescent="0.2">
      <c r="B71" s="14"/>
      <c r="C71" s="319">
        <f>SUM(C68:C70)</f>
        <v>3937198.7800000003</v>
      </c>
      <c r="E71" s="300" t="s">
        <v>65</v>
      </c>
      <c r="F71" s="358">
        <f>Archived_Testing_Q5!$B8</f>
        <v>2450</v>
      </c>
      <c r="G71" s="358">
        <f>Archived_Testing_Q5!$B9</f>
        <v>1899</v>
      </c>
      <c r="H71" s="358">
        <f>Archived_Testing_Q5!$B10</f>
        <v>2450</v>
      </c>
      <c r="I71" s="358">
        <f>Archived_Testing_Q5!$B11</f>
        <v>2450</v>
      </c>
      <c r="J71" s="301" t="s">
        <v>66</v>
      </c>
      <c r="K71" s="363">
        <f>SUMPRODUCT(F71:I71,F72:I72)</f>
        <v>3743680</v>
      </c>
    </row>
    <row r="72" spans="2:11" s="4" customFormat="1" x14ac:dyDescent="0.2">
      <c r="E72" s="300" t="s">
        <v>67</v>
      </c>
      <c r="F72" s="272">
        <f>Archived_Testing_Q5!B20</f>
        <v>320</v>
      </c>
      <c r="G72" s="256">
        <f>Archived_Testing_Q5!B21</f>
        <v>320</v>
      </c>
      <c r="H72" s="272">
        <f>Archived_Testing_Q5!B22</f>
        <v>160</v>
      </c>
      <c r="I72" s="256">
        <f>Archived_Testing_Q5!B23</f>
        <v>800</v>
      </c>
      <c r="J72" s="303">
        <f>Archived_Testing_Q5!B19</f>
        <v>1600</v>
      </c>
      <c r="K72" s="4" t="s">
        <v>405</v>
      </c>
    </row>
    <row r="73" spans="2:11" s="4" customFormat="1" x14ac:dyDescent="0.2">
      <c r="D73" s="199"/>
      <c r="E73" s="300" t="str">
        <f>IF(B9="Validation","Actual Sale","Predict Sale")</f>
        <v>Actual Sale</v>
      </c>
      <c r="F73" s="273">
        <v>292</v>
      </c>
      <c r="G73" s="273">
        <v>297</v>
      </c>
      <c r="H73" s="273">
        <v>117</v>
      </c>
      <c r="I73" s="273">
        <v>785</v>
      </c>
      <c r="J73" s="383">
        <f>SUM(F73:I73)</f>
        <v>1491</v>
      </c>
    </row>
    <row r="74" spans="2:11" s="4" customFormat="1" x14ac:dyDescent="0.2">
      <c r="B74" s="9" t="s">
        <v>68</v>
      </c>
      <c r="C74" s="320">
        <f>Archived_Testing_Q5!B34</f>
        <v>0.06</v>
      </c>
      <c r="D74" s="199"/>
      <c r="E74" s="300" t="s">
        <v>69</v>
      </c>
      <c r="F74" s="256">
        <f>Archived_Testing_Q5!B36</f>
        <v>7</v>
      </c>
      <c r="G74" s="256">
        <f>Archived_Testing_Q5!B37</f>
        <v>7</v>
      </c>
      <c r="H74" s="256">
        <f>Archived_Testing_Q5!B38</f>
        <v>1</v>
      </c>
      <c r="I74" s="256">
        <f>Archived_Testing_Q5!B39</f>
        <v>7</v>
      </c>
      <c r="J74" s="301"/>
    </row>
    <row r="75" spans="2:11" s="4" customFormat="1" x14ac:dyDescent="0.2">
      <c r="B75" s="12" t="s">
        <v>70</v>
      </c>
      <c r="C75" s="221">
        <f>J72</f>
        <v>1600</v>
      </c>
      <c r="D75" s="357"/>
      <c r="E75" s="300" t="s">
        <v>71</v>
      </c>
      <c r="F75" s="312">
        <f>F72*F71*F74/100</f>
        <v>54880</v>
      </c>
      <c r="G75" s="312">
        <f>G72*G71*G74/100</f>
        <v>42537.599999999999</v>
      </c>
      <c r="H75" s="312">
        <f>H72*H71*H74/100</f>
        <v>3920</v>
      </c>
      <c r="I75" s="304">
        <f>I72*I71*I74/100</f>
        <v>137200</v>
      </c>
      <c r="J75" s="304">
        <f>SUM(F75:I75)</f>
        <v>238537.60000000001</v>
      </c>
    </row>
    <row r="76" spans="2:11" s="4" customFormat="1" x14ac:dyDescent="0.2">
      <c r="B76" s="12" t="s">
        <v>72</v>
      </c>
      <c r="C76" s="221">
        <f>J73</f>
        <v>1491</v>
      </c>
      <c r="D76" s="199"/>
      <c r="E76" s="300" t="s">
        <v>73</v>
      </c>
      <c r="F76" s="256">
        <f>Archived_Testing_Q5!$B41</f>
        <v>0</v>
      </c>
      <c r="G76" s="256">
        <f>Archived_Testing_Q5!$B42</f>
        <v>1</v>
      </c>
      <c r="H76" s="256">
        <f>Archived_Testing_Q5!$B43</f>
        <v>0</v>
      </c>
      <c r="I76" s="256">
        <f>Archived_Testing_Q5!$B44</f>
        <v>0</v>
      </c>
      <c r="J76" s="301" t="s">
        <v>66</v>
      </c>
    </row>
    <row r="77" spans="2:11" s="4" customFormat="1" x14ac:dyDescent="0.2">
      <c r="B77" s="14" t="s">
        <v>74</v>
      </c>
      <c r="C77" s="319">
        <f>C75-C76</f>
        <v>109</v>
      </c>
      <c r="D77" s="199"/>
      <c r="E77" s="305" t="s">
        <v>75</v>
      </c>
      <c r="F77" s="306">
        <f>Data_EmployeeNumber!B8+'Q5-Validation'!F76</f>
        <v>2</v>
      </c>
      <c r="G77" s="306">
        <f>Data_EmployeeNumber!C8+'Q5-Validation'!G76</f>
        <v>3</v>
      </c>
      <c r="H77" s="306">
        <f>Data_EmployeeNumber!D8+'Q5-Validation'!H76</f>
        <v>2</v>
      </c>
      <c r="I77" s="306">
        <f>Data_EmployeeNumber!E8+'Q5-Validation'!I76</f>
        <v>4</v>
      </c>
      <c r="J77" s="307">
        <f>SUM(F77:I77)</f>
        <v>11</v>
      </c>
    </row>
    <row r="78" spans="2:11" s="4" customFormat="1" x14ac:dyDescent="0.2">
      <c r="E78" s="300" t="s">
        <v>76</v>
      </c>
      <c r="F78" s="296">
        <v>941</v>
      </c>
      <c r="G78" s="296">
        <v>638</v>
      </c>
      <c r="H78" s="296">
        <v>706</v>
      </c>
      <c r="I78" s="301">
        <v>1075</v>
      </c>
      <c r="J78" s="301"/>
    </row>
    <row r="79" spans="2:11" s="4" customFormat="1" x14ac:dyDescent="0.2">
      <c r="E79" s="305" t="s">
        <v>78</v>
      </c>
      <c r="F79" s="308">
        <f>F73/F78</f>
        <v>0.31030818278427202</v>
      </c>
      <c r="G79" s="308">
        <f>G73/G78</f>
        <v>0.46551724137931033</v>
      </c>
      <c r="H79" s="308">
        <f>H73/H78</f>
        <v>0.16572237960339944</v>
      </c>
      <c r="I79" s="317">
        <f>I73/I78</f>
        <v>0.73023255813953492</v>
      </c>
      <c r="J79" s="309"/>
    </row>
    <row r="80" spans="2:11" s="4" customFormat="1" x14ac:dyDescent="0.2">
      <c r="E80" s="296" t="s">
        <v>79</v>
      </c>
      <c r="F80" s="367">
        <v>39.229999999999997</v>
      </c>
      <c r="G80" s="310">
        <v>0</v>
      </c>
      <c r="H80" s="310">
        <v>45.3</v>
      </c>
      <c r="I80" s="310">
        <v>57</v>
      </c>
      <c r="J80" s="296"/>
    </row>
    <row r="81" spans="1:12" s="4" customFormat="1" x14ac:dyDescent="0.2">
      <c r="E81" s="296"/>
      <c r="F81" s="367"/>
      <c r="G81" s="310"/>
      <c r="H81" s="310"/>
      <c r="I81" s="310"/>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I98</f>
        <v>304200</v>
      </c>
      <c r="D92" s="214"/>
      <c r="E92" s="71" t="s">
        <v>82</v>
      </c>
      <c r="F92" s="329">
        <f>Archived_Testing_Q5!B45</f>
        <v>5200</v>
      </c>
      <c r="H92" s="71" t="s">
        <v>82</v>
      </c>
      <c r="I92" s="72" t="s">
        <v>83</v>
      </c>
      <c r="J92" s="72" t="s">
        <v>84</v>
      </c>
      <c r="K92" s="72" t="s">
        <v>85</v>
      </c>
      <c r="L92" s="73" t="s">
        <v>86</v>
      </c>
    </row>
    <row r="93" spans="1:12" s="4" customFormat="1" x14ac:dyDescent="0.2">
      <c r="B93" s="12" t="s">
        <v>87</v>
      </c>
      <c r="C93" s="217">
        <f>K103</f>
        <v>70000</v>
      </c>
      <c r="D93" s="214"/>
      <c r="H93" s="12" t="s">
        <v>88</v>
      </c>
      <c r="I93" s="214">
        <f>$F$92*K93</f>
        <v>26000</v>
      </c>
      <c r="J93" s="4">
        <v>1</v>
      </c>
      <c r="K93" s="4">
        <v>5</v>
      </c>
      <c r="L93" s="13">
        <f>J93*K93</f>
        <v>5</v>
      </c>
    </row>
    <row r="94" spans="1:12" s="4" customFormat="1" x14ac:dyDescent="0.2">
      <c r="B94" s="12" t="s">
        <v>89</v>
      </c>
      <c r="C94" s="217">
        <f>K104</f>
        <v>10000</v>
      </c>
      <c r="D94" s="321"/>
      <c r="E94" s="71" t="s">
        <v>90</v>
      </c>
      <c r="F94" s="73"/>
      <c r="H94" s="12" t="s">
        <v>91</v>
      </c>
      <c r="I94" s="214">
        <f>$F$92*K94</f>
        <v>5200</v>
      </c>
      <c r="J94" s="4">
        <v>35</v>
      </c>
      <c r="K94" s="4">
        <v>1</v>
      </c>
      <c r="L94" s="13">
        <f>J94*K94</f>
        <v>35</v>
      </c>
    </row>
    <row r="95" spans="1:12" s="4" customFormat="1" x14ac:dyDescent="0.2">
      <c r="B95" s="12" t="s">
        <v>92</v>
      </c>
      <c r="C95" s="217">
        <f>K105</f>
        <v>47000</v>
      </c>
      <c r="E95" s="12" t="s">
        <v>93</v>
      </c>
      <c r="F95" s="327">
        <v>10000</v>
      </c>
      <c r="H95" s="12" t="s">
        <v>94</v>
      </c>
      <c r="I95" s="214">
        <f>$F$92*K95</f>
        <v>13000</v>
      </c>
      <c r="J95" s="4">
        <v>3</v>
      </c>
      <c r="K95" s="4">
        <v>2.5</v>
      </c>
      <c r="L95" s="13">
        <f>J95*K95</f>
        <v>7.5</v>
      </c>
    </row>
    <row r="96" spans="1:12" s="4" customFormat="1" x14ac:dyDescent="0.2">
      <c r="B96" s="71"/>
      <c r="C96" s="324">
        <f>SUM(C92:C95)</f>
        <v>431200</v>
      </c>
      <c r="E96" s="12" t="s">
        <v>95</v>
      </c>
      <c r="F96" s="194">
        <f>Archived_Testing_Q5!B46</f>
        <v>7</v>
      </c>
      <c r="H96" s="12" t="s">
        <v>96</v>
      </c>
      <c r="I96" s="214">
        <f>$F$92*K96</f>
        <v>5200</v>
      </c>
      <c r="J96" s="4">
        <f>J77</f>
        <v>11</v>
      </c>
      <c r="K96" s="4">
        <v>1</v>
      </c>
      <c r="L96" s="13">
        <f>J96*K96</f>
        <v>11</v>
      </c>
    </row>
    <row r="97" spans="1:12" s="4" customFormat="1" x14ac:dyDescent="0.2">
      <c r="E97" s="12" t="s">
        <v>97</v>
      </c>
      <c r="F97" s="217">
        <v>2000</v>
      </c>
      <c r="H97" s="12" t="s">
        <v>64</v>
      </c>
      <c r="I97" s="4" t="s">
        <v>66</v>
      </c>
      <c r="J97" s="4">
        <f>SUM(J93:J96)</f>
        <v>50</v>
      </c>
      <c r="K97" s="4" t="s">
        <v>66</v>
      </c>
      <c r="L97" s="13">
        <f>SUM(L93:L96)</f>
        <v>58.5</v>
      </c>
    </row>
    <row r="98" spans="1:12" s="4" customFormat="1" x14ac:dyDescent="0.2">
      <c r="B98" s="71" t="s">
        <v>98</v>
      </c>
      <c r="C98" s="73" t="s">
        <v>406</v>
      </c>
      <c r="E98" s="14" t="s">
        <v>95</v>
      </c>
      <c r="F98" s="76">
        <f>Archived_Testing_Q5!B47</f>
        <v>5</v>
      </c>
      <c r="H98" s="14" t="s">
        <v>99</v>
      </c>
      <c r="I98" s="322">
        <f>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F92</f>
        <v>5200</v>
      </c>
      <c r="J102" s="4">
        <f>L97</f>
        <v>58.5</v>
      </c>
      <c r="K102" s="217">
        <f>I102*J102</f>
        <v>304200</v>
      </c>
    </row>
    <row r="103" spans="1:12" s="4" customFormat="1" x14ac:dyDescent="0.2">
      <c r="E103" s="12" t="s">
        <v>106</v>
      </c>
      <c r="F103" s="217">
        <v>175</v>
      </c>
      <c r="H103" s="12" t="s">
        <v>93</v>
      </c>
      <c r="I103" s="214">
        <f>F95</f>
        <v>10000</v>
      </c>
      <c r="J103" s="4">
        <f>F96</f>
        <v>7</v>
      </c>
      <c r="K103" s="217">
        <f>F95*J103</f>
        <v>70000</v>
      </c>
    </row>
    <row r="104" spans="1:12" s="4" customFormat="1" ht="17" customHeight="1" x14ac:dyDescent="0.2">
      <c r="E104" s="12" t="s">
        <v>107</v>
      </c>
      <c r="F104" s="217">
        <v>400</v>
      </c>
      <c r="H104" s="12" t="s">
        <v>97</v>
      </c>
      <c r="I104" s="214">
        <f>F97</f>
        <v>2000</v>
      </c>
      <c r="J104" s="4">
        <f>F98</f>
        <v>5</v>
      </c>
      <c r="K104" s="217">
        <f>F97*J104</f>
        <v>10000</v>
      </c>
    </row>
    <row r="105" spans="1:12" s="4" customFormat="1" x14ac:dyDescent="0.2">
      <c r="E105" s="12" t="s">
        <v>108</v>
      </c>
      <c r="F105" s="217">
        <v>280</v>
      </c>
      <c r="H105" s="12" t="s">
        <v>109</v>
      </c>
      <c r="I105" s="214">
        <f>F102+F106+F107+F108</f>
        <v>940</v>
      </c>
      <c r="J105" s="4">
        <f>J97</f>
        <v>50</v>
      </c>
      <c r="K105" s="217">
        <f>I105*J105</f>
        <v>47000</v>
      </c>
    </row>
    <row r="106" spans="1:12" s="4" customFormat="1" x14ac:dyDescent="0.2">
      <c r="E106" s="325" t="s">
        <v>110</v>
      </c>
      <c r="F106" s="217">
        <v>350</v>
      </c>
      <c r="H106" s="14"/>
      <c r="I106" s="15"/>
      <c r="J106" s="15"/>
      <c r="K106" s="278">
        <f>SUM(K102:K105)</f>
        <v>431200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199" t="s">
        <v>114</v>
      </c>
      <c r="C113" s="199">
        <f>200000</f>
        <v>200000</v>
      </c>
    </row>
    <row r="114" spans="1:22" s="4" customFormat="1" x14ac:dyDescent="0.2">
      <c r="B114" s="199" t="s">
        <v>115</v>
      </c>
      <c r="C114" s="199">
        <f>2*0.019</f>
        <v>3.7999999999999999E-2</v>
      </c>
    </row>
    <row r="115" spans="1:22" s="4" customFormat="1" x14ac:dyDescent="0.2">
      <c r="B115" s="199" t="s">
        <v>116</v>
      </c>
      <c r="C115" s="199">
        <f>C113*C114</f>
        <v>7600</v>
      </c>
    </row>
    <row r="116" spans="1:22" s="4" customFormat="1" x14ac:dyDescent="0.2">
      <c r="B116" s="4" t="s">
        <v>117</v>
      </c>
      <c r="C116" s="69">
        <f>Archived_Testing_Q5!B48</f>
        <v>40000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407</v>
      </c>
    </row>
    <row r="121" spans="1:22" s="4" customFormat="1" x14ac:dyDescent="0.2"/>
    <row r="122" spans="1:22" s="4" customFormat="1" x14ac:dyDescent="0.2">
      <c r="B122" s="4" t="s">
        <v>119</v>
      </c>
    </row>
    <row r="123" spans="1:22" s="4" customFormat="1" x14ac:dyDescent="0.2">
      <c r="B123" s="9" t="s">
        <v>60</v>
      </c>
      <c r="C123" s="334">
        <f>IFERROR(VLOOKUP(B123,$B$14:$C$121,2,FALSE),0)</f>
        <v>3489303</v>
      </c>
      <c r="D123" s="286"/>
      <c r="E123" s="286"/>
    </row>
    <row r="124" spans="1:22" s="4" customFormat="1" x14ac:dyDescent="0.2">
      <c r="B124" s="275" t="s">
        <v>120</v>
      </c>
      <c r="C124" s="366">
        <f>IF(B9="Validation",E124,(C74+0.125)*C123+J73*M23)</f>
        <v>1444533.05</v>
      </c>
      <c r="D124" s="302" t="s">
        <v>297</v>
      </c>
      <c r="E124" s="268">
        <f>1444533.05</f>
        <v>1444533.05</v>
      </c>
      <c r="F124" s="9" t="s">
        <v>400</v>
      </c>
      <c r="G124" s="9" t="s">
        <v>122</v>
      </c>
      <c r="H124" s="331">
        <f>C128+C130</f>
        <v>351200</v>
      </c>
      <c r="I124" s="10">
        <f>H124/$H$128</f>
        <v>235.54661301140175</v>
      </c>
      <c r="J124" s="11"/>
    </row>
    <row r="125" spans="1:22" s="4" customFormat="1" x14ac:dyDescent="0.2">
      <c r="B125" s="12" t="s">
        <v>123</v>
      </c>
      <c r="C125" s="336">
        <f>C123-C124</f>
        <v>2044769.95</v>
      </c>
      <c r="F125" s="12"/>
      <c r="G125" s="12" t="s">
        <v>124</v>
      </c>
      <c r="H125" s="279">
        <f>SUMIF(D127:D139,"FC",C127:C139)</f>
        <v>1089055.5967999999</v>
      </c>
      <c r="I125" s="4">
        <f>H125/$H$128</f>
        <v>730.41958202548619</v>
      </c>
      <c r="J125" s="13"/>
    </row>
    <row r="126" spans="1:22" s="4" customFormat="1" x14ac:dyDescent="0.2">
      <c r="B126" s="12" t="s">
        <v>125</v>
      </c>
      <c r="C126" s="336"/>
      <c r="F126" s="12"/>
      <c r="G126" s="12" t="s">
        <v>120</v>
      </c>
      <c r="H126" s="279">
        <f>C124</f>
        <v>1444533.05</v>
      </c>
      <c r="I126" s="4">
        <f>H126/$H$128</f>
        <v>968.8350435949028</v>
      </c>
      <c r="J126" s="13"/>
    </row>
    <row r="127" spans="1:22" s="4" customFormat="1" x14ac:dyDescent="0.2">
      <c r="B127" s="12" t="s">
        <v>27</v>
      </c>
      <c r="C127" s="336">
        <v>280000</v>
      </c>
      <c r="D127" s="4" t="s">
        <v>124</v>
      </c>
      <c r="F127" s="12"/>
      <c r="G127" s="12" t="s">
        <v>127</v>
      </c>
      <c r="H127" s="279">
        <f>SUM(H124:H126)</f>
        <v>2884788.6468000002</v>
      </c>
      <c r="J127" s="13"/>
    </row>
    <row r="128" spans="1:22" s="4" customFormat="1" x14ac:dyDescent="0.2">
      <c r="B128" s="12" t="s">
        <v>81</v>
      </c>
      <c r="C128" s="336">
        <f t="shared" ref="C128:C136" si="0">IFERROR(VLOOKUP(B128,$B$14:$C$121,2,FALSE),0)</f>
        <v>304200</v>
      </c>
      <c r="D128" s="4" t="s">
        <v>124</v>
      </c>
      <c r="F128" s="12"/>
      <c r="G128" s="12" t="s">
        <v>128</v>
      </c>
      <c r="H128" s="302">
        <f>C76</f>
        <v>1491</v>
      </c>
      <c r="J128" s="13"/>
    </row>
    <row r="129" spans="2:10" s="4" customFormat="1" x14ac:dyDescent="0.2">
      <c r="B129" s="12" t="s">
        <v>87</v>
      </c>
      <c r="C129" s="336">
        <f t="shared" si="0"/>
        <v>70000</v>
      </c>
      <c r="D129" s="4" t="s">
        <v>124</v>
      </c>
      <c r="F129" s="12"/>
      <c r="G129" s="12" t="s">
        <v>129</v>
      </c>
      <c r="H129" s="339">
        <f>H127/H128</f>
        <v>1934.801238631791</v>
      </c>
      <c r="J129" s="13"/>
    </row>
    <row r="130" spans="2:10" s="4" customFormat="1" x14ac:dyDescent="0.2">
      <c r="B130" s="12" t="s">
        <v>92</v>
      </c>
      <c r="C130" s="336">
        <f t="shared" si="0"/>
        <v>47000</v>
      </c>
      <c r="D130" s="4" t="s">
        <v>122</v>
      </c>
      <c r="F130" s="12"/>
      <c r="G130" s="12"/>
      <c r="J130" s="13"/>
    </row>
    <row r="131" spans="2:10" s="4" customFormat="1" x14ac:dyDescent="0.2">
      <c r="B131" s="12" t="s">
        <v>89</v>
      </c>
      <c r="C131" s="336">
        <f t="shared" si="0"/>
        <v>10000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$H$129*(1+H131)</f>
        <v>2128.2813624949704</v>
      </c>
      <c r="I132" s="333">
        <f>$H$129*(1+I131)</f>
        <v>2321.7614863581489</v>
      </c>
      <c r="J132" s="341">
        <f>$H$129*(1+J131)</f>
        <v>2515.2416102213283</v>
      </c>
    </row>
    <row r="133" spans="2:10" s="4" customFormat="1" x14ac:dyDescent="0.2">
      <c r="B133" s="12" t="s">
        <v>11</v>
      </c>
      <c r="C133" s="336">
        <f t="shared" si="0"/>
        <v>135000</v>
      </c>
      <c r="D133" s="4" t="s">
        <v>124</v>
      </c>
      <c r="F133" s="12"/>
      <c r="G133" s="4" t="s">
        <v>133</v>
      </c>
      <c r="H133" s="302">
        <f>H132-$H$129</f>
        <v>193.48012386317941</v>
      </c>
      <c r="I133" s="302">
        <f>I132-$H$129</f>
        <v>386.96024772635792</v>
      </c>
      <c r="J133" s="318">
        <f>J132-$H$129</f>
        <v>580.44037158953734</v>
      </c>
    </row>
    <row r="134" spans="2:10" s="4" customFormat="1" x14ac:dyDescent="0.2">
      <c r="B134" s="12" t="s">
        <v>61</v>
      </c>
      <c r="C134" s="336">
        <f t="shared" si="0"/>
        <v>238537.60000000001</v>
      </c>
      <c r="D134" s="4" t="s">
        <v>124</v>
      </c>
      <c r="F134" s="12" t="s">
        <v>401</v>
      </c>
      <c r="G134" s="4" t="s">
        <v>134</v>
      </c>
      <c r="H134" s="355">
        <f>H133/H132</f>
        <v>9.090909090909105E-2</v>
      </c>
      <c r="I134" s="355">
        <f>I133/I132</f>
        <v>0.16666666666666657</v>
      </c>
      <c r="J134" s="326">
        <f>J133/J132</f>
        <v>0.23076923076923078</v>
      </c>
    </row>
    <row r="135" spans="2:10" s="4" customFormat="1" x14ac:dyDescent="0.2">
      <c r="B135" s="12" t="s">
        <v>23</v>
      </c>
      <c r="C135" s="336">
        <f>IFERROR(VLOOKUP(B135,$B$14:$C$121,2,FALSE),0)</f>
        <v>11317.996800000003</v>
      </c>
      <c r="D135" s="4" t="s">
        <v>124</v>
      </c>
      <c r="F135" s="12" t="s">
        <v>402</v>
      </c>
      <c r="G135" s="4" t="s">
        <v>135</v>
      </c>
      <c r="H135" s="279">
        <f>$H$125/H134</f>
        <v>11979611.564799981</v>
      </c>
      <c r="I135" s="279">
        <f>$H$125/I134</f>
        <v>6534333.5808000034</v>
      </c>
      <c r="J135" s="281">
        <f>$H$125/J134</f>
        <v>4719240.9194666659</v>
      </c>
    </row>
    <row r="136" spans="2:10" s="4" customFormat="1" x14ac:dyDescent="0.2">
      <c r="B136" s="12" t="s">
        <v>117</v>
      </c>
      <c r="C136" s="336">
        <f t="shared" si="0"/>
        <v>40000</v>
      </c>
      <c r="D136" s="4" t="s">
        <v>124</v>
      </c>
      <c r="F136" s="14"/>
      <c r="G136" s="15" t="s">
        <v>136</v>
      </c>
      <c r="H136" s="15">
        <f>H135/H132</f>
        <v>5628.7724808886924</v>
      </c>
      <c r="I136" s="15">
        <f>I135/I132</f>
        <v>2814.386240444353</v>
      </c>
      <c r="J136" s="16">
        <f>J135/J132</f>
        <v>1876.2574936295671</v>
      </c>
    </row>
    <row r="137" spans="2:10" s="4" customFormat="1" x14ac:dyDescent="0.2">
      <c r="B137" s="275" t="s">
        <v>137</v>
      </c>
      <c r="C137" s="335" cm="1">
        <f t="array" ref="C137">IF(B9="Validation",E137,SUMPRODUCT(F80:I80*F73:I73))</f>
        <v>61890</v>
      </c>
      <c r="D137" s="380" t="s">
        <v>408</v>
      </c>
      <c r="E137" s="4">
        <v>61890</v>
      </c>
    </row>
    <row r="138" spans="2:10" s="4" customFormat="1" x14ac:dyDescent="0.2">
      <c r="B138" s="12" t="s">
        <v>139</v>
      </c>
      <c r="C138" s="336">
        <f>IFERROR(VLOOKUP(B138,$B$14:$C$121,2,FALSE),0)</f>
        <v>0</v>
      </c>
    </row>
    <row r="139" spans="2:10" s="4" customFormat="1" x14ac:dyDescent="0.2">
      <c r="B139" s="365" t="s">
        <v>140</v>
      </c>
      <c r="C139" s="366">
        <f>Archived_Testing_Q5!B16</f>
        <v>116709.02</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SUM(C127:C141)</f>
        <v>1314654.6168000002</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C125-C142</f>
        <v>730115.33319999976</v>
      </c>
    </row>
    <row r="148" spans="2:5" s="4" customFormat="1" x14ac:dyDescent="0.2">
      <c r="B148" s="12" t="s">
        <v>147</v>
      </c>
      <c r="C148" s="13">
        <f>IF(C147&gt;0,C147*0.15,0)</f>
        <v>109517.29997999997</v>
      </c>
    </row>
    <row r="149" spans="2:5" s="4" customFormat="1" x14ac:dyDescent="0.2">
      <c r="B149" s="12" t="s">
        <v>148</v>
      </c>
      <c r="C149" s="336">
        <f>C147-C148</f>
        <v>620598.03321999975</v>
      </c>
    </row>
    <row r="150" spans="2:5" s="4" customFormat="1" x14ac:dyDescent="0.2">
      <c r="B150" s="12" t="s">
        <v>119</v>
      </c>
      <c r="C150" s="13"/>
    </row>
    <row r="151" spans="2:5" s="4" customFormat="1" x14ac:dyDescent="0.2">
      <c r="B151" s="12" t="s">
        <v>149</v>
      </c>
      <c r="C151" s="368">
        <f>INDEX(Data_IncomeStatement!A1:M33,MATCH("PROFIT AND LOSS STATEMENT RESULTS",Data_IncomeStatement!A1:A33,0),MATCH(VALUE(B8-1),Data_IncomeStatement!A1:M1,0))</f>
        <v>-1575663.9228000001</v>
      </c>
    </row>
    <row r="152" spans="2:5" s="4" customFormat="1" x14ac:dyDescent="0.2">
      <c r="B152" s="12" t="s">
        <v>148</v>
      </c>
      <c r="C152" s="336">
        <f>C149+C151</f>
        <v>-955065.88958000031</v>
      </c>
    </row>
    <row r="153" spans="2:5" s="4" customFormat="1" x14ac:dyDescent="0.2">
      <c r="B153" s="12" t="s">
        <v>150</v>
      </c>
      <c r="C153" s="13">
        <v>0</v>
      </c>
    </row>
    <row r="154" spans="2:5" s="4" customFormat="1" x14ac:dyDescent="0.2">
      <c r="B154" s="14" t="s">
        <v>151</v>
      </c>
      <c r="C154" s="337">
        <f>C152+C153</f>
        <v>-955065.88958000031</v>
      </c>
    </row>
    <row r="155" spans="2:5" s="4" customFormat="1" x14ac:dyDescent="0.2"/>
    <row r="156" spans="2:5" s="4" customFormat="1" x14ac:dyDescent="0.2">
      <c r="C156" s="330"/>
      <c r="D156" s="214"/>
      <c r="E156" s="279"/>
    </row>
    <row r="157" spans="2:5" s="4" customFormat="1" x14ac:dyDescent="0.2"/>
    <row r="158" spans="2:5" s="4" customFormat="1" x14ac:dyDescent="0.2"/>
    <row r="159" spans="2:5" s="4" customFormat="1" x14ac:dyDescent="0.2"/>
    <row r="160" spans="2:5" s="4" customFormat="1" x14ac:dyDescent="0.2"/>
    <row r="161" s="4" customFormat="1" x14ac:dyDescent="0.2"/>
    <row r="162" s="4" customFormat="1" x14ac:dyDescent="0.2"/>
    <row r="163" s="4" customFormat="1" x14ac:dyDescent="0.2"/>
    <row r="164" s="4" customFormat="1" x14ac:dyDescent="0.2"/>
    <row r="165" s="4" customFormat="1" x14ac:dyDescent="0.2"/>
    <row r="166" s="4" customFormat="1" x14ac:dyDescent="0.2"/>
    <row r="167" s="4" customFormat="1" x14ac:dyDescent="0.2"/>
    <row r="168" s="4" customFormat="1" x14ac:dyDescent="0.2"/>
    <row r="169" s="4" customFormat="1" x14ac:dyDescent="0.2"/>
    <row r="170" s="4" customFormat="1" x14ac:dyDescent="0.2"/>
    <row r="171" s="4" customFormat="1" x14ac:dyDescent="0.2"/>
    <row r="172" s="4" customFormat="1" x14ac:dyDescent="0.2"/>
    <row r="173" s="4" customFormat="1" x14ac:dyDescent="0.2"/>
    <row r="174"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396A26CC-EA70-7246-9474-29864FFFCA5A}">
          <x14:formula1>
            <xm:f>Reference!$B$1:$B$4</xm:f>
          </x14:formula1>
          <xm:sqref>W21 W28 K20</xm:sqref>
        </x14:dataValidation>
        <x14:dataValidation type="list" allowBlank="1" showInputMessage="1" showErrorMessage="1" xr:uid="{5B3926BA-96B2-6642-9437-1289FAC1B9C2}">
          <x14:formula1>
            <xm:f>Reference!$D$1:$D$4</xm:f>
          </x14:formula1>
          <xm:sqref>W23 W30 K22</xm:sqref>
        </x14:dataValidation>
        <x14:dataValidation type="list" allowBlank="1" showInputMessage="1" showErrorMessage="1" xr:uid="{167BE96B-6139-F84C-9BFF-010344F7CC07}">
          <x14:formula1>
            <xm:f>Reference!$A$1:$A$3</xm:f>
          </x14:formula1>
          <xm:sqref>W20 W27 K19</xm:sqref>
        </x14:dataValidation>
        <x14:dataValidation type="list" allowBlank="1" showInputMessage="1" showErrorMessage="1" xr:uid="{C851B467-9465-1243-BF74-AB43234A9917}">
          <x14:formula1>
            <xm:f>Reference!$C$1:$C$5</xm:f>
          </x14:formula1>
          <xm:sqref>W22 W29 K21</xm:sqref>
        </x14:dataValidation>
        <x14:dataValidation type="list" allowBlank="1" showInputMessage="1" showErrorMessage="1" xr:uid="{E277BFA1-BB95-D244-BE44-8CCB4A3CBD8C}">
          <x14:formula1>
            <xm:f>Reference!$A$6:$A$8</xm:f>
          </x14:formula1>
          <xm:sqref>B9</xm:sqref>
        </x14:dataValidation>
        <x14:dataValidation type="list" allowBlank="1" showInputMessage="1" showErrorMessage="1" xr:uid="{490B4CD8-FE43-DF4A-B57E-4773170F013D}">
          <x14:formula1>
            <xm:f>Reference!$A$10:$A$12</xm:f>
          </x14:formula1>
          <xm:sqref>D124</xm:sqref>
        </x14:dataValidation>
        <x14:dataValidation type="list" allowBlank="1" showInputMessage="1" showErrorMessage="1" xr:uid="{AF001192-393E-FC4E-BA66-BFF22AD47DB4}">
          <x14:formula1>
            <xm:f>Reference!$A$14:$A$26</xm:f>
          </x14:formula1>
          <xm:sqref>B8</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511DB-CA71-D04E-ACC3-27427C501CC6}">
  <sheetPr codeName="Sheet18">
    <tabColor theme="2" tint="-9.9978637043366805E-2"/>
  </sheetPr>
  <dimension ref="A1:V174"/>
  <sheetViews>
    <sheetView zoomScale="131" zoomScaleNormal="120" workbookViewId="0">
      <selection activeCell="B29" sqref="B29"/>
    </sheetView>
  </sheetViews>
  <sheetFormatPr baseColWidth="10" defaultColWidth="11" defaultRowHeight="16" x14ac:dyDescent="0.2"/>
  <cols>
    <col min="1" max="1" width="5.6640625" style="4" customWidth="1"/>
    <col min="2" max="2" width="33.33203125" bestFit="1" customWidth="1"/>
    <col min="3" max="3" width="14" bestFit="1" customWidth="1"/>
    <col min="4" max="4" width="15.1640625"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4"/>
      <c r="C2" s="4"/>
      <c r="D2" s="4"/>
      <c r="E2" s="4"/>
      <c r="F2" s="4"/>
      <c r="G2" s="4"/>
      <c r="H2" s="4"/>
      <c r="I2" s="4"/>
      <c r="J2" s="4"/>
      <c r="K2" s="4"/>
      <c r="L2" s="4"/>
      <c r="M2" s="4"/>
      <c r="N2" s="4"/>
      <c r="O2" s="4"/>
      <c r="P2" s="4"/>
      <c r="Q2" s="4"/>
      <c r="R2" s="4"/>
      <c r="S2" s="4"/>
      <c r="T2" s="4"/>
      <c r="U2" s="4"/>
      <c r="V2" s="4"/>
    </row>
    <row r="3" spans="1:22" x14ac:dyDescent="0.2">
      <c r="B3" s="4"/>
      <c r="C3" s="4"/>
      <c r="D3" s="4"/>
      <c r="E3" s="4"/>
      <c r="F3" s="4"/>
      <c r="G3" s="4"/>
      <c r="H3" s="4"/>
      <c r="I3" s="4"/>
      <c r="J3" s="4"/>
      <c r="K3" s="4"/>
      <c r="L3" s="4"/>
      <c r="M3" s="4"/>
      <c r="N3" s="4"/>
      <c r="O3" s="4"/>
      <c r="P3" s="4"/>
      <c r="Q3" s="4"/>
      <c r="R3" s="4"/>
      <c r="S3" s="4"/>
      <c r="T3" s="4"/>
      <c r="U3" s="4"/>
      <c r="V3" s="4"/>
    </row>
    <row r="4" spans="1:22" s="4" customFormat="1" x14ac:dyDescent="0.2"/>
    <row r="5" spans="1:22" s="4" customFormat="1" x14ac:dyDescent="0.2"/>
    <row r="6" spans="1:22" s="4" customFormat="1" x14ac:dyDescent="0.2"/>
    <row r="7" spans="1:22" s="4" customFormat="1" x14ac:dyDescent="0.2"/>
    <row r="8" spans="1:22" s="4" customFormat="1" x14ac:dyDescent="0.2"/>
    <row r="9" spans="1:22" s="4" customFormat="1" x14ac:dyDescent="0.2"/>
    <row r="10" spans="1:22" x14ac:dyDescent="0.2">
      <c r="B10" s="99" t="s">
        <v>4</v>
      </c>
      <c r="C10" s="4"/>
      <c r="D10" s="4"/>
      <c r="E10" s="4"/>
      <c r="F10" s="4"/>
      <c r="G10" s="4"/>
      <c r="H10" s="4"/>
      <c r="I10" s="4"/>
      <c r="J10" s="4"/>
      <c r="K10" s="4"/>
      <c r="L10" s="4"/>
      <c r="M10" s="4"/>
      <c r="N10" s="4"/>
      <c r="O10" s="4"/>
      <c r="P10" s="4"/>
      <c r="Q10" s="4"/>
      <c r="R10" s="4"/>
      <c r="S10" s="4"/>
      <c r="T10" s="4"/>
      <c r="U10" s="4"/>
      <c r="V10" s="4"/>
    </row>
    <row r="11" spans="1:22" x14ac:dyDescent="0.2">
      <c r="B11" s="69" t="s">
        <v>404</v>
      </c>
      <c r="C11" s="4"/>
      <c r="D11" s="4"/>
      <c r="E11" s="4"/>
      <c r="F11" s="4"/>
      <c r="G11" s="4"/>
      <c r="H11" s="4"/>
      <c r="I11" s="4"/>
      <c r="J11" s="4"/>
      <c r="K11" s="4"/>
      <c r="L11" s="4"/>
      <c r="M11" s="4"/>
      <c r="N11" s="4"/>
      <c r="O11" s="4"/>
      <c r="P11" s="4"/>
      <c r="Q11" s="4"/>
      <c r="R11" s="4"/>
      <c r="S11" s="4"/>
      <c r="T11" s="4"/>
      <c r="U11" s="4"/>
      <c r="V11" s="4"/>
    </row>
    <row r="12" spans="1:22" x14ac:dyDescent="0.2">
      <c r="B12" s="268" t="s">
        <v>6</v>
      </c>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F19*F20</f>
        <v>135000</v>
      </c>
      <c r="E18" s="576" t="s">
        <v>12</v>
      </c>
      <c r="F18" s="577"/>
      <c r="G18" s="578"/>
      <c r="I18" s="71" t="s">
        <v>13</v>
      </c>
      <c r="J18" s="72"/>
      <c r="K18" s="72" t="s">
        <v>14</v>
      </c>
      <c r="L18" s="72" t="s">
        <v>15</v>
      </c>
      <c r="M18" s="72" t="s">
        <v>16</v>
      </c>
      <c r="N18" s="73" t="s">
        <v>17</v>
      </c>
    </row>
    <row r="19" spans="2:22" s="4" customFormat="1" x14ac:dyDescent="0.2">
      <c r="B19" s="12" t="s">
        <v>18</v>
      </c>
      <c r="C19" s="217">
        <f>N23</f>
        <v>386025.75</v>
      </c>
      <c r="E19" s="284" t="s">
        <v>19</v>
      </c>
      <c r="F19" s="285">
        <v>15000</v>
      </c>
      <c r="G19" s="11" t="s">
        <v>20</v>
      </c>
      <c r="I19" s="12"/>
      <c r="J19" s="4" t="s">
        <v>21</v>
      </c>
      <c r="K19" s="4" t="s">
        <v>22</v>
      </c>
      <c r="L19" s="4">
        <f>VLOOKUP($K$19,$E$24:F59,2,FALSE)</f>
        <v>36</v>
      </c>
      <c r="M19" s="4">
        <f>L19*$F$25</f>
        <v>36</v>
      </c>
      <c r="N19" s="13">
        <f>M19*$F$24</f>
        <v>24300</v>
      </c>
    </row>
    <row r="20" spans="2:22" s="4" customFormat="1" x14ac:dyDescent="0.2">
      <c r="B20" s="12" t="s">
        <v>23</v>
      </c>
      <c r="C20" s="281">
        <f>(C28+F24-C29)*M24*0.02</f>
        <v>12432.648000000003</v>
      </c>
      <c r="E20" s="68"/>
      <c r="F20" s="76">
        <f>Archived_Testing_Q5!B33</f>
        <v>9</v>
      </c>
      <c r="G20" s="16"/>
      <c r="I20" s="12" t="s">
        <v>24</v>
      </c>
      <c r="J20" s="19" t="s">
        <v>25</v>
      </c>
      <c r="K20" s="4" t="s">
        <v>26</v>
      </c>
      <c r="L20" s="4">
        <f>VLOOKUP($K$20,$E$25:F60,2,FALSE)</f>
        <v>44.52</v>
      </c>
      <c r="M20" s="4">
        <f>L20*$F$28</f>
        <v>89.04</v>
      </c>
      <c r="N20" s="13">
        <f>M20*$F$24</f>
        <v>60102.000000000007</v>
      </c>
    </row>
    <row r="21" spans="2:22" s="4" customFormat="1" x14ac:dyDescent="0.2">
      <c r="B21" s="276" t="s">
        <v>27</v>
      </c>
      <c r="C21" s="282">
        <v>280000</v>
      </c>
      <c r="E21" s="12" t="s">
        <v>28</v>
      </c>
      <c r="G21" s="103"/>
      <c r="I21" s="12"/>
      <c r="J21" s="20" t="s">
        <v>29</v>
      </c>
      <c r="K21" s="4" t="s">
        <v>30</v>
      </c>
      <c r="L21" s="4">
        <f>VLOOKUP($K$21,$E$26:F63,2,FALSE)</f>
        <v>187.20000000000002</v>
      </c>
      <c r="M21" s="4">
        <f>L21*$F$38</f>
        <v>374.40000000000003</v>
      </c>
      <c r="N21" s="13">
        <f>M21*$F$24</f>
        <v>252720.00000000003</v>
      </c>
      <c r="V21" s="19"/>
    </row>
    <row r="22" spans="2:22" s="4" customFormat="1" x14ac:dyDescent="0.2">
      <c r="B22" s="14"/>
      <c r="C22" s="278">
        <f>SUM(C17:C21)</f>
        <v>813458.39800000004</v>
      </c>
      <c r="E22" s="12" t="s">
        <v>31</v>
      </c>
      <c r="F22" s="214">
        <v>1300000</v>
      </c>
      <c r="G22" s="103"/>
      <c r="I22" s="12"/>
      <c r="J22" s="70" t="s">
        <v>32</v>
      </c>
      <c r="K22" s="4" t="s">
        <v>33</v>
      </c>
      <c r="L22" s="4">
        <f>VLOOKUP($K$22,$E$21:F60,2,FALSE)</f>
        <v>24.150000000000002</v>
      </c>
      <c r="M22" s="4">
        <f>L22*$F$51</f>
        <v>72.45</v>
      </c>
      <c r="N22" s="13">
        <f>M22*$F$24</f>
        <v>48903.75</v>
      </c>
      <c r="V22" s="20"/>
    </row>
    <row r="23" spans="2:22" s="4" customFormat="1" x14ac:dyDescent="0.2">
      <c r="E23" s="12" t="s">
        <v>34</v>
      </c>
      <c r="F23" s="214">
        <v>1500000</v>
      </c>
      <c r="G23" s="103"/>
      <c r="I23" s="71" t="s">
        <v>35</v>
      </c>
      <c r="J23" s="72"/>
      <c r="K23" s="72"/>
      <c r="L23" s="72"/>
      <c r="M23" s="72">
        <f>SUM(M19:M22)</f>
        <v>571.8900000000001</v>
      </c>
      <c r="N23" s="73">
        <f>SUM(N19:N22)</f>
        <v>386025.75</v>
      </c>
      <c r="V23" s="70"/>
    </row>
    <row r="24" spans="2:22" s="4" customFormat="1" x14ac:dyDescent="0.2">
      <c r="E24" s="14" t="s">
        <v>18</v>
      </c>
      <c r="F24" s="95">
        <f>Archived_Testing_Q5!B32</f>
        <v>675</v>
      </c>
      <c r="G24" s="103" t="s">
        <v>36</v>
      </c>
      <c r="I24" s="14" t="s">
        <v>37</v>
      </c>
      <c r="J24" s="15"/>
      <c r="K24" s="15"/>
      <c r="L24" s="15"/>
      <c r="M24" s="15">
        <f>M23-M19</f>
        <v>535.8900000000001</v>
      </c>
      <c r="N24" s="16">
        <f>M24*F24</f>
        <v>361725.75000000006</v>
      </c>
    </row>
    <row r="25" spans="2:22" s="4" customFormat="1" x14ac:dyDescent="0.2">
      <c r="B25" s="71" t="s">
        <v>38</v>
      </c>
      <c r="C25" s="287">
        <f>Archived_Testing_Q5!B30</f>
        <v>0.95</v>
      </c>
      <c r="E25" s="9" t="s">
        <v>21</v>
      </c>
      <c r="F25" s="10">
        <v>1</v>
      </c>
      <c r="G25" s="103" t="s">
        <v>39</v>
      </c>
    </row>
    <row r="26" spans="2:22" s="4" customFormat="1" x14ac:dyDescent="0.2">
      <c r="E26" s="12" t="s">
        <v>40</v>
      </c>
      <c r="F26" s="214">
        <v>20</v>
      </c>
      <c r="G26" s="103"/>
    </row>
    <row r="27" spans="2:22" s="4" customFormat="1" x14ac:dyDescent="0.2">
      <c r="B27" s="9" t="s">
        <v>41</v>
      </c>
      <c r="C27" s="289">
        <f>Archived_Testing_Q5!B17</f>
        <v>819</v>
      </c>
      <c r="E27" s="14" t="s">
        <v>22</v>
      </c>
      <c r="F27" s="283">
        <v>36</v>
      </c>
      <c r="G27" s="98"/>
    </row>
    <row r="28" spans="2:22" s="4" customFormat="1" x14ac:dyDescent="0.2">
      <c r="B28" s="12" t="s">
        <v>42</v>
      </c>
      <c r="C28" s="290">
        <f>Archived_Testing_Q5!B18</f>
        <v>1266</v>
      </c>
      <c r="E28" s="9" t="s">
        <v>25</v>
      </c>
      <c r="F28" s="11">
        <v>2</v>
      </c>
      <c r="G28" s="103" t="s">
        <v>39</v>
      </c>
      <c r="P28" s="214"/>
      <c r="V28" s="19"/>
    </row>
    <row r="29" spans="2:22" s="4" customFormat="1" x14ac:dyDescent="0.2">
      <c r="B29" s="12" t="s">
        <v>43</v>
      </c>
      <c r="C29" s="291">
        <f>Archived_Testing_Q5!B29</f>
        <v>781</v>
      </c>
      <c r="E29" s="12" t="s">
        <v>44</v>
      </c>
      <c r="F29" s="13">
        <f>(1+F31)*F30</f>
        <v>43.2</v>
      </c>
      <c r="G29" s="103"/>
      <c r="V29" s="20"/>
    </row>
    <row r="30" spans="2:22" s="4" customFormat="1" x14ac:dyDescent="0.2">
      <c r="B30" s="12" t="s">
        <v>413</v>
      </c>
      <c r="C30" s="292">
        <f>Archived_Testing_Q5!B31</f>
        <v>741</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f>C29-C30</f>
        <v>40</v>
      </c>
      <c r="E32" s="12" t="s">
        <v>26</v>
      </c>
      <c r="F32" s="13">
        <f>(1+F34)*F33</f>
        <v>44.52</v>
      </c>
      <c r="G32" s="103"/>
      <c r="P32" s="214"/>
    </row>
    <row r="33" spans="2:14" s="4" customFormat="1" x14ac:dyDescent="0.2">
      <c r="B33" s="12" t="s">
        <v>48</v>
      </c>
      <c r="C33" s="222">
        <f>F24</f>
        <v>675</v>
      </c>
      <c r="E33" s="67" t="s">
        <v>45</v>
      </c>
      <c r="F33" s="13">
        <v>42</v>
      </c>
      <c r="G33" s="103"/>
    </row>
    <row r="34" spans="2:14" s="4" customFormat="1" x14ac:dyDescent="0.2">
      <c r="B34" s="12" t="s">
        <v>49</v>
      </c>
      <c r="C34" s="222">
        <f>SUM(C32:C33)</f>
        <v>715</v>
      </c>
      <c r="E34" s="67" t="s">
        <v>46</v>
      </c>
      <c r="F34" s="13">
        <v>0.06</v>
      </c>
      <c r="G34" s="103"/>
    </row>
    <row r="35" spans="2:14" s="4" customFormat="1" x14ac:dyDescent="0.2">
      <c r="B35" s="14" t="s">
        <v>50</v>
      </c>
      <c r="C35" s="288">
        <f>C34*M24</f>
        <v>383161.35000000009</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SUMPRODUCT(F73:I73,F71:I71)</f>
        <v>2286392</v>
      </c>
    </row>
    <row r="69" spans="2:11" s="4" customFormat="1" x14ac:dyDescent="0.2">
      <c r="B69" s="12" t="s">
        <v>61</v>
      </c>
      <c r="C69" s="221">
        <f>J75</f>
        <v>238537.60000000001</v>
      </c>
      <c r="E69" s="9" t="s">
        <v>414</v>
      </c>
      <c r="F69" s="311">
        <v>0.7</v>
      </c>
      <c r="G69" s="311">
        <v>0.7</v>
      </c>
      <c r="H69" s="311">
        <v>0.7</v>
      </c>
      <c r="I69" s="311">
        <v>0.7</v>
      </c>
      <c r="J69" s="11"/>
    </row>
    <row r="70" spans="2:11" s="4" customFormat="1" x14ac:dyDescent="0.2">
      <c r="B70" s="12" t="s">
        <v>62</v>
      </c>
      <c r="C70" s="318">
        <f>C68*C74</f>
        <v>137183.51999999999</v>
      </c>
      <c r="E70" s="297" t="s">
        <v>63</v>
      </c>
      <c r="F70" s="298">
        <v>1</v>
      </c>
      <c r="G70" s="298">
        <v>2</v>
      </c>
      <c r="H70" s="298">
        <v>3</v>
      </c>
      <c r="I70" s="299">
        <v>4</v>
      </c>
      <c r="J70" s="299" t="s">
        <v>64</v>
      </c>
    </row>
    <row r="71" spans="2:11" s="4" customFormat="1" x14ac:dyDescent="0.2">
      <c r="B71" s="14"/>
      <c r="C71" s="319">
        <f>SUM(C68:C70)</f>
        <v>2662113.12</v>
      </c>
      <c r="E71" s="300" t="s">
        <v>65</v>
      </c>
      <c r="F71" s="358">
        <f>Archived_Testing_Q5!$B8</f>
        <v>2450</v>
      </c>
      <c r="G71" s="358">
        <f>Archived_Testing_Q5!$B9</f>
        <v>1899</v>
      </c>
      <c r="H71" s="358">
        <f>Archived_Testing_Q5!$B10</f>
        <v>2450</v>
      </c>
      <c r="I71" s="358">
        <f>Archived_Testing_Q5!$B11</f>
        <v>2450</v>
      </c>
      <c r="J71" s="301" t="s">
        <v>66</v>
      </c>
      <c r="K71" s="363">
        <f>SUMPRODUCT(F71:I71,F72:I72)</f>
        <v>3743680</v>
      </c>
    </row>
    <row r="72" spans="2:11" s="4" customFormat="1" x14ac:dyDescent="0.2">
      <c r="E72" s="300" t="s">
        <v>67</v>
      </c>
      <c r="F72" s="272">
        <f>Archived_Testing_Q5!B20</f>
        <v>320</v>
      </c>
      <c r="G72" s="256">
        <f>Archived_Testing_Q5!B21</f>
        <v>320</v>
      </c>
      <c r="H72" s="272">
        <f>Archived_Testing_Q5!B22</f>
        <v>160</v>
      </c>
      <c r="I72" s="256">
        <f>Archived_Testing_Q5!B23</f>
        <v>800</v>
      </c>
      <c r="J72" s="303">
        <f>Archived_Testing_Q5!B19</f>
        <v>1600</v>
      </c>
      <c r="K72" s="4" t="s">
        <v>405</v>
      </c>
    </row>
    <row r="73" spans="2:11" s="4" customFormat="1" x14ac:dyDescent="0.2">
      <c r="D73" s="199"/>
      <c r="E73" s="300" t="s">
        <v>72</v>
      </c>
      <c r="F73" s="273">
        <f>Archived_Testing_Q5!B25</f>
        <v>208</v>
      </c>
      <c r="G73" s="273">
        <f>Archived_Testing_Q5!B26</f>
        <v>208</v>
      </c>
      <c r="H73" s="273">
        <f>Archived_Testing_Q5!B27</f>
        <v>44</v>
      </c>
      <c r="I73" s="273">
        <f>Archived_Testing_Q5!B28</f>
        <v>520</v>
      </c>
      <c r="J73" s="301">
        <f>Archived_Testing_Q5!B24</f>
        <v>980</v>
      </c>
    </row>
    <row r="74" spans="2:11" s="4" customFormat="1" x14ac:dyDescent="0.2">
      <c r="B74" s="9" t="s">
        <v>68</v>
      </c>
      <c r="C74" s="320">
        <f>Archived_Testing_Q5!B34</f>
        <v>0.06</v>
      </c>
      <c r="D74" s="199"/>
      <c r="E74" s="300" t="s">
        <v>69</v>
      </c>
      <c r="F74" s="256">
        <f>Archived_Testing_Q5!B36</f>
        <v>7</v>
      </c>
      <c r="G74" s="256">
        <f>Archived_Testing_Q5!B37</f>
        <v>7</v>
      </c>
      <c r="H74" s="256">
        <f>Archived_Testing_Q5!B38</f>
        <v>1</v>
      </c>
      <c r="I74" s="256">
        <f>Archived_Testing_Q5!B39</f>
        <v>7</v>
      </c>
      <c r="J74" s="301"/>
    </row>
    <row r="75" spans="2:11" s="4" customFormat="1" x14ac:dyDescent="0.2">
      <c r="B75" s="12" t="s">
        <v>70</v>
      </c>
      <c r="C75" s="221">
        <f>J72</f>
        <v>1600</v>
      </c>
      <c r="D75" s="357"/>
      <c r="E75" s="300" t="s">
        <v>71</v>
      </c>
      <c r="F75" s="312">
        <f>F72*F71*F74/100</f>
        <v>54880</v>
      </c>
      <c r="G75" s="312">
        <f>G72*G71*G74/100</f>
        <v>42537.599999999999</v>
      </c>
      <c r="H75" s="312">
        <f>H72*H71*H74/100</f>
        <v>3920</v>
      </c>
      <c r="I75" s="304">
        <f>I72*I71*I74/100</f>
        <v>137200</v>
      </c>
      <c r="J75" s="304">
        <f>SUM(F75:I75)</f>
        <v>238537.60000000001</v>
      </c>
    </row>
    <row r="76" spans="2:11" s="4" customFormat="1" x14ac:dyDescent="0.2">
      <c r="B76" s="12" t="s">
        <v>72</v>
      </c>
      <c r="C76" s="221">
        <f>J73</f>
        <v>980</v>
      </c>
      <c r="D76" s="199"/>
      <c r="E76" s="300" t="s">
        <v>73</v>
      </c>
      <c r="F76" s="256">
        <f>Archived_Testing_Q5!$B41</f>
        <v>0</v>
      </c>
      <c r="G76" s="256">
        <f>Archived_Testing_Q5!$B42</f>
        <v>1</v>
      </c>
      <c r="H76" s="256">
        <f>Archived_Testing_Q5!$B43</f>
        <v>0</v>
      </c>
      <c r="I76" s="256">
        <f>Archived_Testing_Q5!$B44</f>
        <v>0</v>
      </c>
      <c r="J76" s="301" t="s">
        <v>66</v>
      </c>
    </row>
    <row r="77" spans="2:11" s="4" customFormat="1" x14ac:dyDescent="0.2">
      <c r="B77" s="14" t="s">
        <v>74</v>
      </c>
      <c r="C77" s="319">
        <f>C75-C76</f>
        <v>620</v>
      </c>
      <c r="D77" s="199"/>
      <c r="E77" s="305" t="s">
        <v>75</v>
      </c>
      <c r="F77" s="306">
        <f>Data_EmployeeNumber!B8+'Q5-Predict'!F76</f>
        <v>2</v>
      </c>
      <c r="G77" s="306">
        <f>Data_EmployeeNumber!C8+'Q5-Predict'!G76</f>
        <v>3</v>
      </c>
      <c r="H77" s="306">
        <f>Data_EmployeeNumber!D8+'Q5-Predict'!H76</f>
        <v>2</v>
      </c>
      <c r="I77" s="306">
        <f>Data_EmployeeNumber!E8+'Q5-Predict'!I76</f>
        <v>4</v>
      </c>
      <c r="J77" s="307">
        <f>SUM(F77:I77)</f>
        <v>11</v>
      </c>
    </row>
    <row r="78" spans="2:11" s="4" customFormat="1" x14ac:dyDescent="0.2">
      <c r="E78" s="300" t="s">
        <v>76</v>
      </c>
      <c r="F78" s="296">
        <v>941</v>
      </c>
      <c r="G78" s="296">
        <v>638</v>
      </c>
      <c r="H78" s="296">
        <v>706</v>
      </c>
      <c r="I78" s="301">
        <v>1075</v>
      </c>
      <c r="J78" s="301"/>
    </row>
    <row r="79" spans="2:11" s="4" customFormat="1" x14ac:dyDescent="0.2">
      <c r="E79" s="305" t="s">
        <v>78</v>
      </c>
      <c r="F79" s="308">
        <f>F73/F78</f>
        <v>0.22104144527098832</v>
      </c>
      <c r="G79" s="308">
        <f>G73/G78</f>
        <v>0.32601880877742945</v>
      </c>
      <c r="H79" s="308">
        <f>H73/H78</f>
        <v>6.2322946175637391E-2</v>
      </c>
      <c r="I79" s="317">
        <f>I73/I78</f>
        <v>0.48372093023255813</v>
      </c>
      <c r="J79" s="309"/>
    </row>
    <row r="80" spans="2:11" s="4" customFormat="1" x14ac:dyDescent="0.2">
      <c r="E80" s="296" t="s">
        <v>79</v>
      </c>
      <c r="F80" s="367">
        <v>39.229999999999997</v>
      </c>
      <c r="G80" s="310">
        <v>0</v>
      </c>
      <c r="H80" s="310">
        <v>45.3</v>
      </c>
      <c r="I80" s="310">
        <v>57</v>
      </c>
      <c r="J80" s="296"/>
    </row>
    <row r="81" spans="1:12" s="4" customFormat="1" x14ac:dyDescent="0.2">
      <c r="E81" s="296"/>
      <c r="F81" s="367"/>
      <c r="G81" s="310"/>
      <c r="H81" s="310"/>
      <c r="I81" s="310"/>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I98</f>
        <v>304200</v>
      </c>
      <c r="D92" s="214"/>
      <c r="E92" s="71" t="s">
        <v>82</v>
      </c>
      <c r="F92" s="329">
        <f>Archived_Testing_Q5!B45</f>
        <v>5200</v>
      </c>
      <c r="H92" s="71" t="s">
        <v>82</v>
      </c>
      <c r="I92" s="72" t="s">
        <v>83</v>
      </c>
      <c r="J92" s="72" t="s">
        <v>84</v>
      </c>
      <c r="K92" s="72" t="s">
        <v>85</v>
      </c>
      <c r="L92" s="73" t="s">
        <v>86</v>
      </c>
    </row>
    <row r="93" spans="1:12" s="4" customFormat="1" x14ac:dyDescent="0.2">
      <c r="B93" s="12" t="s">
        <v>87</v>
      </c>
      <c r="C93" s="217">
        <f>K103</f>
        <v>70000</v>
      </c>
      <c r="D93" s="214"/>
      <c r="H93" s="12" t="s">
        <v>88</v>
      </c>
      <c r="I93" s="214">
        <f>$F$92*K93</f>
        <v>26000</v>
      </c>
      <c r="J93" s="4">
        <v>1</v>
      </c>
      <c r="K93" s="4">
        <v>5</v>
      </c>
      <c r="L93" s="13">
        <f>J93*K93</f>
        <v>5</v>
      </c>
    </row>
    <row r="94" spans="1:12" s="4" customFormat="1" x14ac:dyDescent="0.2">
      <c r="B94" s="12" t="s">
        <v>89</v>
      </c>
      <c r="C94" s="217">
        <f>K104</f>
        <v>10000</v>
      </c>
      <c r="D94" s="321"/>
      <c r="E94" s="71" t="s">
        <v>90</v>
      </c>
      <c r="F94" s="73"/>
      <c r="H94" s="12" t="s">
        <v>91</v>
      </c>
      <c r="I94" s="214">
        <f>$F$92*K94</f>
        <v>5200</v>
      </c>
      <c r="J94" s="4">
        <v>35</v>
      </c>
      <c r="K94" s="4">
        <v>1</v>
      </c>
      <c r="L94" s="13">
        <f>J94*K94</f>
        <v>35</v>
      </c>
    </row>
    <row r="95" spans="1:12" s="4" customFormat="1" x14ac:dyDescent="0.2">
      <c r="B95" s="12" t="s">
        <v>92</v>
      </c>
      <c r="C95" s="217">
        <f>K105</f>
        <v>47000</v>
      </c>
      <c r="E95" s="12" t="s">
        <v>93</v>
      </c>
      <c r="F95" s="327">
        <v>10000</v>
      </c>
      <c r="H95" s="12" t="s">
        <v>94</v>
      </c>
      <c r="I95" s="214">
        <f>$F$92*K95</f>
        <v>13000</v>
      </c>
      <c r="J95" s="4">
        <v>3</v>
      </c>
      <c r="K95" s="4">
        <v>2.5</v>
      </c>
      <c r="L95" s="13">
        <f>J95*K95</f>
        <v>7.5</v>
      </c>
    </row>
    <row r="96" spans="1:12" s="4" customFormat="1" x14ac:dyDescent="0.2">
      <c r="B96" s="71"/>
      <c r="C96" s="324">
        <f>SUM(C92:C95)</f>
        <v>431200</v>
      </c>
      <c r="E96" s="12" t="s">
        <v>95</v>
      </c>
      <c r="F96" s="194">
        <f>Archived_Testing_Q5!B46</f>
        <v>7</v>
      </c>
      <c r="H96" s="12" t="s">
        <v>96</v>
      </c>
      <c r="I96" s="214">
        <f>$F$92*K96</f>
        <v>5200</v>
      </c>
      <c r="J96" s="4">
        <f>J77</f>
        <v>11</v>
      </c>
      <c r="K96" s="4">
        <v>1</v>
      </c>
      <c r="L96" s="13">
        <f>J96*K96</f>
        <v>11</v>
      </c>
    </row>
    <row r="97" spans="1:12" s="4" customFormat="1" x14ac:dyDescent="0.2">
      <c r="E97" s="12" t="s">
        <v>97</v>
      </c>
      <c r="F97" s="217">
        <v>2000</v>
      </c>
      <c r="H97" s="12" t="s">
        <v>64</v>
      </c>
      <c r="I97" s="4" t="s">
        <v>66</v>
      </c>
      <c r="J97" s="4">
        <f>SUM(J93:J96)</f>
        <v>50</v>
      </c>
      <c r="K97" s="4" t="s">
        <v>66</v>
      </c>
      <c r="L97" s="13">
        <f>SUM(L93:L96)</f>
        <v>58.5</v>
      </c>
    </row>
    <row r="98" spans="1:12" s="4" customFormat="1" x14ac:dyDescent="0.2">
      <c r="B98" s="71" t="s">
        <v>98</v>
      </c>
      <c r="C98" s="73" t="s">
        <v>406</v>
      </c>
      <c r="E98" s="14" t="s">
        <v>95</v>
      </c>
      <c r="F98" s="76">
        <f>Archived_Testing_Q5!B47</f>
        <v>5</v>
      </c>
      <c r="H98" s="14" t="s">
        <v>99</v>
      </c>
      <c r="I98" s="322">
        <f>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F92</f>
        <v>5200</v>
      </c>
      <c r="J102" s="4">
        <f>L97</f>
        <v>58.5</v>
      </c>
      <c r="K102" s="217">
        <f>I102*J102</f>
        <v>304200</v>
      </c>
    </row>
    <row r="103" spans="1:12" s="4" customFormat="1" x14ac:dyDescent="0.2">
      <c r="E103" s="12" t="s">
        <v>106</v>
      </c>
      <c r="F103" s="217">
        <v>175</v>
      </c>
      <c r="H103" s="12" t="s">
        <v>93</v>
      </c>
      <c r="I103" s="214">
        <f>F95</f>
        <v>10000</v>
      </c>
      <c r="J103" s="4">
        <f>F96</f>
        <v>7</v>
      </c>
      <c r="K103" s="217">
        <f>F95*J103</f>
        <v>70000</v>
      </c>
    </row>
    <row r="104" spans="1:12" s="4" customFormat="1" ht="17" customHeight="1" x14ac:dyDescent="0.2">
      <c r="E104" s="12" t="s">
        <v>107</v>
      </c>
      <c r="F104" s="217">
        <v>400</v>
      </c>
      <c r="H104" s="12" t="s">
        <v>97</v>
      </c>
      <c r="I104" s="214">
        <f>F97</f>
        <v>2000</v>
      </c>
      <c r="J104" s="4">
        <f>F98</f>
        <v>5</v>
      </c>
      <c r="K104" s="217">
        <f>F97*J104</f>
        <v>10000</v>
      </c>
    </row>
    <row r="105" spans="1:12" s="4" customFormat="1" x14ac:dyDescent="0.2">
      <c r="E105" s="12" t="s">
        <v>108</v>
      </c>
      <c r="F105" s="217">
        <v>280</v>
      </c>
      <c r="H105" s="12" t="s">
        <v>109</v>
      </c>
      <c r="I105" s="214">
        <f>F102+F106+F107+F108</f>
        <v>940</v>
      </c>
      <c r="J105" s="4">
        <f>J97</f>
        <v>50</v>
      </c>
      <c r="K105" s="217">
        <f>I105*J105</f>
        <v>47000</v>
      </c>
    </row>
    <row r="106" spans="1:12" s="4" customFormat="1" x14ac:dyDescent="0.2">
      <c r="E106" s="325" t="s">
        <v>110</v>
      </c>
      <c r="F106" s="217">
        <v>350</v>
      </c>
      <c r="H106" s="14"/>
      <c r="I106" s="15"/>
      <c r="J106" s="15"/>
      <c r="K106" s="278">
        <f>SUM(K102:K105)</f>
        <v>431200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199" t="s">
        <v>114</v>
      </c>
      <c r="C113" s="199">
        <f>200000</f>
        <v>200000</v>
      </c>
    </row>
    <row r="114" spans="1:22" s="4" customFormat="1" x14ac:dyDescent="0.2">
      <c r="B114" s="199" t="s">
        <v>115</v>
      </c>
      <c r="C114" s="199">
        <f>2*0.019</f>
        <v>3.7999999999999999E-2</v>
      </c>
    </row>
    <row r="115" spans="1:22" s="4" customFormat="1" x14ac:dyDescent="0.2">
      <c r="B115" s="199" t="s">
        <v>116</v>
      </c>
      <c r="C115" s="199">
        <f>C113*C114</f>
        <v>7600</v>
      </c>
    </row>
    <row r="116" spans="1:22" s="4" customFormat="1" x14ac:dyDescent="0.2">
      <c r="B116" s="4" t="s">
        <v>117</v>
      </c>
      <c r="C116" s="69">
        <f>Archived_Testing_Q5!B48</f>
        <v>40000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407</v>
      </c>
    </row>
    <row r="121" spans="1:22" s="4" customFormat="1" x14ac:dyDescent="0.2"/>
    <row r="122" spans="1:22" s="4" customFormat="1" x14ac:dyDescent="0.2">
      <c r="B122" s="4" t="s">
        <v>119</v>
      </c>
    </row>
    <row r="123" spans="1:22" s="4" customFormat="1" x14ac:dyDescent="0.2">
      <c r="B123" s="9" t="s">
        <v>60</v>
      </c>
      <c r="C123" s="334">
        <f>IFERROR(VLOOKUP(B123,$B$14:$C$121,2,FALSE),0)</f>
        <v>2286392</v>
      </c>
      <c r="D123" s="286"/>
      <c r="E123" s="286"/>
    </row>
    <row r="124" spans="1:22" s="4" customFormat="1" x14ac:dyDescent="0.2">
      <c r="B124" s="275" t="s">
        <v>120</v>
      </c>
      <c r="C124" s="335">
        <f>(C74+0.125)*C123+J73*M23</f>
        <v>983434.72000000009</v>
      </c>
      <c r="D124" s="302"/>
      <c r="F124" s="9" t="s">
        <v>400</v>
      </c>
      <c r="G124" s="9" t="s">
        <v>122</v>
      </c>
      <c r="H124" s="331">
        <f>C128+C130</f>
        <v>351200</v>
      </c>
      <c r="I124" s="10">
        <f>H124/$H$128</f>
        <v>358.36734693877548</v>
      </c>
      <c r="J124" s="11"/>
    </row>
    <row r="125" spans="1:22" s="4" customFormat="1" x14ac:dyDescent="0.2">
      <c r="B125" s="12" t="s">
        <v>123</v>
      </c>
      <c r="C125" s="336">
        <f>C123-C124</f>
        <v>1302957.2799999998</v>
      </c>
      <c r="F125" s="12"/>
      <c r="G125" s="12" t="s">
        <v>124</v>
      </c>
      <c r="H125" s="279">
        <f>SUMIF(D127:D139,"FC",C127:C139)</f>
        <v>1090170.2479999999</v>
      </c>
      <c r="I125" s="4">
        <f>H125/$H$128</f>
        <v>1112.4186204081632</v>
      </c>
      <c r="J125" s="13"/>
    </row>
    <row r="126" spans="1:22" s="4" customFormat="1" x14ac:dyDescent="0.2">
      <c r="B126" s="12" t="s">
        <v>125</v>
      </c>
      <c r="C126" s="336"/>
      <c r="F126" s="12"/>
      <c r="G126" s="12" t="s">
        <v>120</v>
      </c>
      <c r="H126" s="279">
        <f>C124</f>
        <v>983434.72000000009</v>
      </c>
      <c r="I126" s="4">
        <f>H126/$H$128</f>
        <v>1003.5048163265307</v>
      </c>
      <c r="J126" s="13"/>
    </row>
    <row r="127" spans="1:22" s="4" customFormat="1" x14ac:dyDescent="0.2">
      <c r="B127" s="12" t="s">
        <v>27</v>
      </c>
      <c r="C127" s="336">
        <v>280000</v>
      </c>
      <c r="D127" s="4" t="s">
        <v>124</v>
      </c>
      <c r="F127" s="12"/>
      <c r="G127" s="12" t="s">
        <v>127</v>
      </c>
      <c r="H127" s="279">
        <f>SUM(H124:H126)</f>
        <v>2424804.9679999999</v>
      </c>
      <c r="J127" s="13"/>
    </row>
    <row r="128" spans="1:22" s="4" customFormat="1" x14ac:dyDescent="0.2">
      <c r="B128" s="12" t="s">
        <v>81</v>
      </c>
      <c r="C128" s="336">
        <f t="shared" ref="C128:C136" si="0">IFERROR(VLOOKUP(B128,$B$14:$C$121,2,FALSE),0)</f>
        <v>304200</v>
      </c>
      <c r="D128" s="4" t="s">
        <v>124</v>
      </c>
      <c r="F128" s="12"/>
      <c r="G128" s="12" t="s">
        <v>128</v>
      </c>
      <c r="H128" s="302">
        <f>C76</f>
        <v>980</v>
      </c>
      <c r="J128" s="13"/>
    </row>
    <row r="129" spans="2:10" s="4" customFormat="1" x14ac:dyDescent="0.2">
      <c r="B129" s="12" t="s">
        <v>87</v>
      </c>
      <c r="C129" s="336">
        <f t="shared" si="0"/>
        <v>70000</v>
      </c>
      <c r="D129" s="4" t="s">
        <v>124</v>
      </c>
      <c r="F129" s="12"/>
      <c r="G129" s="12" t="s">
        <v>129</v>
      </c>
      <c r="H129" s="339">
        <f>H127/H128</f>
        <v>2474.2907836734694</v>
      </c>
      <c r="J129" s="13"/>
    </row>
    <row r="130" spans="2:10" s="4" customFormat="1" x14ac:dyDescent="0.2">
      <c r="B130" s="12" t="s">
        <v>92</v>
      </c>
      <c r="C130" s="336">
        <f t="shared" si="0"/>
        <v>47000</v>
      </c>
      <c r="D130" s="4" t="s">
        <v>122</v>
      </c>
      <c r="F130" s="12"/>
      <c r="G130" s="12"/>
      <c r="J130" s="13"/>
    </row>
    <row r="131" spans="2:10" s="4" customFormat="1" x14ac:dyDescent="0.2">
      <c r="B131" s="12" t="s">
        <v>89</v>
      </c>
      <c r="C131" s="336">
        <f t="shared" si="0"/>
        <v>10000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$H$129*(1+H131)</f>
        <v>2721.7198620408167</v>
      </c>
      <c r="I132" s="333">
        <f>$H$129*(1+I131)</f>
        <v>2969.1489404081631</v>
      </c>
      <c r="J132" s="341">
        <f>$H$129*(1+J131)</f>
        <v>3216.5780187755104</v>
      </c>
    </row>
    <row r="133" spans="2:10" s="4" customFormat="1" x14ac:dyDescent="0.2">
      <c r="B133" s="12" t="s">
        <v>11</v>
      </c>
      <c r="C133" s="336">
        <f t="shared" si="0"/>
        <v>135000</v>
      </c>
      <c r="D133" s="4" t="s">
        <v>124</v>
      </c>
      <c r="F133" s="12"/>
      <c r="G133" s="4" t="s">
        <v>133</v>
      </c>
      <c r="H133" s="302">
        <f>H132-$H$129</f>
        <v>247.4290783673473</v>
      </c>
      <c r="I133" s="302">
        <f>I132-$H$129</f>
        <v>494.85815673469369</v>
      </c>
      <c r="J133" s="318">
        <f>J132-$H$129</f>
        <v>742.287235102041</v>
      </c>
    </row>
    <row r="134" spans="2:10" s="4" customFormat="1" x14ac:dyDescent="0.2">
      <c r="B134" s="12" t="s">
        <v>61</v>
      </c>
      <c r="C134" s="336">
        <f t="shared" si="0"/>
        <v>238537.60000000001</v>
      </c>
      <c r="D134" s="4" t="s">
        <v>124</v>
      </c>
      <c r="F134" s="12" t="s">
        <v>401</v>
      </c>
      <c r="G134" s="4" t="s">
        <v>134</v>
      </c>
      <c r="H134" s="355">
        <f>H133/H132</f>
        <v>9.0909090909091037E-2</v>
      </c>
      <c r="I134" s="355">
        <f>I133/I132</f>
        <v>0.1666666666666666</v>
      </c>
      <c r="J134" s="326">
        <f>J133/J132</f>
        <v>0.23076923076923081</v>
      </c>
    </row>
    <row r="135" spans="2:10" s="4" customFormat="1" x14ac:dyDescent="0.2">
      <c r="B135" s="12" t="s">
        <v>23</v>
      </c>
      <c r="C135" s="336">
        <f>IFERROR(VLOOKUP(B135,$B$14:$C$121,2,FALSE),0)</f>
        <v>12432.648000000003</v>
      </c>
      <c r="D135" s="4" t="s">
        <v>124</v>
      </c>
      <c r="F135" s="12" t="s">
        <v>402</v>
      </c>
      <c r="G135" s="4" t="s">
        <v>135</v>
      </c>
      <c r="H135" s="279">
        <f>$H$125/H134</f>
        <v>11991872.727999981</v>
      </c>
      <c r="I135" s="279">
        <f>$H$125/I134</f>
        <v>6541021.4880000018</v>
      </c>
      <c r="J135" s="281">
        <f>$H$125/J134</f>
        <v>4724071.0746666659</v>
      </c>
    </row>
    <row r="136" spans="2:10" s="4" customFormat="1" x14ac:dyDescent="0.2">
      <c r="B136" s="12" t="s">
        <v>117</v>
      </c>
      <c r="C136" s="336">
        <f t="shared" si="0"/>
        <v>40000</v>
      </c>
      <c r="D136" s="4" t="s">
        <v>124</v>
      </c>
      <c r="F136" s="14"/>
      <c r="G136" s="15" t="s">
        <v>136</v>
      </c>
      <c r="H136" s="15">
        <f>H135/H132</f>
        <v>4405.9908204542999</v>
      </c>
      <c r="I136" s="15">
        <f>I135/I132</f>
        <v>2202.9954102271545</v>
      </c>
      <c r="J136" s="16">
        <f>J135/J132</f>
        <v>1468.6636068181022</v>
      </c>
    </row>
    <row r="137" spans="2:10" s="4" customFormat="1" x14ac:dyDescent="0.2">
      <c r="B137" s="275" t="s">
        <v>137</v>
      </c>
      <c r="C137" s="335" cm="1">
        <f t="array" ref="C137">SUMPRODUCT(F80:I80*F73:I73)</f>
        <v>39793.040000000001</v>
      </c>
      <c r="D137" s="380"/>
    </row>
    <row r="138" spans="2:10" s="4" customFormat="1" x14ac:dyDescent="0.2">
      <c r="B138" s="12" t="s">
        <v>139</v>
      </c>
      <c r="C138" s="336">
        <f>IFERROR(VLOOKUP(B138,$B$14:$C$121,2,FALSE),0)</f>
        <v>0</v>
      </c>
    </row>
    <row r="139" spans="2:10" s="4" customFormat="1" x14ac:dyDescent="0.2">
      <c r="B139" s="365" t="s">
        <v>140</v>
      </c>
      <c r="C139" s="366">
        <f>Archived_Testing_Q5!B16</f>
        <v>116709.02</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SUM(C127:C141)</f>
        <v>1293672.3080000002</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row>
    <row r="147" spans="2:5" s="4" customFormat="1" x14ac:dyDescent="0.2">
      <c r="B147" s="12" t="s">
        <v>146</v>
      </c>
      <c r="C147" s="359">
        <f>C125-C142</f>
        <v>9284.9719999996014</v>
      </c>
    </row>
    <row r="148" spans="2:5" s="4" customFormat="1" x14ac:dyDescent="0.2">
      <c r="B148" s="12" t="s">
        <v>147</v>
      </c>
      <c r="C148" s="13">
        <v>0</v>
      </c>
    </row>
    <row r="149" spans="2:5" s="4" customFormat="1" x14ac:dyDescent="0.2">
      <c r="B149" s="12" t="s">
        <v>148</v>
      </c>
      <c r="C149" s="336">
        <f>C147-C148</f>
        <v>9284.9719999996014</v>
      </c>
    </row>
    <row r="150" spans="2:5" s="4" customFormat="1" x14ac:dyDescent="0.2">
      <c r="B150" s="12" t="s">
        <v>119</v>
      </c>
      <c r="C150" s="13"/>
    </row>
    <row r="151" spans="2:5" s="4" customFormat="1" x14ac:dyDescent="0.2">
      <c r="B151" s="12" t="s">
        <v>149</v>
      </c>
      <c r="C151" s="368">
        <f>'Q4-Validation'!$C$154</f>
        <v>-1575663.9228000001</v>
      </c>
    </row>
    <row r="152" spans="2:5" s="4" customFormat="1" x14ac:dyDescent="0.2">
      <c r="B152" s="12" t="s">
        <v>148</v>
      </c>
      <c r="C152" s="336">
        <f>C149+C151</f>
        <v>-1566378.9508000005</v>
      </c>
    </row>
    <row r="153" spans="2:5" s="4" customFormat="1" x14ac:dyDescent="0.2">
      <c r="B153" s="12" t="s">
        <v>150</v>
      </c>
      <c r="C153" s="13">
        <v>0</v>
      </c>
    </row>
    <row r="154" spans="2:5" s="4" customFormat="1" x14ac:dyDescent="0.2">
      <c r="B154" s="14" t="s">
        <v>151</v>
      </c>
      <c r="C154" s="337">
        <f>C152+C153</f>
        <v>-1566378.9508000005</v>
      </c>
    </row>
    <row r="155" spans="2:5" s="4" customFormat="1" x14ac:dyDescent="0.2"/>
    <row r="156" spans="2:5" s="4" customFormat="1" x14ac:dyDescent="0.2">
      <c r="C156" s="330"/>
      <c r="D156" s="214"/>
      <c r="E156" s="279"/>
    </row>
    <row r="157" spans="2:5" s="4" customFormat="1" x14ac:dyDescent="0.2"/>
    <row r="158" spans="2:5" s="4" customFormat="1" x14ac:dyDescent="0.2"/>
    <row r="159" spans="2:5" s="4" customFormat="1" x14ac:dyDescent="0.2"/>
    <row r="160" spans="2:5" s="4" customFormat="1" x14ac:dyDescent="0.2"/>
    <row r="161" s="4" customFormat="1" x14ac:dyDescent="0.2"/>
    <row r="162" s="4" customFormat="1" x14ac:dyDescent="0.2"/>
    <row r="163" s="4" customFormat="1" x14ac:dyDescent="0.2"/>
    <row r="164" s="4" customFormat="1" x14ac:dyDescent="0.2"/>
    <row r="165" s="4" customFormat="1" x14ac:dyDescent="0.2"/>
    <row r="166" s="4" customFormat="1" x14ac:dyDescent="0.2"/>
    <row r="167" s="4" customFormat="1" x14ac:dyDescent="0.2"/>
    <row r="168" s="4" customFormat="1" x14ac:dyDescent="0.2"/>
    <row r="169" s="4" customFormat="1" x14ac:dyDescent="0.2"/>
    <row r="170" s="4" customFormat="1" x14ac:dyDescent="0.2"/>
    <row r="171" s="4" customFormat="1" x14ac:dyDescent="0.2"/>
    <row r="172" s="4" customFormat="1" x14ac:dyDescent="0.2"/>
    <row r="173" s="4" customFormat="1" x14ac:dyDescent="0.2"/>
    <row r="174"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0764DB3-99E3-B049-94CD-5F361598B909}">
          <x14:formula1>
            <xm:f>Reference!$C$1:$C$5</xm:f>
          </x14:formula1>
          <xm:sqref>W22 W29 K21</xm:sqref>
        </x14:dataValidation>
        <x14:dataValidation type="list" allowBlank="1" showInputMessage="1" showErrorMessage="1" xr:uid="{646B6D5E-5E38-A840-94AE-1320DD99B3BD}">
          <x14:formula1>
            <xm:f>Reference!$A$1:$A$3</xm:f>
          </x14:formula1>
          <xm:sqref>W20 W27 K19</xm:sqref>
        </x14:dataValidation>
        <x14:dataValidation type="list" allowBlank="1" showInputMessage="1" showErrorMessage="1" xr:uid="{9C64D226-4B61-8C4E-859E-F4EF835F4A92}">
          <x14:formula1>
            <xm:f>Reference!$D$1:$D$4</xm:f>
          </x14:formula1>
          <xm:sqref>W23 W30 K22</xm:sqref>
        </x14:dataValidation>
        <x14:dataValidation type="list" allowBlank="1" showInputMessage="1" showErrorMessage="1" xr:uid="{BC6DD8F4-B11A-144D-82D5-6C640994AE66}">
          <x14:formula1>
            <xm:f>Reference!$B$1:$B$4</xm:f>
          </x14:formula1>
          <xm:sqref>W21 W28 K20</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09118-DE6B-8D4C-9B67-6DF5FA2CB4E6}">
  <sheetPr codeName="Sheet5">
    <tabColor theme="2" tint="-9.9978637043366805E-2"/>
  </sheetPr>
  <dimension ref="A1:V174"/>
  <sheetViews>
    <sheetView topLeftCell="A63" zoomScale="108" zoomScaleNormal="100" workbookViewId="0">
      <selection activeCell="B11" sqref="B11"/>
    </sheetView>
  </sheetViews>
  <sheetFormatPr baseColWidth="10" defaultColWidth="11" defaultRowHeight="16" x14ac:dyDescent="0.2"/>
  <cols>
    <col min="1" max="1" width="5.6640625" style="4" customWidth="1"/>
    <col min="2" max="2" width="33.33203125" bestFit="1" customWidth="1"/>
    <col min="3" max="3" width="14" bestFit="1" customWidth="1"/>
    <col min="4" max="4" width="15.1640625"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4"/>
      <c r="C2" s="4"/>
      <c r="D2" s="4"/>
      <c r="E2" s="4"/>
      <c r="F2" s="4"/>
      <c r="G2" s="4"/>
      <c r="H2" s="4"/>
      <c r="I2" s="4"/>
      <c r="J2" s="4"/>
      <c r="K2" s="4"/>
      <c r="L2" s="4"/>
      <c r="M2" s="4"/>
      <c r="N2" s="4"/>
      <c r="O2" s="4"/>
      <c r="P2" s="4"/>
      <c r="Q2" s="4"/>
      <c r="R2" s="4"/>
      <c r="S2" s="4"/>
      <c r="T2" s="4"/>
      <c r="U2" s="4"/>
      <c r="V2" s="4"/>
    </row>
    <row r="3" spans="1:22" x14ac:dyDescent="0.2">
      <c r="B3" s="4"/>
      <c r="C3" s="4"/>
      <c r="D3" s="4"/>
      <c r="E3" s="4"/>
      <c r="F3" s="4"/>
      <c r="G3" s="4"/>
      <c r="H3" s="4"/>
      <c r="I3" s="4"/>
      <c r="J3" s="4"/>
      <c r="K3" s="4"/>
      <c r="L3" s="4"/>
      <c r="M3" s="4"/>
      <c r="N3" s="4"/>
      <c r="O3" s="4"/>
      <c r="P3" s="4"/>
      <c r="Q3" s="4"/>
      <c r="R3" s="4"/>
      <c r="S3" s="4"/>
      <c r="T3" s="4"/>
      <c r="U3" s="4"/>
      <c r="V3" s="4"/>
    </row>
    <row r="4" spans="1:22" s="4" customFormat="1" x14ac:dyDescent="0.2"/>
    <row r="5" spans="1:22" s="4" customFormat="1" x14ac:dyDescent="0.2"/>
    <row r="6" spans="1:22" s="4" customFormat="1" x14ac:dyDescent="0.2"/>
    <row r="7" spans="1:22" s="4" customFormat="1" x14ac:dyDescent="0.2"/>
    <row r="8" spans="1:22" s="4" customFormat="1" x14ac:dyDescent="0.2"/>
    <row r="9" spans="1:22" s="4" customFormat="1" x14ac:dyDescent="0.2"/>
    <row r="10" spans="1:22" x14ac:dyDescent="0.2">
      <c r="B10" s="4"/>
      <c r="C10" s="4"/>
      <c r="D10" s="4"/>
      <c r="E10" s="4"/>
      <c r="F10" s="4"/>
      <c r="G10" s="4"/>
      <c r="H10" s="4"/>
      <c r="I10" s="4"/>
      <c r="J10" s="4"/>
      <c r="K10" s="4"/>
      <c r="L10" s="4"/>
      <c r="M10" s="4"/>
      <c r="N10" s="4"/>
      <c r="O10" s="4"/>
      <c r="P10" s="4"/>
      <c r="Q10" s="4"/>
      <c r="R10" s="4"/>
      <c r="S10" s="4"/>
      <c r="T10" s="4"/>
      <c r="U10" s="4"/>
      <c r="V10" s="4"/>
    </row>
    <row r="11" spans="1:22" x14ac:dyDescent="0.2">
      <c r="B11" s="4"/>
      <c r="C11" s="4"/>
      <c r="D11" s="4"/>
      <c r="E11" s="4"/>
      <c r="F11" s="4"/>
      <c r="G11" s="4"/>
      <c r="H11" s="4"/>
      <c r="I11" s="4"/>
      <c r="J11" s="4"/>
      <c r="K11" s="4"/>
      <c r="L11" s="4"/>
      <c r="M11" s="4"/>
      <c r="N11" s="4"/>
      <c r="O11" s="4"/>
      <c r="P11" s="4"/>
      <c r="Q11" s="4"/>
      <c r="R11" s="4"/>
      <c r="S11" s="4"/>
      <c r="T11" s="4"/>
      <c r="U11" s="4"/>
      <c r="V11" s="4"/>
    </row>
    <row r="12" spans="1:22" x14ac:dyDescent="0.2">
      <c r="B12" s="126" t="s">
        <v>415</v>
      </c>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F19*F20</f>
        <v>75000</v>
      </c>
      <c r="E18" s="576" t="s">
        <v>12</v>
      </c>
      <c r="F18" s="577"/>
      <c r="G18" s="578"/>
      <c r="I18" s="71" t="s">
        <v>13</v>
      </c>
      <c r="J18" s="72"/>
      <c r="K18" s="72" t="s">
        <v>14</v>
      </c>
      <c r="L18" s="72" t="s">
        <v>15</v>
      </c>
      <c r="M18" s="72" t="s">
        <v>16</v>
      </c>
      <c r="N18" s="73" t="s">
        <v>17</v>
      </c>
    </row>
    <row r="19" spans="2:22" s="4" customFormat="1" x14ac:dyDescent="0.2">
      <c r="B19" s="12" t="s">
        <v>18</v>
      </c>
      <c r="C19" s="217">
        <f>N23</f>
        <v>607347.18000000005</v>
      </c>
      <c r="E19" s="284" t="s">
        <v>19</v>
      </c>
      <c r="F19" s="285">
        <v>15000</v>
      </c>
      <c r="G19" s="11" t="s">
        <v>20</v>
      </c>
      <c r="I19" s="12"/>
      <c r="J19" s="4" t="s">
        <v>21</v>
      </c>
      <c r="K19" s="4" t="s">
        <v>22</v>
      </c>
      <c r="L19" s="4">
        <f>VLOOKUP($K$19,$E$24:F59,2,FALSE)</f>
        <v>36</v>
      </c>
      <c r="M19" s="4">
        <f>L19*$F$25</f>
        <v>36</v>
      </c>
      <c r="N19" s="13">
        <f>M19*$F$24</f>
        <v>38232</v>
      </c>
    </row>
    <row r="20" spans="2:22" s="4" customFormat="1" x14ac:dyDescent="0.2">
      <c r="B20" s="12" t="s">
        <v>23</v>
      </c>
      <c r="C20" s="281">
        <f>C35*0.02</f>
        <v>13568.734800000002</v>
      </c>
      <c r="E20" s="68"/>
      <c r="F20" s="16">
        <v>5</v>
      </c>
      <c r="G20" s="16"/>
      <c r="I20" s="12" t="s">
        <v>24</v>
      </c>
      <c r="J20" s="19" t="s">
        <v>25</v>
      </c>
      <c r="K20" s="4" t="s">
        <v>26</v>
      </c>
      <c r="L20" s="4">
        <f>VLOOKUP($K$20,$E$25:F60,2,FALSE)</f>
        <v>44.52</v>
      </c>
      <c r="M20" s="4">
        <f>L20*$F$28</f>
        <v>89.04</v>
      </c>
      <c r="N20" s="13">
        <f>M20*$F$24</f>
        <v>94560.48000000001</v>
      </c>
    </row>
    <row r="21" spans="2:22" s="4" customFormat="1" x14ac:dyDescent="0.2">
      <c r="B21" s="276" t="s">
        <v>27</v>
      </c>
      <c r="C21" s="282">
        <v>280000</v>
      </c>
      <c r="E21" s="12" t="s">
        <v>28</v>
      </c>
      <c r="G21" s="103"/>
      <c r="I21" s="12"/>
      <c r="J21" s="20" t="s">
        <v>29</v>
      </c>
      <c r="K21" s="4" t="s">
        <v>30</v>
      </c>
      <c r="L21" s="4">
        <f>VLOOKUP($K$21,$E$26:F63,2,FALSE)</f>
        <v>187.20000000000002</v>
      </c>
      <c r="M21" s="4">
        <f>L21*$F$38</f>
        <v>374.40000000000003</v>
      </c>
      <c r="N21" s="13">
        <f>M21*$F$24</f>
        <v>397612.80000000005</v>
      </c>
      <c r="V21" s="19"/>
    </row>
    <row r="22" spans="2:22" s="4" customFormat="1" x14ac:dyDescent="0.2">
      <c r="B22" s="14"/>
      <c r="C22" s="278">
        <f>SUM(C17:C21)</f>
        <v>975915.91480000003</v>
      </c>
      <c r="E22" s="12" t="s">
        <v>31</v>
      </c>
      <c r="F22" s="214">
        <v>1300000</v>
      </c>
      <c r="G22" s="103"/>
      <c r="I22" s="12"/>
      <c r="J22" s="70" t="s">
        <v>32</v>
      </c>
      <c r="K22" s="4" t="s">
        <v>33</v>
      </c>
      <c r="L22" s="4">
        <f>VLOOKUP($K$22,$E$21:F60,2,FALSE)</f>
        <v>24.150000000000002</v>
      </c>
      <c r="M22" s="4">
        <f>L22*$F$51</f>
        <v>72.45</v>
      </c>
      <c r="N22" s="13">
        <f>M22*$F$24</f>
        <v>76941.900000000009</v>
      </c>
      <c r="V22" s="20"/>
    </row>
    <row r="23" spans="2:22" s="4" customFormat="1" x14ac:dyDescent="0.2">
      <c r="E23" s="12" t="s">
        <v>34</v>
      </c>
      <c r="F23" s="214">
        <v>1500000</v>
      </c>
      <c r="G23" s="103"/>
      <c r="I23" s="71" t="s">
        <v>35</v>
      </c>
      <c r="J23" s="72"/>
      <c r="K23" s="72"/>
      <c r="L23" s="72"/>
      <c r="M23" s="72">
        <f>SUM(M19:M22)</f>
        <v>571.8900000000001</v>
      </c>
      <c r="N23" s="73">
        <f>SUM(N19:N22)</f>
        <v>607347.18000000005</v>
      </c>
      <c r="V23" s="70"/>
    </row>
    <row r="24" spans="2:22" s="4" customFormat="1" x14ac:dyDescent="0.2">
      <c r="E24" s="14" t="s">
        <v>18</v>
      </c>
      <c r="F24" s="15">
        <v>1062</v>
      </c>
      <c r="G24" s="103" t="s">
        <v>36</v>
      </c>
      <c r="I24" s="14" t="s">
        <v>37</v>
      </c>
      <c r="J24" s="15"/>
      <c r="K24" s="15"/>
      <c r="L24" s="15"/>
      <c r="M24" s="15">
        <f>M23-M19</f>
        <v>535.8900000000001</v>
      </c>
      <c r="N24" s="16">
        <f>M24*F24</f>
        <v>569115.18000000005</v>
      </c>
    </row>
    <row r="25" spans="2:22" s="4" customFormat="1" x14ac:dyDescent="0.2">
      <c r="B25" s="71" t="s">
        <v>38</v>
      </c>
      <c r="C25" s="343">
        <f>C30/C29</f>
        <v>0.94499999999999995</v>
      </c>
      <c r="E25" s="9" t="s">
        <v>21</v>
      </c>
      <c r="F25" s="10">
        <v>1</v>
      </c>
      <c r="G25" s="103" t="s">
        <v>39</v>
      </c>
    </row>
    <row r="26" spans="2:22" s="4" customFormat="1" x14ac:dyDescent="0.2">
      <c r="E26" s="12" t="s">
        <v>40</v>
      </c>
      <c r="F26" s="214">
        <v>20</v>
      </c>
      <c r="G26" s="103"/>
    </row>
    <row r="27" spans="2:22" s="4" customFormat="1" x14ac:dyDescent="0.2">
      <c r="B27" s="9" t="s">
        <v>41</v>
      </c>
      <c r="C27" s="345">
        <v>574</v>
      </c>
      <c r="E27" s="14" t="s">
        <v>22</v>
      </c>
      <c r="F27" s="283">
        <v>36</v>
      </c>
      <c r="G27" s="98"/>
    </row>
    <row r="28" spans="2:22" s="4" customFormat="1" x14ac:dyDescent="0.2">
      <c r="B28" s="12" t="s">
        <v>42</v>
      </c>
      <c r="C28" s="222">
        <f>'Q4-Predict'!C28</f>
        <v>1338</v>
      </c>
      <c r="E28" s="9" t="s">
        <v>25</v>
      </c>
      <c r="F28" s="11">
        <v>2</v>
      </c>
      <c r="G28" s="103" t="s">
        <v>39</v>
      </c>
      <c r="P28" s="214"/>
      <c r="V28" s="19"/>
    </row>
    <row r="29" spans="2:22" s="4" customFormat="1" x14ac:dyDescent="0.2">
      <c r="B29" s="12" t="s">
        <v>43</v>
      </c>
      <c r="C29" s="222">
        <v>1200</v>
      </c>
      <c r="E29" s="12" t="s">
        <v>44</v>
      </c>
      <c r="F29" s="13">
        <f>(1+F31)*F30</f>
        <v>43.2</v>
      </c>
      <c r="G29" s="103"/>
      <c r="V29" s="20"/>
    </row>
    <row r="30" spans="2:22" s="4" customFormat="1" x14ac:dyDescent="0.2">
      <c r="B30" s="12" t="s">
        <v>416</v>
      </c>
      <c r="C30" s="344">
        <v>1134</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f>C28-C30</f>
        <v>204</v>
      </c>
      <c r="E32" s="12" t="s">
        <v>26</v>
      </c>
      <c r="F32" s="13">
        <f>(1+F34)*F33</f>
        <v>44.52</v>
      </c>
      <c r="G32" s="103"/>
      <c r="P32" s="214"/>
    </row>
    <row r="33" spans="2:14" s="4" customFormat="1" x14ac:dyDescent="0.2">
      <c r="B33" s="12" t="s">
        <v>48</v>
      </c>
      <c r="C33" s="222">
        <f>F24</f>
        <v>1062</v>
      </c>
      <c r="E33" s="67" t="s">
        <v>45</v>
      </c>
      <c r="F33" s="13">
        <v>42</v>
      </c>
      <c r="G33" s="103"/>
    </row>
    <row r="34" spans="2:14" s="4" customFormat="1" x14ac:dyDescent="0.2">
      <c r="B34" s="12" t="s">
        <v>49</v>
      </c>
      <c r="C34" s="222">
        <f>C32+C33</f>
        <v>1266</v>
      </c>
      <c r="E34" s="67" t="s">
        <v>46</v>
      </c>
      <c r="F34" s="13">
        <v>0.06</v>
      </c>
      <c r="G34" s="103"/>
    </row>
    <row r="35" spans="2:14" s="4" customFormat="1" x14ac:dyDescent="0.2">
      <c r="B35" s="14" t="s">
        <v>50</v>
      </c>
      <c r="C35" s="288">
        <f>C34*M24</f>
        <v>678436.74000000011</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SUMPRODUCT(F73:I73,F71:I71)</f>
        <v>1686105</v>
      </c>
    </row>
    <row r="69" spans="2:11" s="4" customFormat="1" x14ac:dyDescent="0.2">
      <c r="B69" s="12" t="s">
        <v>61</v>
      </c>
      <c r="C69" s="221">
        <f>J75</f>
        <v>165218.4</v>
      </c>
      <c r="E69" s="9" t="s">
        <v>414</v>
      </c>
      <c r="F69" s="346">
        <f>F73/F72</f>
        <v>0.50724637681159424</v>
      </c>
      <c r="G69" s="346">
        <f>G73/G72</f>
        <v>0.26333333333333331</v>
      </c>
      <c r="H69" s="346">
        <f>H73/H72</f>
        <v>0.60499999999999998</v>
      </c>
      <c r="I69" s="346">
        <f>I73/I72</f>
        <v>0.60624999999999996</v>
      </c>
      <c r="J69" s="11"/>
    </row>
    <row r="70" spans="2:11" s="4" customFormat="1" x14ac:dyDescent="0.2">
      <c r="B70" s="12" t="s">
        <v>62</v>
      </c>
      <c r="C70" s="318">
        <f>C68*C74</f>
        <v>134888.4</v>
      </c>
      <c r="E70" s="297" t="s">
        <v>63</v>
      </c>
      <c r="F70" s="298">
        <v>1</v>
      </c>
      <c r="G70" s="298">
        <v>2</v>
      </c>
      <c r="H70" s="298">
        <v>3</v>
      </c>
      <c r="I70" s="299">
        <v>4</v>
      </c>
      <c r="J70" s="299" t="s">
        <v>64</v>
      </c>
    </row>
    <row r="71" spans="2:11" s="4" customFormat="1" x14ac:dyDescent="0.2">
      <c r="B71" s="14"/>
      <c r="C71" s="319">
        <f>SUM(C68:C70)</f>
        <v>1986211.7999999998</v>
      </c>
      <c r="E71" s="300" t="s">
        <v>65</v>
      </c>
      <c r="F71" s="312">
        <v>1890</v>
      </c>
      <c r="G71" s="312">
        <v>1890</v>
      </c>
      <c r="H71" s="312">
        <v>1845</v>
      </c>
      <c r="I71" s="304">
        <v>1890</v>
      </c>
      <c r="J71" s="301" t="s">
        <v>66</v>
      </c>
    </row>
    <row r="72" spans="2:11" s="4" customFormat="1" x14ac:dyDescent="0.2">
      <c r="E72" s="300" t="s">
        <v>67</v>
      </c>
      <c r="F72" s="347">
        <f>'Q4-Predict'!F72</f>
        <v>414</v>
      </c>
      <c r="G72" s="347">
        <f>'Q4-Predict'!G72</f>
        <v>300</v>
      </c>
      <c r="H72" s="347">
        <f>'Q4-Predict'!H72</f>
        <v>200</v>
      </c>
      <c r="I72" s="347">
        <f>'Q4-Predict'!I72</f>
        <v>800</v>
      </c>
      <c r="J72" s="303">
        <f>SUM(F72:I72)</f>
        <v>1714</v>
      </c>
      <c r="K72" s="4" t="s">
        <v>405</v>
      </c>
    </row>
    <row r="73" spans="2:11" s="4" customFormat="1" x14ac:dyDescent="0.2">
      <c r="D73" s="199"/>
      <c r="E73" s="300" t="s">
        <v>417</v>
      </c>
      <c r="F73" s="348">
        <v>210</v>
      </c>
      <c r="G73" s="348">
        <v>79</v>
      </c>
      <c r="H73" s="348">
        <v>121</v>
      </c>
      <c r="I73" s="349">
        <v>485</v>
      </c>
      <c r="J73" s="301">
        <f>SUM(F73:I73)</f>
        <v>895</v>
      </c>
    </row>
    <row r="74" spans="2:11" s="4" customFormat="1" x14ac:dyDescent="0.2">
      <c r="B74" s="9" t="s">
        <v>68</v>
      </c>
      <c r="C74" s="277">
        <v>0.08</v>
      </c>
      <c r="D74" s="199"/>
      <c r="E74" s="300" t="s">
        <v>69</v>
      </c>
      <c r="F74" s="294">
        <v>4</v>
      </c>
      <c r="G74" s="294">
        <v>3</v>
      </c>
      <c r="H74" s="294">
        <v>3</v>
      </c>
      <c r="I74" s="356">
        <v>7</v>
      </c>
      <c r="J74" s="301"/>
    </row>
    <row r="75" spans="2:11" s="4" customFormat="1" x14ac:dyDescent="0.2">
      <c r="B75" s="12" t="s">
        <v>70</v>
      </c>
      <c r="C75" s="221">
        <f>J72</f>
        <v>1714</v>
      </c>
      <c r="E75" s="300" t="s">
        <v>71</v>
      </c>
      <c r="F75" s="312">
        <f>F72*F71*F74/100</f>
        <v>31298.400000000001</v>
      </c>
      <c r="G75" s="312">
        <f>G72*G71*G74/100</f>
        <v>17010</v>
      </c>
      <c r="H75" s="312">
        <f>H72*H71*H74/100</f>
        <v>11070</v>
      </c>
      <c r="I75" s="304">
        <f>I72*I71*I74/100</f>
        <v>105840</v>
      </c>
      <c r="J75" s="304">
        <f>SUM(F75:I75)</f>
        <v>165218.4</v>
      </c>
    </row>
    <row r="76" spans="2:11" s="4" customFormat="1" x14ac:dyDescent="0.2">
      <c r="B76" s="12" t="s">
        <v>72</v>
      </c>
      <c r="C76" s="221">
        <f>J73</f>
        <v>895</v>
      </c>
      <c r="D76" s="199"/>
      <c r="E76" s="300" t="s">
        <v>73</v>
      </c>
      <c r="F76" s="296">
        <v>1</v>
      </c>
      <c r="G76" s="296">
        <v>0</v>
      </c>
      <c r="H76" s="296">
        <v>0</v>
      </c>
      <c r="I76" s="301">
        <v>0</v>
      </c>
      <c r="J76" s="301" t="s">
        <v>66</v>
      </c>
    </row>
    <row r="77" spans="2:11" s="4" customFormat="1" x14ac:dyDescent="0.2">
      <c r="B77" s="14" t="s">
        <v>74</v>
      </c>
      <c r="C77" s="319">
        <f>C75-C76</f>
        <v>819</v>
      </c>
      <c r="D77" s="199"/>
      <c r="E77" s="305" t="s">
        <v>75</v>
      </c>
      <c r="F77" s="306">
        <f>'Q3-Validation'!F77+'Q4-Predict'!F76</f>
        <v>2</v>
      </c>
      <c r="G77" s="306">
        <f>'Q3-Validation'!G77+'Q4-Predict'!G76</f>
        <v>2</v>
      </c>
      <c r="H77" s="306">
        <f>'Q3-Validation'!H77+'Q4-Predict'!H76</f>
        <v>2</v>
      </c>
      <c r="I77" s="306">
        <f>'Q3-Validation'!I77+'Q4-Predict'!I76</f>
        <v>4</v>
      </c>
      <c r="J77" s="307">
        <f>SUM(F77:I77)</f>
        <v>10</v>
      </c>
    </row>
    <row r="78" spans="2:11" s="4" customFormat="1" x14ac:dyDescent="0.2">
      <c r="E78" s="300"/>
      <c r="F78" s="296"/>
      <c r="G78" s="296"/>
      <c r="H78" s="296"/>
      <c r="I78" s="301"/>
      <c r="J78" s="301"/>
    </row>
    <row r="79" spans="2:11" s="4" customFormat="1" x14ac:dyDescent="0.2">
      <c r="E79" s="305" t="s">
        <v>78</v>
      </c>
      <c r="F79" s="350"/>
      <c r="G79" s="350"/>
      <c r="H79" s="350"/>
      <c r="I79" s="351"/>
      <c r="J79" s="309" t="s">
        <v>418</v>
      </c>
    </row>
    <row r="80" spans="2:11" s="4" customFormat="1" x14ac:dyDescent="0.2">
      <c r="E80" s="296"/>
      <c r="F80" s="353"/>
      <c r="G80" s="353"/>
      <c r="H80" s="353"/>
      <c r="I80" s="353"/>
      <c r="J80" s="296"/>
    </row>
    <row r="81" spans="1:12" s="4" customFormat="1" x14ac:dyDescent="0.2">
      <c r="E81" s="296"/>
      <c r="F81" s="310"/>
      <c r="G81" s="310"/>
      <c r="H81" s="310"/>
      <c r="I81" s="310"/>
      <c r="J81" s="296"/>
    </row>
    <row r="82" spans="1:12" s="4" customFormat="1" x14ac:dyDescent="0.2">
      <c r="E82" s="296"/>
      <c r="F82" s="310"/>
      <c r="G82" s="310"/>
      <c r="H82" s="310"/>
      <c r="I82" s="310"/>
      <c r="J82" s="296"/>
    </row>
    <row r="83" spans="1:12" s="4" customFormat="1" x14ac:dyDescent="0.2">
      <c r="E83" s="296"/>
      <c r="F83" s="310"/>
      <c r="G83" s="310"/>
      <c r="H83" s="310"/>
      <c r="I83" s="310"/>
      <c r="J83" s="296"/>
    </row>
    <row r="84" spans="1:12" s="4" customFormat="1" x14ac:dyDescent="0.2">
      <c r="D84" s="4" t="s">
        <v>419</v>
      </c>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I98</f>
        <v>287500</v>
      </c>
      <c r="D92" s="214"/>
      <c r="E92" s="71" t="s">
        <v>82</v>
      </c>
      <c r="F92" s="328">
        <v>5000</v>
      </c>
      <c r="H92" s="71" t="s">
        <v>82</v>
      </c>
      <c r="I92" s="72" t="s">
        <v>83</v>
      </c>
      <c r="J92" s="72" t="s">
        <v>84</v>
      </c>
      <c r="K92" s="72" t="s">
        <v>85</v>
      </c>
      <c r="L92" s="73" t="s">
        <v>86</v>
      </c>
    </row>
    <row r="93" spans="1:12" s="4" customFormat="1" x14ac:dyDescent="0.2">
      <c r="B93" s="12" t="s">
        <v>87</v>
      </c>
      <c r="C93" s="217">
        <f>K103</f>
        <v>40000</v>
      </c>
      <c r="D93" s="214"/>
      <c r="H93" s="12" t="s">
        <v>88</v>
      </c>
      <c r="I93" s="214">
        <f>$F$92*K93</f>
        <v>25000</v>
      </c>
      <c r="J93" s="4">
        <v>1</v>
      </c>
      <c r="K93" s="4">
        <v>5</v>
      </c>
      <c r="L93" s="13">
        <f>J93*K93</f>
        <v>5</v>
      </c>
    </row>
    <row r="94" spans="1:12" s="4" customFormat="1" x14ac:dyDescent="0.2">
      <c r="B94" s="12" t="s">
        <v>89</v>
      </c>
      <c r="C94" s="217">
        <f>K104</f>
        <v>8000</v>
      </c>
      <c r="D94" s="321"/>
      <c r="E94" s="71" t="s">
        <v>90</v>
      </c>
      <c r="F94" s="73"/>
      <c r="H94" s="12" t="s">
        <v>91</v>
      </c>
      <c r="I94" s="214">
        <f>$F$92*K94</f>
        <v>5000</v>
      </c>
      <c r="J94" s="4">
        <v>35</v>
      </c>
      <c r="K94" s="4">
        <v>1</v>
      </c>
      <c r="L94" s="13">
        <f>J94*K94</f>
        <v>35</v>
      </c>
    </row>
    <row r="95" spans="1:12" s="4" customFormat="1" x14ac:dyDescent="0.2">
      <c r="B95" s="12" t="s">
        <v>92</v>
      </c>
      <c r="C95" s="217">
        <f>K105</f>
        <v>57085</v>
      </c>
      <c r="E95" s="12" t="s">
        <v>93</v>
      </c>
      <c r="F95" s="327">
        <v>10000</v>
      </c>
      <c r="H95" s="12" t="s">
        <v>94</v>
      </c>
      <c r="I95" s="214">
        <f>$F$92*K95</f>
        <v>12500</v>
      </c>
      <c r="J95" s="4">
        <v>3</v>
      </c>
      <c r="K95" s="4">
        <v>2.5</v>
      </c>
      <c r="L95" s="13">
        <f>J95*K95</f>
        <v>7.5</v>
      </c>
    </row>
    <row r="96" spans="1:12" s="4" customFormat="1" x14ac:dyDescent="0.2">
      <c r="B96" s="71"/>
      <c r="C96" s="324">
        <f>SUM(C92:C95)</f>
        <v>392585</v>
      </c>
      <c r="E96" s="12" t="s">
        <v>95</v>
      </c>
      <c r="F96" s="13">
        <v>4</v>
      </c>
      <c r="H96" s="12" t="s">
        <v>96</v>
      </c>
      <c r="I96" s="214">
        <f>$F$92*K96</f>
        <v>5000</v>
      </c>
      <c r="J96" s="4">
        <f>J77</f>
        <v>10</v>
      </c>
      <c r="K96" s="4">
        <v>1</v>
      </c>
      <c r="L96" s="13">
        <f>J96*K96</f>
        <v>10</v>
      </c>
    </row>
    <row r="97" spans="1:12" s="4" customFormat="1" x14ac:dyDescent="0.2">
      <c r="E97" s="12" t="s">
        <v>97</v>
      </c>
      <c r="F97" s="217">
        <v>2000</v>
      </c>
      <c r="H97" s="12" t="s">
        <v>64</v>
      </c>
      <c r="I97" s="4" t="s">
        <v>66</v>
      </c>
      <c r="J97" s="4">
        <f>SUM(J93:J96)</f>
        <v>49</v>
      </c>
      <c r="K97" s="4" t="s">
        <v>66</v>
      </c>
      <c r="L97" s="13">
        <f>SUM(L93:L96)</f>
        <v>57.5</v>
      </c>
    </row>
    <row r="98" spans="1:12" s="4" customFormat="1" x14ac:dyDescent="0.2">
      <c r="B98" s="71" t="s">
        <v>98</v>
      </c>
      <c r="C98" s="73" t="s">
        <v>406</v>
      </c>
      <c r="E98" s="14" t="s">
        <v>95</v>
      </c>
      <c r="F98" s="16">
        <v>4</v>
      </c>
      <c r="H98" s="14" t="s">
        <v>99</v>
      </c>
      <c r="I98" s="322">
        <f>L97*F92</f>
        <v>287500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12" t="s">
        <v>104</v>
      </c>
      <c r="F102" s="217">
        <v>165</v>
      </c>
      <c r="H102" s="12" t="s">
        <v>105</v>
      </c>
      <c r="I102" s="214">
        <f>F92</f>
        <v>5000</v>
      </c>
      <c r="J102" s="4">
        <f>L97</f>
        <v>57.5</v>
      </c>
      <c r="K102" s="217">
        <f>I102*J102</f>
        <v>287500</v>
      </c>
    </row>
    <row r="103" spans="1:12" s="4" customFormat="1" x14ac:dyDescent="0.2">
      <c r="E103" s="12" t="s">
        <v>106</v>
      </c>
      <c r="F103" s="217">
        <v>175</v>
      </c>
      <c r="H103" s="12" t="s">
        <v>93</v>
      </c>
      <c r="I103" s="214">
        <f>F95</f>
        <v>10000</v>
      </c>
      <c r="J103" s="4">
        <f>F96</f>
        <v>4</v>
      </c>
      <c r="K103" s="217">
        <f>F95*J103</f>
        <v>40000</v>
      </c>
    </row>
    <row r="104" spans="1:12" s="4" customFormat="1" ht="17" customHeight="1" x14ac:dyDescent="0.2">
      <c r="E104" s="12" t="s">
        <v>107</v>
      </c>
      <c r="F104" s="217">
        <v>400</v>
      </c>
      <c r="H104" s="12" t="s">
        <v>97</v>
      </c>
      <c r="I104" s="214">
        <f>F97</f>
        <v>2000</v>
      </c>
      <c r="J104" s="4">
        <f>F98</f>
        <v>4</v>
      </c>
      <c r="K104" s="217">
        <f>F97*J104</f>
        <v>8000</v>
      </c>
    </row>
    <row r="105" spans="1:12" s="4" customFormat="1" x14ac:dyDescent="0.2">
      <c r="E105" s="12" t="s">
        <v>108</v>
      </c>
      <c r="F105" s="217">
        <v>280</v>
      </c>
      <c r="H105" s="12" t="s">
        <v>109</v>
      </c>
      <c r="I105" s="214">
        <f>SUM(F104:F107)</f>
        <v>1165</v>
      </c>
      <c r="J105" s="4">
        <f>J97</f>
        <v>49</v>
      </c>
      <c r="K105" s="217">
        <f>I105*J105</f>
        <v>57085</v>
      </c>
    </row>
    <row r="106" spans="1:12" s="4" customFormat="1" x14ac:dyDescent="0.2">
      <c r="E106" s="12" t="s">
        <v>110</v>
      </c>
      <c r="F106" s="217">
        <v>350</v>
      </c>
      <c r="H106" s="14"/>
      <c r="I106" s="15"/>
      <c r="J106" s="15"/>
      <c r="K106" s="278">
        <f>SUM(K102:K105)</f>
        <v>392585</v>
      </c>
    </row>
    <row r="107" spans="1:12" s="4" customFormat="1" x14ac:dyDescent="0.2">
      <c r="E107" s="12" t="s">
        <v>111</v>
      </c>
      <c r="F107" s="217">
        <v>135</v>
      </c>
      <c r="L107" s="214"/>
    </row>
    <row r="108" spans="1:12" s="4" customFormat="1" x14ac:dyDescent="0.2">
      <c r="E108" s="14"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199" t="s">
        <v>114</v>
      </c>
      <c r="C113" s="199">
        <v>0</v>
      </c>
    </row>
    <row r="114" spans="1:22" s="4" customFormat="1" x14ac:dyDescent="0.2">
      <c r="B114" s="199" t="s">
        <v>115</v>
      </c>
      <c r="C114" s="199">
        <f>2*0.019</f>
        <v>3.7999999999999999E-2</v>
      </c>
    </row>
    <row r="115" spans="1:22" s="4" customFormat="1" x14ac:dyDescent="0.2">
      <c r="B115" s="199" t="s">
        <v>116</v>
      </c>
      <c r="C115" s="199">
        <f>C113*C114</f>
        <v>0</v>
      </c>
    </row>
    <row r="116" spans="1:22" s="4" customFormat="1" x14ac:dyDescent="0.2">
      <c r="B116" s="4" t="s">
        <v>117</v>
      </c>
      <c r="C116" s="4">
        <f>80000</f>
        <v>80000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407</v>
      </c>
    </row>
    <row r="121" spans="1:22" s="4" customFormat="1" x14ac:dyDescent="0.2"/>
    <row r="122" spans="1:22" s="4" customFormat="1" x14ac:dyDescent="0.2">
      <c r="B122" s="4" t="s">
        <v>119</v>
      </c>
    </row>
    <row r="123" spans="1:22" s="4" customFormat="1" x14ac:dyDescent="0.2">
      <c r="B123" s="9" t="s">
        <v>60</v>
      </c>
      <c r="C123" s="334">
        <f>IFERROR(VLOOKUP(B123,$B$14:$C$121,2,FALSE),0)</f>
        <v>1686105</v>
      </c>
    </row>
    <row r="124" spans="1:22" s="4" customFormat="1" x14ac:dyDescent="0.2">
      <c r="B124" s="275" t="s">
        <v>120</v>
      </c>
      <c r="C124" s="352">
        <v>791550.97</v>
      </c>
      <c r="D124" s="302" t="s">
        <v>420</v>
      </c>
      <c r="E124" s="360">
        <f>C123*((0.125/1.125)+0.06)+M23*C76</f>
        <v>800352.85000000009</v>
      </c>
      <c r="F124" s="9" t="s">
        <v>400</v>
      </c>
      <c r="G124" s="9" t="s">
        <v>122</v>
      </c>
      <c r="H124" s="331">
        <f>C128+C130</f>
        <v>344585</v>
      </c>
      <c r="I124" s="10">
        <f>H124/$H$128</f>
        <v>385.01117318435752</v>
      </c>
      <c r="J124" s="11"/>
    </row>
    <row r="125" spans="1:22" s="4" customFormat="1" x14ac:dyDescent="0.2">
      <c r="B125" s="12" t="s">
        <v>123</v>
      </c>
      <c r="C125" s="336">
        <f>C123-C124</f>
        <v>894554.03</v>
      </c>
      <c r="E125" s="302">
        <f>C124-C76*M23</f>
        <v>279709.41999999987</v>
      </c>
      <c r="F125" s="12"/>
      <c r="G125" s="12" t="s">
        <v>124</v>
      </c>
      <c r="H125" s="279">
        <f>SUMIF(D127:D139,"FC",C127:C139)</f>
        <v>743410.49479999999</v>
      </c>
      <c r="I125" s="4">
        <f>H125/$H$128</f>
        <v>830.6262511731843</v>
      </c>
      <c r="J125" s="13"/>
    </row>
    <row r="126" spans="1:22" s="4" customFormat="1" x14ac:dyDescent="0.2">
      <c r="B126" s="12" t="s">
        <v>125</v>
      </c>
      <c r="C126" s="336"/>
      <c r="E126" s="361">
        <f>E125/C123</f>
        <v>0.16589086682027504</v>
      </c>
      <c r="F126" s="12"/>
      <c r="G126" s="12" t="s">
        <v>120</v>
      </c>
      <c r="H126" s="279">
        <f>C124</f>
        <v>791550.97</v>
      </c>
      <c r="I126" s="4">
        <f>H126/$H$128</f>
        <v>884.41449162011168</v>
      </c>
      <c r="J126" s="13"/>
    </row>
    <row r="127" spans="1:22" s="4" customFormat="1" x14ac:dyDescent="0.2">
      <c r="B127" s="12" t="s">
        <v>27</v>
      </c>
      <c r="C127" s="336">
        <v>280000</v>
      </c>
      <c r="D127" s="4" t="s">
        <v>124</v>
      </c>
      <c r="E127" s="362">
        <f>E126-0.06</f>
        <v>0.10589086682027504</v>
      </c>
      <c r="F127" s="12"/>
      <c r="G127" s="12" t="s">
        <v>127</v>
      </c>
      <c r="H127" s="279">
        <f>SUM(H124:H126)</f>
        <v>1879546.4648</v>
      </c>
      <c r="J127" s="13"/>
    </row>
    <row r="128" spans="1:22" s="4" customFormat="1" x14ac:dyDescent="0.2">
      <c r="B128" s="12" t="s">
        <v>81</v>
      </c>
      <c r="C128" s="336">
        <f t="shared" ref="C128:C136" si="0">IFERROR(VLOOKUP(B128,$B$14:$C$121,2,FALSE),0)</f>
        <v>287500</v>
      </c>
      <c r="D128" s="4" t="s">
        <v>122</v>
      </c>
      <c r="E128" s="4">
        <f>0.125/1.125</f>
        <v>0.1111111111111111</v>
      </c>
      <c r="F128" s="12"/>
      <c r="G128" s="12" t="s">
        <v>128</v>
      </c>
      <c r="H128" s="302">
        <f>C76</f>
        <v>895</v>
      </c>
      <c r="J128" s="13"/>
    </row>
    <row r="129" spans="2:10" s="4" customFormat="1" x14ac:dyDescent="0.2">
      <c r="B129" s="12" t="s">
        <v>87</v>
      </c>
      <c r="C129" s="336">
        <f t="shared" si="0"/>
        <v>40000</v>
      </c>
      <c r="D129" s="4" t="s">
        <v>124</v>
      </c>
      <c r="F129" s="12"/>
      <c r="G129" s="12" t="s">
        <v>129</v>
      </c>
      <c r="H129" s="339">
        <f>H127/H128</f>
        <v>2100.0519159776536</v>
      </c>
      <c r="J129" s="13"/>
    </row>
    <row r="130" spans="2:10" s="4" customFormat="1" x14ac:dyDescent="0.2">
      <c r="B130" s="12" t="s">
        <v>92</v>
      </c>
      <c r="C130" s="336">
        <f t="shared" si="0"/>
        <v>57085</v>
      </c>
      <c r="D130" s="4" t="s">
        <v>122</v>
      </c>
      <c r="F130" s="12"/>
      <c r="G130" s="12"/>
      <c r="J130" s="13"/>
    </row>
    <row r="131" spans="2:10" s="4" customFormat="1" x14ac:dyDescent="0.2">
      <c r="B131" s="12" t="s">
        <v>89</v>
      </c>
      <c r="C131" s="336">
        <f t="shared" si="0"/>
        <v>8000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$H$129*(1+H131)</f>
        <v>2310.0571075754192</v>
      </c>
      <c r="I132" s="333">
        <f>$H$129*(1+I131)</f>
        <v>2520.0622991731843</v>
      </c>
      <c r="J132" s="341">
        <f>$H$129*(1+J131)</f>
        <v>2730.0674907709499</v>
      </c>
    </row>
    <row r="133" spans="2:10" s="4" customFormat="1" x14ac:dyDescent="0.2">
      <c r="B133" s="12" t="s">
        <v>11</v>
      </c>
      <c r="C133" s="336">
        <f t="shared" si="0"/>
        <v>75000</v>
      </c>
      <c r="D133" s="4" t="s">
        <v>124</v>
      </c>
      <c r="F133" s="12"/>
      <c r="G133" s="4" t="s">
        <v>133</v>
      </c>
      <c r="H133" s="302">
        <f>H132-$H$129</f>
        <v>210.00519159776559</v>
      </c>
      <c r="I133" s="302">
        <f>I132-$H$129</f>
        <v>420.01038319553072</v>
      </c>
      <c r="J133" s="318">
        <f>J132-$H$129</f>
        <v>630.01557479329631</v>
      </c>
    </row>
    <row r="134" spans="2:10" s="4" customFormat="1" x14ac:dyDescent="0.2">
      <c r="B134" s="12" t="s">
        <v>61</v>
      </c>
      <c r="C134" s="336">
        <f t="shared" si="0"/>
        <v>165218.4</v>
      </c>
      <c r="D134" s="4" t="s">
        <v>124</v>
      </c>
      <c r="F134" s="12" t="s">
        <v>401</v>
      </c>
      <c r="G134" s="4" t="s">
        <v>134</v>
      </c>
      <c r="H134" s="355">
        <f>H133/H132</f>
        <v>9.0909090909090995E-2</v>
      </c>
      <c r="I134" s="355">
        <f>I133/I132</f>
        <v>0.16666666666666666</v>
      </c>
      <c r="J134" s="326">
        <f>J133/J132</f>
        <v>0.23076923076923084</v>
      </c>
    </row>
    <row r="135" spans="2:10" s="4" customFormat="1" x14ac:dyDescent="0.2">
      <c r="B135" s="12" t="s">
        <v>23</v>
      </c>
      <c r="C135" s="336">
        <f t="shared" si="0"/>
        <v>13568.734800000002</v>
      </c>
      <c r="D135" s="4" t="s">
        <v>124</v>
      </c>
      <c r="F135" s="12" t="s">
        <v>402</v>
      </c>
      <c r="G135" s="4" t="s">
        <v>135</v>
      </c>
      <c r="H135" s="279">
        <f>$H$125/H134</f>
        <v>8177515.4427999919</v>
      </c>
      <c r="I135" s="279">
        <f>$H$125/I134</f>
        <v>4460462.9687999999</v>
      </c>
      <c r="J135" s="281">
        <f>$H$125/J134</f>
        <v>3221445.4774666657</v>
      </c>
    </row>
    <row r="136" spans="2:10" s="4" customFormat="1" x14ac:dyDescent="0.2">
      <c r="B136" s="12" t="s">
        <v>117</v>
      </c>
      <c r="C136" s="336">
        <f t="shared" si="0"/>
        <v>80000</v>
      </c>
      <c r="D136" s="4" t="s">
        <v>124</v>
      </c>
      <c r="F136" s="14"/>
      <c r="G136" s="15" t="s">
        <v>136</v>
      </c>
      <c r="H136" s="15">
        <f>H135/H132</f>
        <v>3539.9624606609473</v>
      </c>
      <c r="I136" s="15">
        <f>I135/I132</f>
        <v>1769.9812303304757</v>
      </c>
      <c r="J136" s="16">
        <f>J135/J132</f>
        <v>1179.9874868869833</v>
      </c>
    </row>
    <row r="137" spans="2:10" s="4" customFormat="1" x14ac:dyDescent="0.2">
      <c r="B137" s="275" t="s">
        <v>137</v>
      </c>
      <c r="C137" s="352">
        <v>41370</v>
      </c>
      <c r="D137" s="4" t="s">
        <v>124</v>
      </c>
    </row>
    <row r="138" spans="2:10" s="4" customFormat="1" x14ac:dyDescent="0.2">
      <c r="B138" s="12" t="s">
        <v>139</v>
      </c>
      <c r="C138" s="336">
        <f>IFERROR(VLOOKUP(B138,$B$14:$C$121,2,FALSE),0)</f>
        <v>0</v>
      </c>
    </row>
    <row r="139" spans="2:10" s="4" customFormat="1" x14ac:dyDescent="0.2">
      <c r="B139" s="275" t="s">
        <v>140</v>
      </c>
      <c r="C139" s="335">
        <v>40253.360000000001</v>
      </c>
      <c r="D139" s="4" t="s">
        <v>124</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SUM(C127:C141)</f>
        <v>1087995.4948</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row>
    <row r="147" spans="2:5" s="4" customFormat="1" x14ac:dyDescent="0.2">
      <c r="B147" s="12" t="s">
        <v>146</v>
      </c>
      <c r="C147" s="338">
        <f>C125-C142</f>
        <v>-193441.46479999996</v>
      </c>
    </row>
    <row r="148" spans="2:5" s="4" customFormat="1" x14ac:dyDescent="0.2">
      <c r="B148" s="12" t="s">
        <v>147</v>
      </c>
      <c r="C148" s="13">
        <v>0</v>
      </c>
    </row>
    <row r="149" spans="2:5" s="4" customFormat="1" x14ac:dyDescent="0.2">
      <c r="B149" s="12" t="s">
        <v>148</v>
      </c>
      <c r="C149" s="336">
        <f>C147-C148</f>
        <v>-193441.46479999996</v>
      </c>
    </row>
    <row r="150" spans="2:5" s="4" customFormat="1" x14ac:dyDescent="0.2">
      <c r="B150" s="12" t="s">
        <v>119</v>
      </c>
      <c r="C150" s="13"/>
    </row>
    <row r="151" spans="2:5" s="4" customFormat="1" x14ac:dyDescent="0.2">
      <c r="B151" s="12" t="s">
        <v>149</v>
      </c>
      <c r="C151" s="336">
        <f>'Q3-Validation'!C154</f>
        <v>-1382222.4580000001</v>
      </c>
    </row>
    <row r="152" spans="2:5" s="4" customFormat="1" x14ac:dyDescent="0.2">
      <c r="B152" s="12" t="s">
        <v>148</v>
      </c>
      <c r="C152" s="336">
        <f>C149+C151</f>
        <v>-1575663.9228000001</v>
      </c>
    </row>
    <row r="153" spans="2:5" s="4" customFormat="1" x14ac:dyDescent="0.2">
      <c r="B153" s="12" t="s">
        <v>150</v>
      </c>
      <c r="C153" s="13">
        <v>0</v>
      </c>
    </row>
    <row r="154" spans="2:5" s="4" customFormat="1" x14ac:dyDescent="0.2">
      <c r="B154" s="14" t="s">
        <v>151</v>
      </c>
      <c r="C154" s="337">
        <f>C152+C153</f>
        <v>-1575663.9228000001</v>
      </c>
    </row>
    <row r="155" spans="2:5" s="4" customFormat="1" x14ac:dyDescent="0.2"/>
    <row r="156" spans="2:5" s="4" customFormat="1" x14ac:dyDescent="0.2">
      <c r="C156" s="330"/>
      <c r="D156" s="214"/>
      <c r="E156" s="279"/>
    </row>
    <row r="157" spans="2:5" s="4" customFormat="1" x14ac:dyDescent="0.2"/>
    <row r="158" spans="2:5" s="4" customFormat="1" x14ac:dyDescent="0.2"/>
    <row r="159" spans="2:5" s="4" customFormat="1" x14ac:dyDescent="0.2"/>
    <row r="160" spans="2:5" s="4" customFormat="1" x14ac:dyDescent="0.2"/>
    <row r="161" s="4" customFormat="1" x14ac:dyDescent="0.2"/>
    <row r="162" s="4" customFormat="1" x14ac:dyDescent="0.2"/>
    <row r="163" s="4" customFormat="1" x14ac:dyDescent="0.2"/>
    <row r="164" s="4" customFormat="1" x14ac:dyDescent="0.2"/>
    <row r="165" s="4" customFormat="1" x14ac:dyDescent="0.2"/>
    <row r="166" s="4" customFormat="1" x14ac:dyDescent="0.2"/>
    <row r="167" s="4" customFormat="1" x14ac:dyDescent="0.2"/>
    <row r="168" s="4" customFormat="1" x14ac:dyDescent="0.2"/>
    <row r="169" s="4" customFormat="1" x14ac:dyDescent="0.2"/>
    <row r="170" s="4" customFormat="1" x14ac:dyDescent="0.2"/>
    <row r="171" s="4" customFormat="1" x14ac:dyDescent="0.2"/>
    <row r="172" s="4" customFormat="1" x14ac:dyDescent="0.2"/>
    <row r="173" s="4" customFormat="1" x14ac:dyDescent="0.2"/>
    <row r="174"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2272779E-BEAD-CC4B-AED4-99C08852ACC7}">
          <x14:formula1>
            <xm:f>Reference!$B$1:$B$4</xm:f>
          </x14:formula1>
          <xm:sqref>W21 W28 K20</xm:sqref>
        </x14:dataValidation>
        <x14:dataValidation type="list" allowBlank="1" showInputMessage="1" showErrorMessage="1" xr:uid="{117F8A12-D567-1A45-A3B2-067CFEE42928}">
          <x14:formula1>
            <xm:f>Reference!$D$1:$D$4</xm:f>
          </x14:formula1>
          <xm:sqref>W23 W30 K22</xm:sqref>
        </x14:dataValidation>
        <x14:dataValidation type="list" allowBlank="1" showInputMessage="1" showErrorMessage="1" xr:uid="{50201A72-76BE-9A46-BF43-9D9F656FCD48}">
          <x14:formula1>
            <xm:f>Reference!$A$1:$A$3</xm:f>
          </x14:formula1>
          <xm:sqref>W20 W27 K19</xm:sqref>
        </x14:dataValidation>
        <x14:dataValidation type="list" allowBlank="1" showInputMessage="1" showErrorMessage="1" xr:uid="{359FF52D-C2C2-0740-AD4B-6DF71064EF93}">
          <x14:formula1>
            <xm:f>Reference!$C$1:$C$5</xm:f>
          </x14:formula1>
          <xm:sqref>W22 W29 K21</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ED92-1C71-E049-A77C-0B0C3A839D32}">
  <sheetPr codeName="Sheet6">
    <tabColor theme="2" tint="-9.9978637043366805E-2"/>
  </sheetPr>
  <dimension ref="A1:V174"/>
  <sheetViews>
    <sheetView topLeftCell="A111" zoomScale="132" workbookViewId="0">
      <selection activeCell="D84" sqref="D84"/>
    </sheetView>
  </sheetViews>
  <sheetFormatPr baseColWidth="10" defaultColWidth="11" defaultRowHeight="16" x14ac:dyDescent="0.2"/>
  <cols>
    <col min="1" max="1" width="5.6640625" style="4" customWidth="1"/>
    <col min="2" max="2" width="33.33203125" bestFit="1" customWidth="1"/>
    <col min="3" max="3" width="14" bestFit="1" customWidth="1"/>
    <col min="4" max="4" width="15.1640625"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4"/>
      <c r="C2" s="4"/>
      <c r="D2" s="4"/>
      <c r="E2" s="4"/>
      <c r="F2" s="4"/>
      <c r="G2" s="4"/>
      <c r="H2" s="4"/>
      <c r="I2" s="4"/>
      <c r="J2" s="4"/>
      <c r="K2" s="4"/>
      <c r="L2" s="4"/>
      <c r="M2" s="4"/>
      <c r="N2" s="4"/>
      <c r="O2" s="4"/>
      <c r="P2" s="4"/>
      <c r="Q2" s="4"/>
      <c r="R2" s="4"/>
      <c r="S2" s="4"/>
      <c r="T2" s="4"/>
      <c r="U2" s="4"/>
      <c r="V2" s="4"/>
    </row>
    <row r="3" spans="1:22" x14ac:dyDescent="0.2">
      <c r="B3" s="4"/>
      <c r="C3" s="4"/>
      <c r="D3" s="4"/>
      <c r="E3" s="4"/>
      <c r="F3" s="4"/>
      <c r="G3" s="4"/>
      <c r="H3" s="4"/>
      <c r="I3" s="4"/>
      <c r="J3" s="4"/>
      <c r="K3" s="4"/>
      <c r="L3" s="4"/>
      <c r="M3" s="4"/>
      <c r="N3" s="4"/>
      <c r="O3" s="4"/>
      <c r="P3" s="4"/>
      <c r="Q3" s="4"/>
      <c r="R3" s="4"/>
      <c r="S3" s="4"/>
      <c r="T3" s="4"/>
      <c r="U3" s="4"/>
      <c r="V3" s="4"/>
    </row>
    <row r="4" spans="1:22" s="4" customFormat="1" x14ac:dyDescent="0.2"/>
    <row r="5" spans="1:22" s="4" customFormat="1" x14ac:dyDescent="0.2"/>
    <row r="6" spans="1:22" s="4" customFormat="1" x14ac:dyDescent="0.2"/>
    <row r="7" spans="1:22" s="4" customFormat="1" x14ac:dyDescent="0.2"/>
    <row r="8" spans="1:22" s="4" customFormat="1" x14ac:dyDescent="0.2"/>
    <row r="9" spans="1:22" s="4" customFormat="1" x14ac:dyDescent="0.2"/>
    <row r="10" spans="1:22" x14ac:dyDescent="0.2">
      <c r="B10" s="99" t="s">
        <v>4</v>
      </c>
      <c r="C10" s="4"/>
      <c r="D10" s="4"/>
      <c r="E10" s="4"/>
      <c r="F10" s="4"/>
      <c r="G10" s="4"/>
      <c r="H10" s="4"/>
      <c r="I10" s="4"/>
      <c r="J10" s="4"/>
      <c r="K10" s="4"/>
      <c r="L10" s="4"/>
      <c r="M10" s="4"/>
      <c r="N10" s="4"/>
      <c r="O10" s="4"/>
      <c r="P10" s="4"/>
      <c r="Q10" s="4"/>
      <c r="R10" s="4"/>
      <c r="S10" s="4"/>
      <c r="T10" s="4"/>
      <c r="U10" s="4"/>
      <c r="V10" s="4"/>
    </row>
    <row r="11" spans="1:22" x14ac:dyDescent="0.2">
      <c r="B11" s="69" t="s">
        <v>404</v>
      </c>
      <c r="C11" s="4"/>
      <c r="D11" s="4"/>
      <c r="E11" s="4"/>
      <c r="F11" s="4"/>
      <c r="G11" s="4"/>
      <c r="H11" s="4"/>
      <c r="I11" s="4"/>
      <c r="J11" s="4"/>
      <c r="K11" s="4"/>
      <c r="L11" s="4"/>
      <c r="M11" s="4"/>
      <c r="N11" s="4"/>
      <c r="O11" s="4"/>
      <c r="P11" s="4"/>
      <c r="Q11" s="4"/>
      <c r="R11" s="4"/>
      <c r="S11" s="4"/>
      <c r="T11" s="4"/>
      <c r="U11" s="4"/>
      <c r="V11" s="4"/>
    </row>
    <row r="12" spans="1:22" x14ac:dyDescent="0.2">
      <c r="B12" s="268" t="s">
        <v>6</v>
      </c>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F19*F20</f>
        <v>75000</v>
      </c>
      <c r="E18" s="576" t="s">
        <v>12</v>
      </c>
      <c r="F18" s="577"/>
      <c r="G18" s="578"/>
      <c r="I18" s="71" t="s">
        <v>13</v>
      </c>
      <c r="J18" s="72"/>
      <c r="K18" s="72" t="s">
        <v>14</v>
      </c>
      <c r="L18" s="72" t="s">
        <v>15</v>
      </c>
      <c r="M18" s="72" t="s">
        <v>16</v>
      </c>
      <c r="N18" s="73" t="s">
        <v>17</v>
      </c>
    </row>
    <row r="19" spans="2:22" s="4" customFormat="1" x14ac:dyDescent="0.2">
      <c r="B19" s="12" t="s">
        <v>18</v>
      </c>
      <c r="C19" s="217">
        <f>N23</f>
        <v>607347.18000000005</v>
      </c>
      <c r="E19" s="284" t="s">
        <v>19</v>
      </c>
      <c r="F19" s="285">
        <v>15000</v>
      </c>
      <c r="G19" s="11" t="s">
        <v>20</v>
      </c>
      <c r="I19" s="12"/>
      <c r="J19" s="4" t="s">
        <v>21</v>
      </c>
      <c r="K19" s="4" t="s">
        <v>22</v>
      </c>
      <c r="L19" s="4">
        <f>VLOOKUP($K$19,$E$24:F59,2,FALSE)</f>
        <v>36</v>
      </c>
      <c r="M19" s="4">
        <f>L19*$F$25</f>
        <v>36</v>
      </c>
      <c r="N19" s="13">
        <f>M19*$F$24</f>
        <v>38232</v>
      </c>
    </row>
    <row r="20" spans="2:22" s="4" customFormat="1" x14ac:dyDescent="0.2">
      <c r="B20" s="12" t="s">
        <v>23</v>
      </c>
      <c r="C20" s="281">
        <f>C35*0.02</f>
        <v>12025.371600000002</v>
      </c>
      <c r="E20" s="68"/>
      <c r="F20" s="76">
        <v>5</v>
      </c>
      <c r="G20" s="16"/>
      <c r="I20" s="12" t="s">
        <v>24</v>
      </c>
      <c r="J20" s="19" t="s">
        <v>25</v>
      </c>
      <c r="K20" s="4" t="s">
        <v>26</v>
      </c>
      <c r="L20" s="4">
        <f>VLOOKUP($K$20,$E$25:F60,2,FALSE)</f>
        <v>44.52</v>
      </c>
      <c r="M20" s="4">
        <f>L20*$F$28</f>
        <v>89.04</v>
      </c>
      <c r="N20" s="13">
        <f>M20*$F$24</f>
        <v>94560.48000000001</v>
      </c>
    </row>
    <row r="21" spans="2:22" s="4" customFormat="1" x14ac:dyDescent="0.2">
      <c r="B21" s="276" t="s">
        <v>27</v>
      </c>
      <c r="C21" s="282">
        <v>280000</v>
      </c>
      <c r="E21" s="12" t="s">
        <v>28</v>
      </c>
      <c r="G21" s="103"/>
      <c r="I21" s="12"/>
      <c r="J21" s="20" t="s">
        <v>29</v>
      </c>
      <c r="K21" s="4" t="s">
        <v>30</v>
      </c>
      <c r="L21" s="4">
        <f>VLOOKUP($K$21,$E$26:F63,2,FALSE)</f>
        <v>187.20000000000002</v>
      </c>
      <c r="M21" s="4">
        <f>L21*$F$38</f>
        <v>374.40000000000003</v>
      </c>
      <c r="N21" s="13">
        <f>M21*$F$24</f>
        <v>397612.80000000005</v>
      </c>
      <c r="V21" s="19"/>
    </row>
    <row r="22" spans="2:22" s="4" customFormat="1" x14ac:dyDescent="0.2">
      <c r="B22" s="14"/>
      <c r="C22" s="278">
        <f>SUM(C17:C21)</f>
        <v>974372.55160000001</v>
      </c>
      <c r="E22" s="12" t="s">
        <v>31</v>
      </c>
      <c r="F22" s="214">
        <v>1300000</v>
      </c>
      <c r="G22" s="103"/>
      <c r="I22" s="12"/>
      <c r="J22" s="70" t="s">
        <v>32</v>
      </c>
      <c r="K22" s="4" t="s">
        <v>33</v>
      </c>
      <c r="L22" s="4">
        <f>VLOOKUP($K$22,$E$21:F60,2,FALSE)</f>
        <v>24.150000000000002</v>
      </c>
      <c r="M22" s="4">
        <f>L22*$F$51</f>
        <v>72.45</v>
      </c>
      <c r="N22" s="13">
        <f>M22*$F$24</f>
        <v>76941.900000000009</v>
      </c>
      <c r="V22" s="20"/>
    </row>
    <row r="23" spans="2:22" s="4" customFormat="1" x14ac:dyDescent="0.2">
      <c r="E23" s="12" t="s">
        <v>34</v>
      </c>
      <c r="F23" s="214">
        <v>1500000</v>
      </c>
      <c r="G23" s="103"/>
      <c r="I23" s="71" t="s">
        <v>35</v>
      </c>
      <c r="J23" s="72"/>
      <c r="K23" s="72"/>
      <c r="L23" s="72"/>
      <c r="M23" s="72">
        <f>SUM(M19:M22)</f>
        <v>571.8900000000001</v>
      </c>
      <c r="N23" s="73">
        <f>SUM(N19:N22)</f>
        <v>607347.18000000005</v>
      </c>
      <c r="V23" s="70"/>
    </row>
    <row r="24" spans="2:22" s="4" customFormat="1" x14ac:dyDescent="0.2">
      <c r="E24" s="14" t="s">
        <v>18</v>
      </c>
      <c r="F24" s="95">
        <v>1062</v>
      </c>
      <c r="G24" s="103" t="s">
        <v>36</v>
      </c>
      <c r="I24" s="14" t="s">
        <v>37</v>
      </c>
      <c r="J24" s="15"/>
      <c r="K24" s="15"/>
      <c r="L24" s="15"/>
      <c r="M24" s="15">
        <f>M23-M19</f>
        <v>535.8900000000001</v>
      </c>
      <c r="N24" s="16">
        <f>M24*F24</f>
        <v>569115.18000000005</v>
      </c>
    </row>
    <row r="25" spans="2:22" s="4" customFormat="1" x14ac:dyDescent="0.2">
      <c r="B25" s="71" t="s">
        <v>38</v>
      </c>
      <c r="C25" s="287">
        <v>0.95</v>
      </c>
      <c r="E25" s="9" t="s">
        <v>21</v>
      </c>
      <c r="F25" s="10">
        <v>1</v>
      </c>
      <c r="G25" s="103" t="s">
        <v>39</v>
      </c>
    </row>
    <row r="26" spans="2:22" s="4" customFormat="1" x14ac:dyDescent="0.2">
      <c r="E26" s="12" t="s">
        <v>40</v>
      </c>
      <c r="F26" s="214">
        <v>20</v>
      </c>
      <c r="G26" s="103"/>
    </row>
    <row r="27" spans="2:22" s="4" customFormat="1" x14ac:dyDescent="0.2">
      <c r="B27" s="9" t="s">
        <v>41</v>
      </c>
      <c r="C27" s="289">
        <f>'Q3-Validation'!C77</f>
        <v>574</v>
      </c>
      <c r="E27" s="14" t="s">
        <v>22</v>
      </c>
      <c r="F27" s="283">
        <v>36</v>
      </c>
      <c r="G27" s="98"/>
    </row>
    <row r="28" spans="2:22" s="4" customFormat="1" x14ac:dyDescent="0.2">
      <c r="B28" s="12" t="s">
        <v>42</v>
      </c>
      <c r="C28" s="290">
        <f>'Q3-Validation'!C34</f>
        <v>1338</v>
      </c>
      <c r="D28" s="4">
        <f>1200-138</f>
        <v>1062</v>
      </c>
      <c r="E28" s="9" t="s">
        <v>25</v>
      </c>
      <c r="F28" s="11">
        <v>2</v>
      </c>
      <c r="G28" s="103" t="s">
        <v>39</v>
      </c>
      <c r="P28" s="214"/>
      <c r="V28" s="19"/>
    </row>
    <row r="29" spans="2:22" s="4" customFormat="1" x14ac:dyDescent="0.2">
      <c r="B29" s="12" t="s">
        <v>43</v>
      </c>
      <c r="C29" s="291">
        <v>1200</v>
      </c>
      <c r="E29" s="12" t="s">
        <v>44</v>
      </c>
      <c r="F29" s="13">
        <f>(1+F31)*F30</f>
        <v>43.2</v>
      </c>
      <c r="G29" s="103"/>
      <c r="V29" s="20"/>
    </row>
    <row r="30" spans="2:22" s="4" customFormat="1" x14ac:dyDescent="0.2">
      <c r="B30" s="12" t="s">
        <v>413</v>
      </c>
      <c r="C30" s="292">
        <f>C29*C25</f>
        <v>1140</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f>C29-C30</f>
        <v>60</v>
      </c>
      <c r="E32" s="12" t="s">
        <v>26</v>
      </c>
      <c r="F32" s="13">
        <f>(1+F34)*F33</f>
        <v>44.52</v>
      </c>
      <c r="G32" s="103"/>
      <c r="P32" s="214"/>
    </row>
    <row r="33" spans="2:14" s="4" customFormat="1" x14ac:dyDescent="0.2">
      <c r="B33" s="12" t="s">
        <v>48</v>
      </c>
      <c r="C33" s="222">
        <f>F24</f>
        <v>1062</v>
      </c>
      <c r="E33" s="67" t="s">
        <v>45</v>
      </c>
      <c r="F33" s="13">
        <v>42</v>
      </c>
      <c r="G33" s="103"/>
    </row>
    <row r="34" spans="2:14" s="4" customFormat="1" x14ac:dyDescent="0.2">
      <c r="B34" s="12" t="s">
        <v>49</v>
      </c>
      <c r="C34" s="222">
        <f>SUM(C32:C33)</f>
        <v>1122</v>
      </c>
      <c r="E34" s="67" t="s">
        <v>46</v>
      </c>
      <c r="F34" s="13">
        <v>0.06</v>
      </c>
      <c r="G34" s="103"/>
    </row>
    <row r="35" spans="2:14" s="4" customFormat="1" x14ac:dyDescent="0.2">
      <c r="B35" s="14" t="s">
        <v>50</v>
      </c>
      <c r="C35" s="288">
        <f>C34*M24</f>
        <v>601268.58000000007</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SUMPRODUCT(F73:I73,F71:I71)</f>
        <v>1937520</v>
      </c>
    </row>
    <row r="69" spans="2:11" s="4" customFormat="1" x14ac:dyDescent="0.2">
      <c r="B69" s="12" t="s">
        <v>61</v>
      </c>
      <c r="C69" s="221">
        <f>J75</f>
        <v>165218.4</v>
      </c>
      <c r="E69" s="9" t="s">
        <v>414</v>
      </c>
      <c r="F69" s="311">
        <v>0.6</v>
      </c>
      <c r="G69" s="311">
        <v>0.6</v>
      </c>
      <c r="H69" s="311">
        <v>0.6</v>
      </c>
      <c r="I69" s="311">
        <v>0.6</v>
      </c>
      <c r="J69" s="11"/>
    </row>
    <row r="70" spans="2:11" s="4" customFormat="1" x14ac:dyDescent="0.2">
      <c r="B70" s="12" t="s">
        <v>62</v>
      </c>
      <c r="C70" s="318">
        <f>C68*C74</f>
        <v>116251.2</v>
      </c>
      <c r="E70" s="297" t="s">
        <v>63</v>
      </c>
      <c r="F70" s="298">
        <v>1</v>
      </c>
      <c r="G70" s="298">
        <v>2</v>
      </c>
      <c r="H70" s="298">
        <v>3</v>
      </c>
      <c r="I70" s="299">
        <v>4</v>
      </c>
      <c r="J70" s="299" t="s">
        <v>64</v>
      </c>
    </row>
    <row r="71" spans="2:11" s="4" customFormat="1" x14ac:dyDescent="0.2">
      <c r="B71" s="14"/>
      <c r="C71" s="319">
        <f>SUM(C68:C70)</f>
        <v>2218989.6</v>
      </c>
      <c r="E71" s="300" t="s">
        <v>65</v>
      </c>
      <c r="F71" s="358">
        <v>1890</v>
      </c>
      <c r="G71" s="358">
        <v>1890</v>
      </c>
      <c r="H71" s="358">
        <v>1845</v>
      </c>
      <c r="I71" s="358">
        <v>1890</v>
      </c>
      <c r="J71" s="301" t="s">
        <v>66</v>
      </c>
    </row>
    <row r="72" spans="2:11" s="4" customFormat="1" x14ac:dyDescent="0.2">
      <c r="E72" s="300" t="s">
        <v>67</v>
      </c>
      <c r="F72" s="272">
        <f>J72-SUM(G72:I72)</f>
        <v>414</v>
      </c>
      <c r="G72" s="256">
        <v>300</v>
      </c>
      <c r="H72" s="256">
        <v>200</v>
      </c>
      <c r="I72" s="315">
        <v>800</v>
      </c>
      <c r="J72" s="303">
        <f>C27+C30</f>
        <v>1714</v>
      </c>
      <c r="K72" s="4" t="s">
        <v>405</v>
      </c>
    </row>
    <row r="73" spans="2:11" s="4" customFormat="1" x14ac:dyDescent="0.2">
      <c r="D73" s="199"/>
      <c r="E73" s="300" t="s">
        <v>72</v>
      </c>
      <c r="F73" s="273">
        <f>ROUNDDOWN(F72*F69,0)</f>
        <v>248</v>
      </c>
      <c r="G73" s="273">
        <f>ROUNDDOWN(G72*G69,0)</f>
        <v>180</v>
      </c>
      <c r="H73" s="273">
        <f>ROUNDDOWN(H72*H69,0)</f>
        <v>120</v>
      </c>
      <c r="I73" s="316">
        <f>ROUNDDOWN(I72*I69,0)</f>
        <v>480</v>
      </c>
      <c r="J73" s="301">
        <f>SUM(F73:I73)</f>
        <v>1028</v>
      </c>
    </row>
    <row r="74" spans="2:11" s="4" customFormat="1" x14ac:dyDescent="0.2">
      <c r="B74" s="9" t="s">
        <v>68</v>
      </c>
      <c r="C74" s="320">
        <v>0.06</v>
      </c>
      <c r="D74" s="199"/>
      <c r="E74" s="300" t="s">
        <v>69</v>
      </c>
      <c r="F74" s="256">
        <v>4</v>
      </c>
      <c r="G74" s="256">
        <v>3</v>
      </c>
      <c r="H74" s="256">
        <v>3</v>
      </c>
      <c r="I74" s="315">
        <v>7</v>
      </c>
      <c r="J74" s="301"/>
    </row>
    <row r="75" spans="2:11" s="4" customFormat="1" x14ac:dyDescent="0.2">
      <c r="B75" s="12" t="s">
        <v>70</v>
      </c>
      <c r="C75" s="221">
        <f>J72</f>
        <v>1714</v>
      </c>
      <c r="D75" s="357"/>
      <c r="E75" s="300" t="s">
        <v>71</v>
      </c>
      <c r="F75" s="312">
        <f>F72*F71*F74/100</f>
        <v>31298.400000000001</v>
      </c>
      <c r="G75" s="312">
        <f>G72*G71*G74/100</f>
        <v>17010</v>
      </c>
      <c r="H75" s="312">
        <f>H72*H71*H74/100</f>
        <v>11070</v>
      </c>
      <c r="I75" s="304">
        <f>I72*I71*I74/100</f>
        <v>105840</v>
      </c>
      <c r="J75" s="304">
        <f>SUM(F75:I75)</f>
        <v>165218.4</v>
      </c>
    </row>
    <row r="76" spans="2:11" s="4" customFormat="1" x14ac:dyDescent="0.2">
      <c r="B76" s="12" t="s">
        <v>72</v>
      </c>
      <c r="C76" s="221">
        <f>J73</f>
        <v>1028</v>
      </c>
      <c r="D76" s="199"/>
      <c r="E76" s="300" t="s">
        <v>73</v>
      </c>
      <c r="F76" s="256">
        <v>1</v>
      </c>
      <c r="G76" s="256">
        <v>0</v>
      </c>
      <c r="H76" s="256">
        <v>0</v>
      </c>
      <c r="I76" s="315">
        <v>0</v>
      </c>
      <c r="J76" s="301" t="s">
        <v>66</v>
      </c>
    </row>
    <row r="77" spans="2:11" s="4" customFormat="1" x14ac:dyDescent="0.2">
      <c r="B77" s="14" t="s">
        <v>74</v>
      </c>
      <c r="C77" s="319">
        <f>C75-C76</f>
        <v>686</v>
      </c>
      <c r="D77" s="199"/>
      <c r="E77" s="305" t="s">
        <v>75</v>
      </c>
      <c r="F77" s="306">
        <f>'Q2'!E68+'Q4-Predict'!F76</f>
        <v>2</v>
      </c>
      <c r="G77" s="306">
        <f>'Q3-Validation'!F68+'Q4-Predict'!G76</f>
        <v>0</v>
      </c>
      <c r="H77" s="306">
        <f>'Q2'!G68+'Q4-Predict'!H76</f>
        <v>1</v>
      </c>
      <c r="I77" s="307">
        <f>'Q2'!H68+'Q4-Predict'!I76</f>
        <v>3</v>
      </c>
      <c r="J77" s="307">
        <f>SUM(F77:I77)</f>
        <v>6</v>
      </c>
    </row>
    <row r="78" spans="2:11" s="4" customFormat="1" x14ac:dyDescent="0.2">
      <c r="E78" s="300" t="s">
        <v>76</v>
      </c>
      <c r="F78" s="296">
        <v>1142</v>
      </c>
      <c r="G78" s="296">
        <v>775</v>
      </c>
      <c r="H78" s="296">
        <v>857</v>
      </c>
      <c r="I78" s="301">
        <v>1306</v>
      </c>
      <c r="J78" s="301"/>
    </row>
    <row r="79" spans="2:11" s="4" customFormat="1" x14ac:dyDescent="0.2">
      <c r="E79" s="305" t="s">
        <v>78</v>
      </c>
      <c r="F79" s="308">
        <f>F73/F78</f>
        <v>0.21716287215411559</v>
      </c>
      <c r="G79" s="308">
        <f>G73/G78</f>
        <v>0.23225806451612904</v>
      </c>
      <c r="H79" s="308">
        <f>H73/H78</f>
        <v>0.14002333722287047</v>
      </c>
      <c r="I79" s="317">
        <f>I73/I78</f>
        <v>0.36753445635528331</v>
      </c>
      <c r="J79" s="309"/>
    </row>
    <row r="80" spans="2:11" s="4" customFormat="1" x14ac:dyDescent="0.2">
      <c r="E80" s="296"/>
      <c r="F80" s="310"/>
      <c r="G80" s="310"/>
      <c r="H80" s="310"/>
      <c r="I80" s="310"/>
      <c r="J80" s="296"/>
    </row>
    <row r="81" spans="1:12" s="4" customFormat="1" x14ac:dyDescent="0.2">
      <c r="E81" s="296"/>
      <c r="F81" s="310"/>
      <c r="G81" s="310"/>
      <c r="H81" s="310"/>
      <c r="I81" s="310"/>
      <c r="J81" s="296"/>
    </row>
    <row r="82" spans="1:12" s="4" customFormat="1" x14ac:dyDescent="0.2">
      <c r="E82" s="296"/>
      <c r="F82" s="310"/>
      <c r="G82" s="310"/>
      <c r="H82" s="310"/>
      <c r="I82" s="310"/>
      <c r="J82" s="296"/>
    </row>
    <row r="83" spans="1:12" s="4" customFormat="1" x14ac:dyDescent="0.2">
      <c r="E83" s="296"/>
      <c r="F83" s="310"/>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I98</f>
        <v>267500</v>
      </c>
      <c r="D92" s="214"/>
      <c r="E92" s="71" t="s">
        <v>82</v>
      </c>
      <c r="F92" s="329">
        <v>5000</v>
      </c>
      <c r="H92" s="71" t="s">
        <v>82</v>
      </c>
      <c r="I92" s="72" t="s">
        <v>83</v>
      </c>
      <c r="J92" s="72" t="s">
        <v>84</v>
      </c>
      <c r="K92" s="72" t="s">
        <v>85</v>
      </c>
      <c r="L92" s="73" t="s">
        <v>86</v>
      </c>
    </row>
    <row r="93" spans="1:12" s="4" customFormat="1" x14ac:dyDescent="0.2">
      <c r="B93" s="12" t="s">
        <v>87</v>
      </c>
      <c r="C93" s="217">
        <f>K103</f>
        <v>40000</v>
      </c>
      <c r="D93" s="214"/>
      <c r="H93" s="12" t="s">
        <v>88</v>
      </c>
      <c r="I93" s="214">
        <f>$F$92*K93</f>
        <v>25000</v>
      </c>
      <c r="J93" s="4">
        <v>1</v>
      </c>
      <c r="K93" s="4">
        <v>5</v>
      </c>
      <c r="L93" s="13">
        <f>J93*K93</f>
        <v>5</v>
      </c>
    </row>
    <row r="94" spans="1:12" s="4" customFormat="1" x14ac:dyDescent="0.2">
      <c r="B94" s="12" t="s">
        <v>89</v>
      </c>
      <c r="C94" s="217">
        <f>K104</f>
        <v>8000</v>
      </c>
      <c r="D94" s="321"/>
      <c r="E94" s="71" t="s">
        <v>90</v>
      </c>
      <c r="F94" s="73"/>
      <c r="H94" s="12" t="s">
        <v>91</v>
      </c>
      <c r="I94" s="214">
        <f>$F$92*K94</f>
        <v>5000</v>
      </c>
      <c r="J94" s="4">
        <v>35</v>
      </c>
      <c r="K94" s="4">
        <v>1</v>
      </c>
      <c r="L94" s="13">
        <f>J94*K94</f>
        <v>35</v>
      </c>
    </row>
    <row r="95" spans="1:12" s="4" customFormat="1" x14ac:dyDescent="0.2">
      <c r="B95" s="12" t="s">
        <v>92</v>
      </c>
      <c r="C95" s="217">
        <f>K105</f>
        <v>52425</v>
      </c>
      <c r="E95" s="12" t="s">
        <v>93</v>
      </c>
      <c r="F95" s="327">
        <v>10000</v>
      </c>
      <c r="H95" s="12" t="s">
        <v>94</v>
      </c>
      <c r="I95" s="214">
        <f>$F$92*K95</f>
        <v>12500</v>
      </c>
      <c r="J95" s="4">
        <v>3</v>
      </c>
      <c r="K95" s="4">
        <v>2.5</v>
      </c>
      <c r="L95" s="13">
        <f>J95*K95</f>
        <v>7.5</v>
      </c>
    </row>
    <row r="96" spans="1:12" s="4" customFormat="1" x14ac:dyDescent="0.2">
      <c r="B96" s="71"/>
      <c r="C96" s="324">
        <f>SUM(C92:C95)</f>
        <v>367925</v>
      </c>
      <c r="E96" s="12" t="s">
        <v>95</v>
      </c>
      <c r="F96" s="194">
        <v>4</v>
      </c>
      <c r="H96" s="12" t="s">
        <v>96</v>
      </c>
      <c r="I96" s="214">
        <f>$F$92*K96</f>
        <v>5000</v>
      </c>
      <c r="J96" s="4">
        <f>J77</f>
        <v>6</v>
      </c>
      <c r="K96" s="4">
        <v>1</v>
      </c>
      <c r="L96" s="13">
        <f>J96*K96</f>
        <v>6</v>
      </c>
    </row>
    <row r="97" spans="1:12" s="4" customFormat="1" x14ac:dyDescent="0.2">
      <c r="E97" s="12" t="s">
        <v>97</v>
      </c>
      <c r="F97" s="217">
        <v>2000</v>
      </c>
      <c r="H97" s="12" t="s">
        <v>64</v>
      </c>
      <c r="I97" s="4" t="s">
        <v>66</v>
      </c>
      <c r="J97" s="4">
        <f>SUM(J93:J96)</f>
        <v>45</v>
      </c>
      <c r="K97" s="4" t="s">
        <v>66</v>
      </c>
      <c r="L97" s="13">
        <f>SUM(L93:L96)</f>
        <v>53.5</v>
      </c>
    </row>
    <row r="98" spans="1:12" s="4" customFormat="1" x14ac:dyDescent="0.2">
      <c r="B98" s="71" t="s">
        <v>98</v>
      </c>
      <c r="C98" s="73" t="s">
        <v>406</v>
      </c>
      <c r="E98" s="14" t="s">
        <v>95</v>
      </c>
      <c r="F98" s="76">
        <v>4</v>
      </c>
      <c r="H98" s="14" t="s">
        <v>99</v>
      </c>
      <c r="I98" s="322">
        <f>L97*F92</f>
        <v>267500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12" t="s">
        <v>104</v>
      </c>
      <c r="F102" s="217">
        <v>165</v>
      </c>
      <c r="H102" s="12" t="s">
        <v>105</v>
      </c>
      <c r="I102" s="214">
        <f>F92</f>
        <v>5000</v>
      </c>
      <c r="J102" s="4">
        <f>L97</f>
        <v>53.5</v>
      </c>
      <c r="K102" s="217">
        <f>I102*J102</f>
        <v>267500</v>
      </c>
    </row>
    <row r="103" spans="1:12" s="4" customFormat="1" x14ac:dyDescent="0.2">
      <c r="E103" s="12" t="s">
        <v>106</v>
      </c>
      <c r="F103" s="217">
        <v>175</v>
      </c>
      <c r="H103" s="12" t="s">
        <v>93</v>
      </c>
      <c r="I103" s="214">
        <f>F95</f>
        <v>10000</v>
      </c>
      <c r="J103" s="4">
        <f>F96</f>
        <v>4</v>
      </c>
      <c r="K103" s="217">
        <f>F95*J103</f>
        <v>40000</v>
      </c>
    </row>
    <row r="104" spans="1:12" s="4" customFormat="1" ht="17" customHeight="1" x14ac:dyDescent="0.2">
      <c r="E104" s="325" t="s">
        <v>107</v>
      </c>
      <c r="F104" s="217">
        <v>400</v>
      </c>
      <c r="H104" s="12" t="s">
        <v>97</v>
      </c>
      <c r="I104" s="214">
        <f>F97</f>
        <v>2000</v>
      </c>
      <c r="J104" s="4">
        <f>F98</f>
        <v>4</v>
      </c>
      <c r="K104" s="217">
        <f>F97*J104</f>
        <v>8000</v>
      </c>
    </row>
    <row r="105" spans="1:12" s="4" customFormat="1" x14ac:dyDescent="0.2">
      <c r="E105" s="325" t="s">
        <v>108</v>
      </c>
      <c r="F105" s="217">
        <v>280</v>
      </c>
      <c r="H105" s="12" t="s">
        <v>109</v>
      </c>
      <c r="I105" s="214">
        <f>SUM(F104:F107)</f>
        <v>1165</v>
      </c>
      <c r="J105" s="4">
        <f>J97</f>
        <v>45</v>
      </c>
      <c r="K105" s="217">
        <f>I105*J105</f>
        <v>52425</v>
      </c>
    </row>
    <row r="106" spans="1:12" s="4" customFormat="1" x14ac:dyDescent="0.2">
      <c r="E106" s="325" t="s">
        <v>110</v>
      </c>
      <c r="F106" s="217">
        <v>350</v>
      </c>
      <c r="H106" s="14"/>
      <c r="I106" s="15"/>
      <c r="J106" s="15"/>
      <c r="K106" s="278">
        <f>SUM(K102:K105)</f>
        <v>367925</v>
      </c>
    </row>
    <row r="107" spans="1:12" s="4" customFormat="1" x14ac:dyDescent="0.2">
      <c r="E107" s="325" t="s">
        <v>111</v>
      </c>
      <c r="F107" s="217">
        <v>135</v>
      </c>
      <c r="L107" s="214"/>
    </row>
    <row r="108" spans="1:12" s="4" customFormat="1" x14ac:dyDescent="0.2">
      <c r="E108" s="14"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199" t="s">
        <v>114</v>
      </c>
      <c r="C113" s="199">
        <f>200000</f>
        <v>200000</v>
      </c>
    </row>
    <row r="114" spans="1:22" s="4" customFormat="1" x14ac:dyDescent="0.2">
      <c r="B114" s="199" t="s">
        <v>115</v>
      </c>
      <c r="C114" s="199">
        <f>2*0.019</f>
        <v>3.7999999999999999E-2</v>
      </c>
    </row>
    <row r="115" spans="1:22" s="4" customFormat="1" x14ac:dyDescent="0.2">
      <c r="B115" s="199" t="s">
        <v>116</v>
      </c>
      <c r="C115" s="199">
        <f>C113*C114</f>
        <v>7600</v>
      </c>
    </row>
    <row r="116" spans="1:22" s="4" customFormat="1" x14ac:dyDescent="0.2">
      <c r="B116" s="4" t="s">
        <v>117</v>
      </c>
      <c r="C116" s="69">
        <v>80000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407</v>
      </c>
    </row>
    <row r="121" spans="1:22" s="4" customFormat="1" x14ac:dyDescent="0.2"/>
    <row r="122" spans="1:22" s="4" customFormat="1" x14ac:dyDescent="0.2">
      <c r="B122" s="4" t="s">
        <v>119</v>
      </c>
    </row>
    <row r="123" spans="1:22" s="4" customFormat="1" x14ac:dyDescent="0.2">
      <c r="B123" s="9" t="s">
        <v>60</v>
      </c>
      <c r="C123" s="334">
        <f>IFERROR(VLOOKUP(B123,$B$14:$C$121,2,FALSE),0)</f>
        <v>1937520</v>
      </c>
      <c r="D123" s="286">
        <v>1</v>
      </c>
      <c r="E123" s="286">
        <v>0.7</v>
      </c>
    </row>
    <row r="124" spans="1:22" s="4" customFormat="1" x14ac:dyDescent="0.2">
      <c r="B124" s="275" t="s">
        <v>120</v>
      </c>
      <c r="C124" s="335">
        <f>E124</f>
        <v>1103760.96</v>
      </c>
      <c r="D124" s="302">
        <v>1577854.56</v>
      </c>
      <c r="E124" s="4">
        <v>1103760.96</v>
      </c>
      <c r="F124" s="9" t="s">
        <v>400</v>
      </c>
      <c r="G124" s="9" t="s">
        <v>122</v>
      </c>
      <c r="H124" s="331">
        <f>C128+C130</f>
        <v>319925</v>
      </c>
      <c r="I124" s="10">
        <f>H124/$H$128</f>
        <v>311.21108949416345</v>
      </c>
      <c r="J124" s="11"/>
    </row>
    <row r="125" spans="1:22" s="4" customFormat="1" x14ac:dyDescent="0.2">
      <c r="B125" s="12" t="s">
        <v>123</v>
      </c>
      <c r="C125" s="336">
        <f>C123-C124</f>
        <v>833759.04</v>
      </c>
      <c r="F125" s="12"/>
      <c r="G125" s="12" t="s">
        <v>124</v>
      </c>
      <c r="H125" s="279">
        <f>SUMIF(D127:D139,"FC",C127:C139)</f>
        <v>700497.13159999996</v>
      </c>
      <c r="I125" s="4">
        <f>H125/$H$128</f>
        <v>681.4174431906614</v>
      </c>
      <c r="J125" s="13"/>
    </row>
    <row r="126" spans="1:22" s="4" customFormat="1" x14ac:dyDescent="0.2">
      <c r="B126" s="12" t="s">
        <v>125</v>
      </c>
      <c r="C126" s="336"/>
      <c r="F126" s="12"/>
      <c r="G126" s="12" t="s">
        <v>120</v>
      </c>
      <c r="H126" s="279">
        <f>C124</f>
        <v>1103760.96</v>
      </c>
      <c r="I126" s="4">
        <f>H126/$H$128</f>
        <v>1073.6974319066148</v>
      </c>
      <c r="J126" s="13"/>
    </row>
    <row r="127" spans="1:22" s="4" customFormat="1" x14ac:dyDescent="0.2">
      <c r="B127" s="12" t="s">
        <v>27</v>
      </c>
      <c r="C127" s="336">
        <v>280000</v>
      </c>
      <c r="D127" s="4" t="s">
        <v>124</v>
      </c>
      <c r="F127" s="12"/>
      <c r="G127" s="12" t="s">
        <v>127</v>
      </c>
      <c r="H127" s="279">
        <f>SUM(H124:H126)</f>
        <v>2124183.0915999999</v>
      </c>
      <c r="J127" s="13"/>
    </row>
    <row r="128" spans="1:22" s="4" customFormat="1" x14ac:dyDescent="0.2">
      <c r="B128" s="12" t="s">
        <v>81</v>
      </c>
      <c r="C128" s="336">
        <f t="shared" ref="C128:C136" si="0">IFERROR(VLOOKUP(B128,$B$14:$C$121,2,FALSE),0)</f>
        <v>267500</v>
      </c>
      <c r="D128" s="4" t="s">
        <v>122</v>
      </c>
      <c r="F128" s="12"/>
      <c r="G128" s="12" t="s">
        <v>128</v>
      </c>
      <c r="H128" s="302">
        <f>C76</f>
        <v>1028</v>
      </c>
      <c r="J128" s="13"/>
    </row>
    <row r="129" spans="2:10" s="4" customFormat="1" x14ac:dyDescent="0.2">
      <c r="B129" s="12" t="s">
        <v>87</v>
      </c>
      <c r="C129" s="336">
        <f t="shared" si="0"/>
        <v>40000</v>
      </c>
      <c r="D129" s="4" t="s">
        <v>124</v>
      </c>
      <c r="F129" s="12"/>
      <c r="G129" s="12" t="s">
        <v>129</v>
      </c>
      <c r="H129" s="339">
        <f>H127/H128</f>
        <v>2066.3259645914395</v>
      </c>
      <c r="J129" s="13"/>
    </row>
    <row r="130" spans="2:10" s="4" customFormat="1" x14ac:dyDescent="0.2">
      <c r="B130" s="12" t="s">
        <v>92</v>
      </c>
      <c r="C130" s="336">
        <f t="shared" si="0"/>
        <v>52425</v>
      </c>
      <c r="D130" s="4" t="s">
        <v>122</v>
      </c>
      <c r="F130" s="12"/>
      <c r="G130" s="12"/>
      <c r="J130" s="13"/>
    </row>
    <row r="131" spans="2:10" s="4" customFormat="1" x14ac:dyDescent="0.2">
      <c r="B131" s="12" t="s">
        <v>89</v>
      </c>
      <c r="C131" s="336">
        <f t="shared" si="0"/>
        <v>8000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$H$129*(1+H131)</f>
        <v>2272.9585610505837</v>
      </c>
      <c r="I132" s="333">
        <f>$H$129*(1+I131)</f>
        <v>2479.5911575097275</v>
      </c>
      <c r="J132" s="341">
        <f>$H$129*(1+J131)</f>
        <v>2686.2237539688713</v>
      </c>
    </row>
    <row r="133" spans="2:10" s="4" customFormat="1" x14ac:dyDescent="0.2">
      <c r="B133" s="12" t="s">
        <v>11</v>
      </c>
      <c r="C133" s="336">
        <f t="shared" si="0"/>
        <v>75000</v>
      </c>
      <c r="D133" s="4" t="s">
        <v>124</v>
      </c>
      <c r="F133" s="12"/>
      <c r="G133" s="4" t="s">
        <v>133</v>
      </c>
      <c r="H133" s="302">
        <f>H132-$H$129</f>
        <v>206.63259645914422</v>
      </c>
      <c r="I133" s="302">
        <f>I132-$H$129</f>
        <v>413.26519291828799</v>
      </c>
      <c r="J133" s="318">
        <f>J132-$H$129</f>
        <v>619.89778937743176</v>
      </c>
    </row>
    <row r="134" spans="2:10" s="4" customFormat="1" x14ac:dyDescent="0.2">
      <c r="B134" s="12" t="s">
        <v>61</v>
      </c>
      <c r="C134" s="336">
        <f t="shared" si="0"/>
        <v>165218.4</v>
      </c>
      <c r="D134" s="4" t="s">
        <v>124</v>
      </c>
      <c r="F134" s="12" t="s">
        <v>401</v>
      </c>
      <c r="G134" s="4" t="s">
        <v>134</v>
      </c>
      <c r="H134" s="355">
        <f>H133/H132</f>
        <v>9.0909090909091023E-2</v>
      </c>
      <c r="I134" s="355">
        <f>I133/I132</f>
        <v>0.16666666666666669</v>
      </c>
      <c r="J134" s="326">
        <f>J133/J132</f>
        <v>0.23076923076923075</v>
      </c>
    </row>
    <row r="135" spans="2:10" s="4" customFormat="1" x14ac:dyDescent="0.2">
      <c r="B135" s="12" t="s">
        <v>23</v>
      </c>
      <c r="C135" s="336">
        <f t="shared" si="0"/>
        <v>12025.371600000002</v>
      </c>
      <c r="D135" s="4" t="s">
        <v>124</v>
      </c>
      <c r="F135" s="12" t="s">
        <v>402</v>
      </c>
      <c r="G135" s="4" t="s">
        <v>135</v>
      </c>
      <c r="H135" s="279">
        <f>$H$125/H134</f>
        <v>7705468.4475999903</v>
      </c>
      <c r="I135" s="279">
        <f>$H$125/I134</f>
        <v>4202982.7895999989</v>
      </c>
      <c r="J135" s="281">
        <f>$H$125/J134</f>
        <v>3035487.5702666668</v>
      </c>
    </row>
    <row r="136" spans="2:10" s="4" customFormat="1" x14ac:dyDescent="0.2">
      <c r="B136" s="12" t="s">
        <v>117</v>
      </c>
      <c r="C136" s="336">
        <f t="shared" si="0"/>
        <v>80000</v>
      </c>
      <c r="D136" s="4" t="s">
        <v>124</v>
      </c>
      <c r="F136" s="14"/>
      <c r="G136" s="15" t="s">
        <v>136</v>
      </c>
      <c r="H136" s="15">
        <f>H135/H132</f>
        <v>3390.0611210608463</v>
      </c>
      <c r="I136" s="15">
        <f>I135/I132</f>
        <v>1695.030560530425</v>
      </c>
      <c r="J136" s="16">
        <f>J135/J132</f>
        <v>1130.0203736869505</v>
      </c>
    </row>
    <row r="137" spans="2:10" s="4" customFormat="1" x14ac:dyDescent="0.2">
      <c r="B137" s="275" t="s">
        <v>137</v>
      </c>
      <c r="C137" s="335">
        <f>E137</f>
        <v>53448</v>
      </c>
      <c r="D137" s="335">
        <v>76400</v>
      </c>
      <c r="E137" s="4">
        <v>53448</v>
      </c>
    </row>
    <row r="138" spans="2:10" s="4" customFormat="1" x14ac:dyDescent="0.2">
      <c r="B138" s="12" t="s">
        <v>139</v>
      </c>
      <c r="C138" s="336">
        <f>IFERROR(VLOOKUP(B138,$B$14:$C$121,2,FALSE),0)</f>
        <v>0</v>
      </c>
    </row>
    <row r="139" spans="2:10" s="4" customFormat="1" x14ac:dyDescent="0.2">
      <c r="B139" s="275" t="s">
        <v>140</v>
      </c>
      <c r="C139" s="335">
        <v>40253.360000000001</v>
      </c>
      <c r="D139" s="4" t="s">
        <v>124</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SUM(C127:C141)</f>
        <v>1073870.1316</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v>0.08</v>
      </c>
    </row>
    <row r="147" spans="2:5" s="4" customFormat="1" x14ac:dyDescent="0.2">
      <c r="B147" s="12" t="s">
        <v>146</v>
      </c>
      <c r="C147" s="359">
        <f>C125-C142</f>
        <v>-240111.09159999993</v>
      </c>
      <c r="D147" s="4">
        <v>69579.26689999993</v>
      </c>
      <c r="E147" s="4">
        <v>57518.90839999984</v>
      </c>
    </row>
    <row r="148" spans="2:5" s="4" customFormat="1" x14ac:dyDescent="0.2">
      <c r="B148" s="12" t="s">
        <v>147</v>
      </c>
      <c r="C148" s="13">
        <v>0</v>
      </c>
    </row>
    <row r="149" spans="2:5" s="4" customFormat="1" x14ac:dyDescent="0.2">
      <c r="B149" s="12" t="s">
        <v>148</v>
      </c>
      <c r="C149" s="336">
        <f>C147-C148</f>
        <v>-240111.09159999993</v>
      </c>
    </row>
    <row r="150" spans="2:5" s="4" customFormat="1" x14ac:dyDescent="0.2">
      <c r="B150" s="12" t="s">
        <v>119</v>
      </c>
      <c r="C150" s="13"/>
    </row>
    <row r="151" spans="2:5" s="4" customFormat="1" x14ac:dyDescent="0.2">
      <c r="B151" s="12" t="s">
        <v>149</v>
      </c>
      <c r="C151" s="336">
        <f>'Q3-Validation'!C154</f>
        <v>-1382222.4580000001</v>
      </c>
    </row>
    <row r="152" spans="2:5" s="4" customFormat="1" x14ac:dyDescent="0.2">
      <c r="B152" s="12" t="s">
        <v>148</v>
      </c>
      <c r="C152" s="336">
        <f>C149+C151</f>
        <v>-1622333.5496</v>
      </c>
    </row>
    <row r="153" spans="2:5" s="4" customFormat="1" x14ac:dyDescent="0.2">
      <c r="B153" s="12" t="s">
        <v>150</v>
      </c>
      <c r="C153" s="13">
        <v>0</v>
      </c>
    </row>
    <row r="154" spans="2:5" s="4" customFormat="1" x14ac:dyDescent="0.2">
      <c r="B154" s="14" t="s">
        <v>151</v>
      </c>
      <c r="C154" s="337">
        <f>C152+C153</f>
        <v>-1622333.5496</v>
      </c>
    </row>
    <row r="155" spans="2:5" s="4" customFormat="1" x14ac:dyDescent="0.2"/>
    <row r="156" spans="2:5" s="4" customFormat="1" x14ac:dyDescent="0.2">
      <c r="C156" s="330"/>
      <c r="D156" s="214"/>
      <c r="E156" s="279"/>
    </row>
    <row r="157" spans="2:5" s="4" customFormat="1" x14ac:dyDescent="0.2"/>
    <row r="158" spans="2:5" s="4" customFormat="1" x14ac:dyDescent="0.2"/>
    <row r="159" spans="2:5" s="4" customFormat="1" x14ac:dyDescent="0.2"/>
    <row r="160" spans="2:5" s="4" customFormat="1" x14ac:dyDescent="0.2"/>
    <row r="161" s="4" customFormat="1" x14ac:dyDescent="0.2"/>
    <row r="162" s="4" customFormat="1" x14ac:dyDescent="0.2"/>
    <row r="163" s="4" customFormat="1" x14ac:dyDescent="0.2"/>
    <row r="164" s="4" customFormat="1" x14ac:dyDescent="0.2"/>
    <row r="165" s="4" customFormat="1" x14ac:dyDescent="0.2"/>
    <row r="166" s="4" customFormat="1" x14ac:dyDescent="0.2"/>
    <row r="167" s="4" customFormat="1" x14ac:dyDescent="0.2"/>
    <row r="168" s="4" customFormat="1" x14ac:dyDescent="0.2"/>
    <row r="169" s="4" customFormat="1" x14ac:dyDescent="0.2"/>
    <row r="170" s="4" customFormat="1" x14ac:dyDescent="0.2"/>
    <row r="171" s="4" customFormat="1" x14ac:dyDescent="0.2"/>
    <row r="172" s="4" customFormat="1" x14ac:dyDescent="0.2"/>
    <row r="173" s="4" customFormat="1" x14ac:dyDescent="0.2"/>
    <row r="174"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43FA8D13-8A02-F042-82AF-7DFD7783834D}">
          <x14:formula1>
            <xm:f>Reference!$C$1:$C$5</xm:f>
          </x14:formula1>
          <xm:sqref>W22 W29 K21</xm:sqref>
        </x14:dataValidation>
        <x14:dataValidation type="list" allowBlank="1" showInputMessage="1" showErrorMessage="1" xr:uid="{E2E4A6CB-2C34-F84D-B0F9-C1FD172BCB41}">
          <x14:formula1>
            <xm:f>Reference!$A$1:$A$3</xm:f>
          </x14:formula1>
          <xm:sqref>W20 W27 K19</xm:sqref>
        </x14:dataValidation>
        <x14:dataValidation type="list" allowBlank="1" showInputMessage="1" showErrorMessage="1" xr:uid="{D0A74F54-28EA-B040-8BE6-3F953CC28B9E}">
          <x14:formula1>
            <xm:f>Reference!$D$1:$D$4</xm:f>
          </x14:formula1>
          <xm:sqref>W23 W30 K22</xm:sqref>
        </x14:dataValidation>
        <x14:dataValidation type="list" allowBlank="1" showInputMessage="1" showErrorMessage="1" xr:uid="{9050EC61-D6C5-4B49-8939-DF9D4D5A00D0}">
          <x14:formula1>
            <xm:f>Reference!$B$1:$B$4</xm:f>
          </x14:formula1>
          <xm:sqref>W21 W28 K20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36BB2-111D-D142-ACCF-012FF5DA18C8}">
  <sheetPr codeName="Sheet23">
    <tabColor theme="2" tint="-9.9978637043366805E-2"/>
  </sheetPr>
  <dimension ref="A1:V174"/>
  <sheetViews>
    <sheetView zoomScale="125" zoomScaleNormal="69" workbookViewId="0">
      <selection activeCell="K23" sqref="K23"/>
    </sheetView>
  </sheetViews>
  <sheetFormatPr baseColWidth="10" defaultColWidth="11" defaultRowHeight="16" x14ac:dyDescent="0.2"/>
  <cols>
    <col min="1" max="1" width="5.6640625" style="4" customWidth="1"/>
    <col min="2" max="2" width="33.33203125" bestFit="1" customWidth="1"/>
    <col min="3" max="3" width="14" bestFit="1" customWidth="1"/>
    <col min="4" max="4" width="15.1640625"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4"/>
      <c r="C2" s="4"/>
      <c r="D2" s="4"/>
      <c r="E2" s="4"/>
      <c r="F2" s="4"/>
      <c r="G2" s="4"/>
      <c r="H2" s="4"/>
      <c r="I2" s="4"/>
      <c r="J2" s="4"/>
      <c r="K2" s="4"/>
      <c r="L2" s="4"/>
      <c r="M2" s="4"/>
      <c r="N2" s="4"/>
      <c r="O2" s="4"/>
      <c r="P2" s="4"/>
      <c r="Q2" s="4"/>
      <c r="R2" s="4"/>
      <c r="S2" s="4"/>
      <c r="T2" s="4"/>
      <c r="U2" s="4"/>
      <c r="V2" s="4"/>
    </row>
    <row r="3" spans="1:22" x14ac:dyDescent="0.2">
      <c r="B3" s="4"/>
      <c r="C3" s="4"/>
      <c r="D3" s="4"/>
      <c r="E3" s="4"/>
      <c r="F3" s="4"/>
      <c r="G3" s="4"/>
      <c r="H3" s="4"/>
      <c r="I3" s="4"/>
      <c r="J3" s="4"/>
      <c r="K3" s="4"/>
      <c r="L3" s="4"/>
      <c r="M3" s="4"/>
      <c r="N3" s="4"/>
      <c r="O3" s="4"/>
      <c r="P3" s="4"/>
      <c r="Q3" s="4"/>
      <c r="R3" s="4"/>
      <c r="S3" s="4"/>
      <c r="T3" s="4"/>
      <c r="U3" s="4"/>
      <c r="V3" s="4"/>
    </row>
    <row r="4" spans="1:22" s="4" customFormat="1" x14ac:dyDescent="0.2"/>
    <row r="5" spans="1:22" s="4" customFormat="1" x14ac:dyDescent="0.2"/>
    <row r="6" spans="1:22" s="4" customFormat="1" x14ac:dyDescent="0.2"/>
    <row r="7" spans="1:22" s="4" customFormat="1" x14ac:dyDescent="0.2"/>
    <row r="8" spans="1:22" s="4" customFormat="1" x14ac:dyDescent="0.2"/>
    <row r="9" spans="1:22" s="4" customFormat="1" x14ac:dyDescent="0.2"/>
    <row r="10" spans="1:22" x14ac:dyDescent="0.2">
      <c r="B10" s="4"/>
      <c r="C10" s="4"/>
      <c r="D10" s="4"/>
      <c r="E10" s="4"/>
      <c r="F10" s="4"/>
      <c r="G10" s="4"/>
      <c r="H10" s="4"/>
      <c r="I10" s="4"/>
      <c r="J10" s="4"/>
      <c r="K10" s="4"/>
      <c r="L10" s="4"/>
      <c r="M10" s="4"/>
      <c r="N10" s="4"/>
      <c r="O10" s="4"/>
      <c r="P10" s="4"/>
      <c r="Q10" s="4"/>
      <c r="R10" s="4"/>
      <c r="S10" s="4"/>
      <c r="T10" s="4"/>
      <c r="U10" s="4"/>
      <c r="V10" s="4"/>
    </row>
    <row r="11" spans="1:22" x14ac:dyDescent="0.2">
      <c r="B11" s="4"/>
      <c r="C11" s="4"/>
      <c r="D11" s="4"/>
      <c r="E11" s="4"/>
      <c r="F11" s="4"/>
      <c r="G11" s="4"/>
      <c r="H11" s="4"/>
      <c r="I11" s="4"/>
      <c r="J11" s="4"/>
      <c r="K11" s="4"/>
      <c r="L11" s="4"/>
      <c r="M11" s="4"/>
      <c r="N11" s="4"/>
      <c r="O11" s="4"/>
      <c r="P11" s="4"/>
      <c r="Q11" s="4"/>
      <c r="R11" s="4"/>
      <c r="S11" s="4"/>
      <c r="T11" s="4"/>
      <c r="U11" s="4"/>
      <c r="V11" s="4"/>
    </row>
    <row r="12" spans="1:22" x14ac:dyDescent="0.2">
      <c r="B12" s="126" t="s">
        <v>415</v>
      </c>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F19*F20</f>
        <v>75000</v>
      </c>
      <c r="E18" s="576" t="s">
        <v>12</v>
      </c>
      <c r="F18" s="577"/>
      <c r="G18" s="578"/>
      <c r="I18" s="71" t="s">
        <v>13</v>
      </c>
      <c r="J18" s="72"/>
      <c r="K18" s="72" t="s">
        <v>14</v>
      </c>
      <c r="L18" s="72" t="s">
        <v>15</v>
      </c>
      <c r="M18" s="72" t="s">
        <v>16</v>
      </c>
      <c r="N18" s="73" t="s">
        <v>17</v>
      </c>
    </row>
    <row r="19" spans="2:22" s="4" customFormat="1" x14ac:dyDescent="0.2">
      <c r="B19" s="12" t="s">
        <v>18</v>
      </c>
      <c r="C19" s="217">
        <f>N23</f>
        <v>686268</v>
      </c>
      <c r="E19" s="284" t="s">
        <v>19</v>
      </c>
      <c r="F19" s="285">
        <v>15000</v>
      </c>
      <c r="G19" s="11" t="s">
        <v>20</v>
      </c>
      <c r="I19" s="12"/>
      <c r="J19" s="4" t="s">
        <v>21</v>
      </c>
      <c r="K19" s="4" t="s">
        <v>22</v>
      </c>
      <c r="L19" s="4">
        <f>VLOOKUP($K$19,$E$24:F59,2,FALSE)</f>
        <v>36</v>
      </c>
      <c r="M19" s="4">
        <f>L19*$F$25</f>
        <v>36</v>
      </c>
      <c r="N19" s="13">
        <f>M19*$F$24</f>
        <v>43200</v>
      </c>
    </row>
    <row r="20" spans="2:22" s="4" customFormat="1" x14ac:dyDescent="0.2">
      <c r="B20" s="12" t="s">
        <v>23</v>
      </c>
      <c r="C20" s="281">
        <f>C35*0.02</f>
        <v>14340.416400000004</v>
      </c>
      <c r="E20" s="68"/>
      <c r="F20" s="16">
        <v>5</v>
      </c>
      <c r="G20" s="16"/>
      <c r="I20" s="12" t="s">
        <v>24</v>
      </c>
      <c r="J20" s="19" t="s">
        <v>25</v>
      </c>
      <c r="K20" s="4" t="s">
        <v>26</v>
      </c>
      <c r="L20" s="4">
        <f>VLOOKUP($K$20,$E$25:F60,2,FALSE)</f>
        <v>44.52</v>
      </c>
      <c r="M20" s="4">
        <f>L20*$F$28</f>
        <v>89.04</v>
      </c>
      <c r="N20" s="13">
        <f>M20*$F$24</f>
        <v>106848.00000000001</v>
      </c>
    </row>
    <row r="21" spans="2:22" s="4" customFormat="1" x14ac:dyDescent="0.2">
      <c r="B21" s="276" t="s">
        <v>27</v>
      </c>
      <c r="C21" s="282">
        <v>280000</v>
      </c>
      <c r="E21" s="12" t="s">
        <v>28</v>
      </c>
      <c r="G21" s="103"/>
      <c r="I21" s="12"/>
      <c r="J21" s="20" t="s">
        <v>29</v>
      </c>
      <c r="K21" s="4" t="s">
        <v>30</v>
      </c>
      <c r="L21" s="4">
        <f>VLOOKUP($K$21,$E$26:F63,2,FALSE)</f>
        <v>187.20000000000002</v>
      </c>
      <c r="M21" s="4">
        <f>L21*$F$38</f>
        <v>374.40000000000003</v>
      </c>
      <c r="N21" s="13">
        <f>M21*$F$24</f>
        <v>449280.00000000006</v>
      </c>
      <c r="V21" s="19"/>
    </row>
    <row r="22" spans="2:22" s="4" customFormat="1" x14ac:dyDescent="0.2">
      <c r="B22" s="14"/>
      <c r="C22" s="278">
        <f>SUM(C17:C21)</f>
        <v>1055608.4164</v>
      </c>
      <c r="E22" s="12" t="s">
        <v>31</v>
      </c>
      <c r="F22" s="214">
        <v>1300000</v>
      </c>
      <c r="G22" s="103"/>
      <c r="I22" s="12"/>
      <c r="J22" s="70" t="s">
        <v>32</v>
      </c>
      <c r="K22" s="4" t="s">
        <v>33</v>
      </c>
      <c r="L22" s="4">
        <f>VLOOKUP($K$22,$E$21:F60,2,FALSE)</f>
        <v>24.150000000000002</v>
      </c>
      <c r="M22" s="4">
        <f>L22*$F$51</f>
        <v>72.45</v>
      </c>
      <c r="N22" s="13">
        <f>M22*$F$24</f>
        <v>86940</v>
      </c>
      <c r="V22" s="20"/>
    </row>
    <row r="23" spans="2:22" s="4" customFormat="1" x14ac:dyDescent="0.2">
      <c r="E23" s="12" t="s">
        <v>34</v>
      </c>
      <c r="F23" s="214">
        <v>1500000</v>
      </c>
      <c r="G23" s="103"/>
      <c r="I23" s="71" t="s">
        <v>35</v>
      </c>
      <c r="J23" s="72"/>
      <c r="K23" s="72"/>
      <c r="L23" s="72"/>
      <c r="M23" s="72">
        <f>SUM(M19:M22)</f>
        <v>571.8900000000001</v>
      </c>
      <c r="N23" s="73">
        <f>SUM(N19:N22)</f>
        <v>686268</v>
      </c>
      <c r="V23" s="70"/>
    </row>
    <row r="24" spans="2:22" s="4" customFormat="1" x14ac:dyDescent="0.2">
      <c r="E24" s="14" t="s">
        <v>18</v>
      </c>
      <c r="F24" s="15">
        <v>1200</v>
      </c>
      <c r="G24" s="103" t="s">
        <v>36</v>
      </c>
      <c r="I24" s="14" t="s">
        <v>37</v>
      </c>
      <c r="J24" s="15"/>
      <c r="K24" s="15"/>
      <c r="L24" s="15"/>
      <c r="M24" s="15">
        <f>M23-M19</f>
        <v>535.8900000000001</v>
      </c>
      <c r="N24" s="16">
        <f>M24*F24</f>
        <v>643068.00000000012</v>
      </c>
    </row>
    <row r="25" spans="2:22" s="4" customFormat="1" x14ac:dyDescent="0.2">
      <c r="B25" s="71" t="s">
        <v>38</v>
      </c>
      <c r="C25" s="343">
        <f>C30/C29</f>
        <v>0.94499999999999995</v>
      </c>
      <c r="E25" s="9" t="s">
        <v>21</v>
      </c>
      <c r="F25" s="10">
        <v>1</v>
      </c>
      <c r="G25" s="103" t="s">
        <v>39</v>
      </c>
    </row>
    <row r="26" spans="2:22" s="4" customFormat="1" x14ac:dyDescent="0.2">
      <c r="E26" s="12" t="s">
        <v>40</v>
      </c>
      <c r="F26" s="214">
        <v>20</v>
      </c>
      <c r="G26" s="103"/>
    </row>
    <row r="27" spans="2:22" s="4" customFormat="1" x14ac:dyDescent="0.2">
      <c r="B27" s="9" t="s">
        <v>41</v>
      </c>
      <c r="C27" s="345">
        <f>'Q2'!J13</f>
        <v>584</v>
      </c>
      <c r="E27" s="14" t="s">
        <v>22</v>
      </c>
      <c r="F27" s="283">
        <v>36</v>
      </c>
      <c r="G27" s="98"/>
    </row>
    <row r="28" spans="2:22" s="4" customFormat="1" x14ac:dyDescent="0.2">
      <c r="B28" s="12" t="s">
        <v>42</v>
      </c>
      <c r="C28" s="222">
        <f>'Q2'!J11</f>
        <v>1272</v>
      </c>
      <c r="E28" s="9" t="s">
        <v>25</v>
      </c>
      <c r="F28" s="11">
        <v>2</v>
      </c>
      <c r="G28" s="103" t="s">
        <v>39</v>
      </c>
      <c r="P28" s="214"/>
      <c r="V28" s="19"/>
    </row>
    <row r="29" spans="2:22" s="4" customFormat="1" x14ac:dyDescent="0.2">
      <c r="B29" s="12" t="s">
        <v>43</v>
      </c>
      <c r="C29" s="222">
        <v>1200</v>
      </c>
      <c r="E29" s="12" t="s">
        <v>44</v>
      </c>
      <c r="F29" s="13">
        <f>(1+F31)*F30</f>
        <v>43.2</v>
      </c>
      <c r="G29" s="103"/>
      <c r="V29" s="20"/>
    </row>
    <row r="30" spans="2:22" s="4" customFormat="1" x14ac:dyDescent="0.2">
      <c r="B30" s="12" t="s">
        <v>413</v>
      </c>
      <c r="C30" s="344">
        <v>1134</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f>C29-C30</f>
        <v>66</v>
      </c>
      <c r="E32" s="12" t="s">
        <v>26</v>
      </c>
      <c r="F32" s="13">
        <f>(1+F34)*F33</f>
        <v>44.52</v>
      </c>
      <c r="G32" s="103"/>
      <c r="P32" s="214"/>
    </row>
    <row r="33" spans="2:14" s="4" customFormat="1" x14ac:dyDescent="0.2">
      <c r="B33" s="12" t="s">
        <v>48</v>
      </c>
      <c r="C33" s="222">
        <f>F24</f>
        <v>1200</v>
      </c>
      <c r="E33" s="67" t="s">
        <v>45</v>
      </c>
      <c r="F33" s="13">
        <v>42</v>
      </c>
      <c r="G33" s="103"/>
    </row>
    <row r="34" spans="2:14" s="4" customFormat="1" x14ac:dyDescent="0.2">
      <c r="B34" s="12" t="s">
        <v>49</v>
      </c>
      <c r="C34" s="222">
        <f>C32+C28</f>
        <v>1338</v>
      </c>
      <c r="E34" s="67" t="s">
        <v>46</v>
      </c>
      <c r="F34" s="13">
        <v>0.06</v>
      </c>
      <c r="G34" s="103"/>
    </row>
    <row r="35" spans="2:14" s="4" customFormat="1" x14ac:dyDescent="0.2">
      <c r="B35" s="14" t="s">
        <v>50</v>
      </c>
      <c r="C35" s="288">
        <f>C34*M24</f>
        <v>717020.82000000018</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SUMPRODUCT(F73:I73,F71:I71)</f>
        <v>1923112</v>
      </c>
    </row>
    <row r="69" spans="2:11" s="4" customFormat="1" x14ac:dyDescent="0.2">
      <c r="B69" s="12" t="s">
        <v>61</v>
      </c>
      <c r="C69" s="221">
        <f>J75</f>
        <v>145921.76</v>
      </c>
      <c r="E69" s="9" t="s">
        <v>414</v>
      </c>
      <c r="F69" s="346">
        <f>F73/F72</f>
        <v>0.8839285714285714</v>
      </c>
      <c r="G69" s="346">
        <f t="shared" ref="G69:I69" si="0">G73/G72</f>
        <v>0.72</v>
      </c>
      <c r="H69" s="346">
        <f t="shared" si="0"/>
        <v>0.51749999999999996</v>
      </c>
      <c r="I69" s="346">
        <f t="shared" si="0"/>
        <v>0.68444444444444441</v>
      </c>
      <c r="J69" s="11"/>
    </row>
    <row r="70" spans="2:11" s="4" customFormat="1" x14ac:dyDescent="0.2">
      <c r="B70" s="12" t="s">
        <v>62</v>
      </c>
      <c r="C70" s="318">
        <f>C68*C74</f>
        <v>153848.95999999999</v>
      </c>
      <c r="E70" s="297" t="s">
        <v>63</v>
      </c>
      <c r="F70" s="298">
        <v>1</v>
      </c>
      <c r="G70" s="298">
        <v>2</v>
      </c>
      <c r="H70" s="298">
        <v>3</v>
      </c>
      <c r="I70" s="299">
        <v>4</v>
      </c>
      <c r="J70" s="299" t="s">
        <v>64</v>
      </c>
    </row>
    <row r="71" spans="2:11" s="4" customFormat="1" x14ac:dyDescent="0.2">
      <c r="B71" s="14"/>
      <c r="C71" s="319">
        <f>SUM(C68:C70)</f>
        <v>2222882.7200000002</v>
      </c>
      <c r="E71" s="300" t="s">
        <v>65</v>
      </c>
      <c r="F71" s="312">
        <v>1699</v>
      </c>
      <c r="G71" s="312">
        <v>1699</v>
      </c>
      <c r="H71" s="312">
        <v>1649</v>
      </c>
      <c r="I71" s="304">
        <v>1699</v>
      </c>
      <c r="J71" s="301" t="s">
        <v>66</v>
      </c>
    </row>
    <row r="72" spans="2:11" s="4" customFormat="1" x14ac:dyDescent="0.2">
      <c r="E72" s="300" t="s">
        <v>67</v>
      </c>
      <c r="F72" s="347">
        <v>112</v>
      </c>
      <c r="G72" s="296">
        <v>300</v>
      </c>
      <c r="H72" s="296">
        <v>400</v>
      </c>
      <c r="I72" s="301">
        <v>900</v>
      </c>
      <c r="J72" s="303">
        <v>1712</v>
      </c>
      <c r="K72" s="4" t="s">
        <v>405</v>
      </c>
    </row>
    <row r="73" spans="2:11" s="4" customFormat="1" x14ac:dyDescent="0.2">
      <c r="D73" s="199"/>
      <c r="E73" s="300" t="s">
        <v>417</v>
      </c>
      <c r="F73" s="348">
        <v>99</v>
      </c>
      <c r="G73" s="348">
        <v>216</v>
      </c>
      <c r="H73" s="348">
        <v>207</v>
      </c>
      <c r="I73" s="349">
        <v>616</v>
      </c>
      <c r="J73" s="301">
        <f>SUM(F73:I73)</f>
        <v>1138</v>
      </c>
    </row>
    <row r="74" spans="2:11" s="4" customFormat="1" x14ac:dyDescent="0.2">
      <c r="B74" s="9" t="s">
        <v>68</v>
      </c>
      <c r="C74" s="277">
        <v>0.08</v>
      </c>
      <c r="D74" s="199"/>
      <c r="E74" s="300" t="s">
        <v>69</v>
      </c>
      <c r="F74" s="294">
        <v>2</v>
      </c>
      <c r="G74" s="294">
        <v>3</v>
      </c>
      <c r="H74" s="294">
        <v>3</v>
      </c>
      <c r="I74" s="356">
        <v>7</v>
      </c>
      <c r="J74" s="301"/>
    </row>
    <row r="75" spans="2:11" s="4" customFormat="1" x14ac:dyDescent="0.2">
      <c r="B75" s="12" t="s">
        <v>70</v>
      </c>
      <c r="C75" s="221">
        <f>J72</f>
        <v>1712</v>
      </c>
      <c r="E75" s="300" t="s">
        <v>71</v>
      </c>
      <c r="F75" s="312">
        <f>F72*F71*F74/100</f>
        <v>3805.76</v>
      </c>
      <c r="G75" s="312">
        <f>G72*G71*G74/100</f>
        <v>15291</v>
      </c>
      <c r="H75" s="312">
        <f>H72*H71*H74/100</f>
        <v>19788</v>
      </c>
      <c r="I75" s="304">
        <f>I72*I71*I74/100</f>
        <v>107037</v>
      </c>
      <c r="J75" s="304">
        <f>SUM(F75:I75)</f>
        <v>145921.76</v>
      </c>
    </row>
    <row r="76" spans="2:11" s="4" customFormat="1" x14ac:dyDescent="0.2">
      <c r="B76" s="12" t="s">
        <v>72</v>
      </c>
      <c r="C76" s="221">
        <f>J73</f>
        <v>1138</v>
      </c>
      <c r="D76" s="199"/>
      <c r="E76" s="300" t="s">
        <v>73</v>
      </c>
      <c r="F76" s="296">
        <v>0</v>
      </c>
      <c r="G76" s="296">
        <v>0</v>
      </c>
      <c r="H76" s="296">
        <v>1</v>
      </c>
      <c r="I76" s="301">
        <v>1</v>
      </c>
      <c r="J76" s="301" t="s">
        <v>66</v>
      </c>
    </row>
    <row r="77" spans="2:11" s="4" customFormat="1" x14ac:dyDescent="0.2">
      <c r="B77" s="14" t="s">
        <v>74</v>
      </c>
      <c r="C77" s="319">
        <f>C75-C76</f>
        <v>574</v>
      </c>
      <c r="D77" s="199"/>
      <c r="E77" s="305" t="s">
        <v>75</v>
      </c>
      <c r="F77" s="306">
        <f>'Q2'!E68+'Q3-Validation'!F76</f>
        <v>1</v>
      </c>
      <c r="G77" s="306">
        <f>'Q2'!F68+'Q3-Validation'!G76</f>
        <v>2</v>
      </c>
      <c r="H77" s="306">
        <f>'Q2'!G68+'Q3-Validation'!H76</f>
        <v>2</v>
      </c>
      <c r="I77" s="307">
        <f>'Q2'!H68+'Q3-Validation'!I76</f>
        <v>4</v>
      </c>
      <c r="J77" s="307">
        <f>SUM(F77:I77)</f>
        <v>9</v>
      </c>
    </row>
    <row r="78" spans="2:11" s="4" customFormat="1" x14ac:dyDescent="0.2">
      <c r="E78" s="300"/>
      <c r="F78" s="296"/>
      <c r="G78" s="296"/>
      <c r="H78" s="296"/>
      <c r="I78" s="301"/>
      <c r="J78" s="301"/>
    </row>
    <row r="79" spans="2:11" s="4" customFormat="1" x14ac:dyDescent="0.2">
      <c r="E79" s="305" t="s">
        <v>78</v>
      </c>
      <c r="F79" s="350">
        <v>0.1134</v>
      </c>
      <c r="G79" s="350">
        <v>0.35010000000000002</v>
      </c>
      <c r="H79" s="350">
        <v>0.31030000000000002</v>
      </c>
      <c r="I79" s="351">
        <v>0.58330000000000004</v>
      </c>
      <c r="J79" s="309" t="s">
        <v>418</v>
      </c>
    </row>
    <row r="80" spans="2:11" s="4" customFormat="1" x14ac:dyDescent="0.2">
      <c r="E80" s="296"/>
      <c r="F80" s="353">
        <f>F73/F79</f>
        <v>873.01587301587301</v>
      </c>
      <c r="G80" s="353">
        <f>G73/G79</f>
        <v>616.96658097686372</v>
      </c>
      <c r="H80" s="353">
        <f>H73/H79</f>
        <v>667.09635836287464</v>
      </c>
      <c r="I80" s="353">
        <f>I73/I79</f>
        <v>1056.0603463055031</v>
      </c>
      <c r="J80" s="296"/>
    </row>
    <row r="81" spans="1:12" s="4" customFormat="1" x14ac:dyDescent="0.2">
      <c r="E81" s="296"/>
      <c r="F81" s="310"/>
      <c r="G81" s="310"/>
      <c r="H81" s="310"/>
      <c r="I81" s="310"/>
      <c r="J81" s="296"/>
    </row>
    <row r="82" spans="1:12" s="4" customFormat="1" x14ac:dyDescent="0.2">
      <c r="E82" s="296"/>
      <c r="F82" s="310">
        <f>F73/F77</f>
        <v>99</v>
      </c>
      <c r="G82" s="310">
        <f>G73/G77</f>
        <v>108</v>
      </c>
      <c r="H82" s="310">
        <f>H73/H77</f>
        <v>103.5</v>
      </c>
      <c r="I82" s="310">
        <f>I73/I77</f>
        <v>154</v>
      </c>
      <c r="J82" s="296"/>
    </row>
    <row r="83" spans="1:12" s="4" customFormat="1" x14ac:dyDescent="0.2">
      <c r="E83" s="296" t="s">
        <v>421</v>
      </c>
      <c r="F83" s="310"/>
      <c r="G83" s="310"/>
      <c r="H83" s="364"/>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I98</f>
        <v>282500</v>
      </c>
      <c r="D92" s="214"/>
      <c r="E92" s="71" t="s">
        <v>82</v>
      </c>
      <c r="F92" s="328">
        <v>5000</v>
      </c>
      <c r="H92" s="71" t="s">
        <v>82</v>
      </c>
      <c r="I92" s="72" t="s">
        <v>83</v>
      </c>
      <c r="J92" s="72" t="s">
        <v>84</v>
      </c>
      <c r="K92" s="72" t="s">
        <v>85</v>
      </c>
      <c r="L92" s="73" t="s">
        <v>86</v>
      </c>
    </row>
    <row r="93" spans="1:12" s="4" customFormat="1" x14ac:dyDescent="0.2">
      <c r="B93" s="12" t="s">
        <v>87</v>
      </c>
      <c r="C93" s="217">
        <f>K103</f>
        <v>40000</v>
      </c>
      <c r="D93" s="214"/>
      <c r="H93" s="12" t="s">
        <v>88</v>
      </c>
      <c r="I93" s="214">
        <f>$F$92*K93</f>
        <v>25000</v>
      </c>
      <c r="J93" s="4">
        <v>1</v>
      </c>
      <c r="K93" s="4">
        <v>5</v>
      </c>
      <c r="L93" s="13">
        <f>J93*K93</f>
        <v>5</v>
      </c>
    </row>
    <row r="94" spans="1:12" s="4" customFormat="1" x14ac:dyDescent="0.2">
      <c r="B94" s="12" t="s">
        <v>89</v>
      </c>
      <c r="C94" s="217">
        <f>K104</f>
        <v>8000</v>
      </c>
      <c r="D94" s="321"/>
      <c r="E94" s="71" t="s">
        <v>90</v>
      </c>
      <c r="F94" s="73"/>
      <c r="H94" s="12" t="s">
        <v>91</v>
      </c>
      <c r="I94" s="214">
        <f>$F$92*K94</f>
        <v>5000</v>
      </c>
      <c r="J94" s="4">
        <v>35</v>
      </c>
      <c r="K94" s="4">
        <v>1</v>
      </c>
      <c r="L94" s="13">
        <f>J94*K94</f>
        <v>35</v>
      </c>
    </row>
    <row r="95" spans="1:12" s="4" customFormat="1" x14ac:dyDescent="0.2">
      <c r="B95" s="12" t="s">
        <v>92</v>
      </c>
      <c r="C95" s="217">
        <f>K105</f>
        <v>55920</v>
      </c>
      <c r="E95" s="12" t="s">
        <v>93</v>
      </c>
      <c r="F95" s="327">
        <v>10000</v>
      </c>
      <c r="H95" s="12" t="s">
        <v>94</v>
      </c>
      <c r="I95" s="214">
        <f>$F$92*K95</f>
        <v>12500</v>
      </c>
      <c r="J95" s="4">
        <v>3</v>
      </c>
      <c r="K95" s="4">
        <v>2.5</v>
      </c>
      <c r="L95" s="13">
        <f>J95*K95</f>
        <v>7.5</v>
      </c>
    </row>
    <row r="96" spans="1:12" s="4" customFormat="1" x14ac:dyDescent="0.2">
      <c r="B96" s="71"/>
      <c r="C96" s="324">
        <f>SUM(C92:C95)</f>
        <v>386420</v>
      </c>
      <c r="E96" s="12" t="s">
        <v>95</v>
      </c>
      <c r="F96" s="13">
        <v>4</v>
      </c>
      <c r="H96" s="12" t="s">
        <v>96</v>
      </c>
      <c r="I96" s="214">
        <f>$F$92*K96</f>
        <v>5000</v>
      </c>
      <c r="J96" s="4">
        <f>J77</f>
        <v>9</v>
      </c>
      <c r="K96" s="4">
        <v>1</v>
      </c>
      <c r="L96" s="13">
        <f>J96*K96</f>
        <v>9</v>
      </c>
    </row>
    <row r="97" spans="1:12" s="4" customFormat="1" x14ac:dyDescent="0.2">
      <c r="E97" s="12" t="s">
        <v>97</v>
      </c>
      <c r="F97" s="217">
        <v>2000</v>
      </c>
      <c r="H97" s="12" t="s">
        <v>64</v>
      </c>
      <c r="I97" s="4" t="s">
        <v>66</v>
      </c>
      <c r="J97" s="4">
        <f>SUM(J93:J96)</f>
        <v>48</v>
      </c>
      <c r="K97" s="4" t="s">
        <v>66</v>
      </c>
      <c r="L97" s="13">
        <f>SUM(L93:L96)</f>
        <v>56.5</v>
      </c>
    </row>
    <row r="98" spans="1:12" s="4" customFormat="1" x14ac:dyDescent="0.2">
      <c r="B98" s="71" t="s">
        <v>98</v>
      </c>
      <c r="C98" s="73" t="s">
        <v>406</v>
      </c>
      <c r="E98" s="14" t="s">
        <v>95</v>
      </c>
      <c r="F98" s="16">
        <v>4</v>
      </c>
      <c r="H98" s="14" t="s">
        <v>99</v>
      </c>
      <c r="I98" s="322">
        <f>L97*F92</f>
        <v>282500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12" t="s">
        <v>104</v>
      </c>
      <c r="F102" s="217">
        <v>165</v>
      </c>
      <c r="H102" s="12" t="s">
        <v>105</v>
      </c>
      <c r="I102" s="214">
        <f>F92</f>
        <v>5000</v>
      </c>
      <c r="J102" s="4">
        <f>L97</f>
        <v>56.5</v>
      </c>
      <c r="K102" s="217">
        <f>I102*J102</f>
        <v>282500</v>
      </c>
    </row>
    <row r="103" spans="1:12" s="4" customFormat="1" x14ac:dyDescent="0.2">
      <c r="E103" s="12" t="s">
        <v>106</v>
      </c>
      <c r="F103" s="217">
        <v>175</v>
      </c>
      <c r="H103" s="12" t="s">
        <v>93</v>
      </c>
      <c r="I103" s="214">
        <f>F95</f>
        <v>10000</v>
      </c>
      <c r="J103" s="4">
        <f>F96</f>
        <v>4</v>
      </c>
      <c r="K103" s="217">
        <f>F95*J103</f>
        <v>40000</v>
      </c>
    </row>
    <row r="104" spans="1:12" s="4" customFormat="1" ht="17" customHeight="1" x14ac:dyDescent="0.2">
      <c r="E104" s="12" t="s">
        <v>107</v>
      </c>
      <c r="F104" s="217">
        <v>400</v>
      </c>
      <c r="H104" s="12" t="s">
        <v>97</v>
      </c>
      <c r="I104" s="214">
        <f>F97</f>
        <v>2000</v>
      </c>
      <c r="J104" s="4">
        <f>F98</f>
        <v>4</v>
      </c>
      <c r="K104" s="217">
        <f>F97*J104</f>
        <v>8000</v>
      </c>
    </row>
    <row r="105" spans="1:12" s="4" customFormat="1" x14ac:dyDescent="0.2">
      <c r="E105" s="12" t="s">
        <v>108</v>
      </c>
      <c r="F105" s="217">
        <v>280</v>
      </c>
      <c r="H105" s="12" t="s">
        <v>109</v>
      </c>
      <c r="I105" s="214">
        <f>SUM(F104:F107)</f>
        <v>1165</v>
      </c>
      <c r="J105" s="4">
        <f>J97</f>
        <v>48</v>
      </c>
      <c r="K105" s="217">
        <f>I105*J105</f>
        <v>55920</v>
      </c>
    </row>
    <row r="106" spans="1:12" s="4" customFormat="1" x14ac:dyDescent="0.2">
      <c r="E106" s="12" t="s">
        <v>110</v>
      </c>
      <c r="F106" s="217">
        <v>350</v>
      </c>
      <c r="H106" s="14"/>
      <c r="I106" s="15"/>
      <c r="J106" s="15"/>
      <c r="K106" s="278">
        <f>SUM(K102:K105)</f>
        <v>386420</v>
      </c>
    </row>
    <row r="107" spans="1:12" s="4" customFormat="1" x14ac:dyDescent="0.2">
      <c r="E107" s="12" t="s">
        <v>111</v>
      </c>
      <c r="F107" s="217">
        <v>135</v>
      </c>
      <c r="L107" s="214"/>
    </row>
    <row r="108" spans="1:12" s="4" customFormat="1" x14ac:dyDescent="0.2">
      <c r="E108" s="14"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199" t="s">
        <v>114</v>
      </c>
      <c r="C113" s="199">
        <f>200000</f>
        <v>200000</v>
      </c>
    </row>
    <row r="114" spans="1:22" s="4" customFormat="1" x14ac:dyDescent="0.2">
      <c r="B114" s="199" t="s">
        <v>115</v>
      </c>
      <c r="C114" s="199">
        <f>2*0.019</f>
        <v>3.7999999999999999E-2</v>
      </c>
    </row>
    <row r="115" spans="1:22" s="4" customFormat="1" x14ac:dyDescent="0.2">
      <c r="B115" s="199" t="s">
        <v>116</v>
      </c>
      <c r="C115" s="199">
        <f>C113*C114</f>
        <v>7600</v>
      </c>
    </row>
    <row r="116" spans="1:22" s="4" customFormat="1" x14ac:dyDescent="0.2">
      <c r="B116" s="4" t="s">
        <v>117</v>
      </c>
      <c r="C116" s="4">
        <f>80000</f>
        <v>80000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407</v>
      </c>
    </row>
    <row r="121" spans="1:22" s="4" customFormat="1" x14ac:dyDescent="0.2"/>
    <row r="122" spans="1:22" s="4" customFormat="1" x14ac:dyDescent="0.2">
      <c r="B122" s="4" t="s">
        <v>119</v>
      </c>
    </row>
    <row r="123" spans="1:22" s="4" customFormat="1" x14ac:dyDescent="0.2">
      <c r="B123" s="9" t="s">
        <v>60</v>
      </c>
      <c r="C123" s="334">
        <f>IFERROR(VLOOKUP(B123,$B$14:$C$121,2,FALSE),0)</f>
        <v>1923112</v>
      </c>
    </row>
    <row r="124" spans="1:22" s="4" customFormat="1" x14ac:dyDescent="0.2">
      <c r="B124" s="275" t="s">
        <v>120</v>
      </c>
      <c r="C124" s="352">
        <v>1045048.78</v>
      </c>
      <c r="D124" s="302"/>
      <c r="E124" s="302">
        <f>C124-M23*C76</f>
        <v>394237.95999999996</v>
      </c>
      <c r="F124" s="9" t="s">
        <v>400</v>
      </c>
      <c r="G124" s="9" t="s">
        <v>122</v>
      </c>
      <c r="H124" s="331">
        <f>C128+C130</f>
        <v>338420</v>
      </c>
      <c r="I124" s="10">
        <f>H124/$H$128</f>
        <v>297.38137082601054</v>
      </c>
      <c r="J124" s="11"/>
    </row>
    <row r="125" spans="1:22" s="4" customFormat="1" x14ac:dyDescent="0.2">
      <c r="B125" s="12" t="s">
        <v>123</v>
      </c>
      <c r="C125" s="336">
        <f>C123-C124</f>
        <v>878063.22</v>
      </c>
      <c r="E125" s="302">
        <f>E124/C123</f>
        <v>0.20499999999999999</v>
      </c>
      <c r="F125" s="12"/>
      <c r="G125" s="12" t="s">
        <v>124</v>
      </c>
      <c r="H125" s="279">
        <f>SUMIF(D127:D139,"FC",C127:C139)</f>
        <v>715233.5564</v>
      </c>
      <c r="I125" s="4">
        <f t="shared" ref="I125:I126" si="1">H125/$H$128</f>
        <v>628.50048892794371</v>
      </c>
      <c r="J125" s="13"/>
    </row>
    <row r="126" spans="1:22" s="4" customFormat="1" x14ac:dyDescent="0.2">
      <c r="B126" s="12" t="s">
        <v>125</v>
      </c>
      <c r="C126" s="336"/>
      <c r="E126" s="361">
        <f>E125-0.08</f>
        <v>0.12499999999999999</v>
      </c>
      <c r="F126" s="12"/>
      <c r="G126" s="12" t="s">
        <v>120</v>
      </c>
      <c r="H126" s="279">
        <f>C124</f>
        <v>1045048.78</v>
      </c>
      <c r="I126" s="4">
        <f t="shared" si="1"/>
        <v>918.32054481546572</v>
      </c>
      <c r="J126" s="13"/>
    </row>
    <row r="127" spans="1:22" s="4" customFormat="1" x14ac:dyDescent="0.2">
      <c r="B127" s="12" t="s">
        <v>27</v>
      </c>
      <c r="C127" s="336">
        <v>280000</v>
      </c>
      <c r="D127" s="4" t="s">
        <v>124</v>
      </c>
      <c r="F127" s="12"/>
      <c r="G127" s="12" t="s">
        <v>127</v>
      </c>
      <c r="H127" s="279">
        <f>SUM(H124:H126)</f>
        <v>2098702.3364000004</v>
      </c>
      <c r="J127" s="13"/>
    </row>
    <row r="128" spans="1:22" s="4" customFormat="1" x14ac:dyDescent="0.2">
      <c r="B128" s="12" t="s">
        <v>81</v>
      </c>
      <c r="C128" s="336">
        <f t="shared" ref="C128:C136" si="2">IFERROR(VLOOKUP(B128,$B$14:$C$121,2,FALSE),0)</f>
        <v>282500</v>
      </c>
      <c r="D128" s="4" t="s">
        <v>122</v>
      </c>
      <c r="F128" s="12"/>
      <c r="G128" s="12" t="s">
        <v>128</v>
      </c>
      <c r="H128" s="302">
        <f>C76</f>
        <v>1138</v>
      </c>
      <c r="J128" s="13"/>
    </row>
    <row r="129" spans="2:10" s="4" customFormat="1" x14ac:dyDescent="0.2">
      <c r="B129" s="12" t="s">
        <v>87</v>
      </c>
      <c r="C129" s="336">
        <f t="shared" si="2"/>
        <v>40000</v>
      </c>
      <c r="D129" s="4" t="s">
        <v>124</v>
      </c>
      <c r="F129" s="12"/>
      <c r="G129" s="12" t="s">
        <v>129</v>
      </c>
      <c r="H129" s="339">
        <f>H127/H128</f>
        <v>1844.2024045694204</v>
      </c>
      <c r="J129" s="13"/>
    </row>
    <row r="130" spans="2:10" s="4" customFormat="1" x14ac:dyDescent="0.2">
      <c r="B130" s="12" t="s">
        <v>92</v>
      </c>
      <c r="C130" s="336">
        <f t="shared" si="2"/>
        <v>55920</v>
      </c>
      <c r="D130" s="4" t="s">
        <v>122</v>
      </c>
      <c r="F130" s="12"/>
      <c r="G130" s="12"/>
      <c r="J130" s="13"/>
    </row>
    <row r="131" spans="2:10" s="4" customFormat="1" x14ac:dyDescent="0.2">
      <c r="B131" s="12" t="s">
        <v>89</v>
      </c>
      <c r="C131" s="336">
        <f t="shared" si="2"/>
        <v>8000</v>
      </c>
      <c r="D131" s="4" t="s">
        <v>124</v>
      </c>
      <c r="F131" s="12"/>
      <c r="G131" s="12" t="s">
        <v>130</v>
      </c>
      <c r="H131" s="286">
        <v>0.1</v>
      </c>
      <c r="I131" s="286">
        <v>0.2</v>
      </c>
      <c r="J131" s="332">
        <v>0.3</v>
      </c>
    </row>
    <row r="132" spans="2:10" s="4" customFormat="1" x14ac:dyDescent="0.2">
      <c r="B132" s="12" t="s">
        <v>131</v>
      </c>
      <c r="C132" s="336">
        <f t="shared" si="2"/>
        <v>0</v>
      </c>
      <c r="F132" s="340"/>
      <c r="G132" s="14" t="s">
        <v>132</v>
      </c>
      <c r="H132" s="333">
        <f>$H$129*(1+H131)</f>
        <v>2028.6226450263625</v>
      </c>
      <c r="I132" s="333">
        <f>$H$129*(1+I131)</f>
        <v>2213.0428854833044</v>
      </c>
      <c r="J132" s="341">
        <f>$H$129*(1+J131)</f>
        <v>2397.4631259402468</v>
      </c>
    </row>
    <row r="133" spans="2:10" s="4" customFormat="1" x14ac:dyDescent="0.2">
      <c r="B133" s="12" t="s">
        <v>11</v>
      </c>
      <c r="C133" s="336">
        <f t="shared" si="2"/>
        <v>75000</v>
      </c>
      <c r="D133" s="4" t="s">
        <v>124</v>
      </c>
      <c r="F133" s="12"/>
      <c r="G133" s="4" t="s">
        <v>133</v>
      </c>
      <c r="H133" s="302">
        <f>H132-$H$129</f>
        <v>184.42024045694211</v>
      </c>
      <c r="I133" s="302">
        <f>I132-$H$129</f>
        <v>368.84048091388399</v>
      </c>
      <c r="J133" s="318">
        <f>J132-$H$129</f>
        <v>553.26072137082633</v>
      </c>
    </row>
    <row r="134" spans="2:10" s="4" customFormat="1" x14ac:dyDescent="0.2">
      <c r="B134" s="12" t="s">
        <v>61</v>
      </c>
      <c r="C134" s="336">
        <f t="shared" si="2"/>
        <v>145921.76</v>
      </c>
      <c r="D134" s="4" t="s">
        <v>124</v>
      </c>
      <c r="F134" s="12" t="s">
        <v>401</v>
      </c>
      <c r="G134" s="4" t="s">
        <v>134</v>
      </c>
      <c r="H134" s="342">
        <f>H133/H132</f>
        <v>9.0909090909090939E-2</v>
      </c>
      <c r="I134" s="342">
        <f t="shared" ref="I134:J134" si="3">I133/I132</f>
        <v>0.16666666666666663</v>
      </c>
      <c r="J134" s="326">
        <f t="shared" si="3"/>
        <v>0.23076923076923084</v>
      </c>
    </row>
    <row r="135" spans="2:10" s="4" customFormat="1" x14ac:dyDescent="0.2">
      <c r="B135" s="12" t="s">
        <v>23</v>
      </c>
      <c r="C135" s="336">
        <f t="shared" si="2"/>
        <v>14340.416400000004</v>
      </c>
      <c r="D135" s="4" t="s">
        <v>124</v>
      </c>
      <c r="F135" s="12" t="s">
        <v>402</v>
      </c>
      <c r="G135" s="4" t="s">
        <v>135</v>
      </c>
      <c r="H135" s="279">
        <f>$H$125/H134</f>
        <v>7867569.1203999976</v>
      </c>
      <c r="I135" s="279">
        <f>$H$125/I134</f>
        <v>4291401.3384000007</v>
      </c>
      <c r="J135" s="281">
        <f>$H$125/J134</f>
        <v>3099345.4110666658</v>
      </c>
    </row>
    <row r="136" spans="2:10" s="4" customFormat="1" x14ac:dyDescent="0.2">
      <c r="B136" s="12" t="s">
        <v>117</v>
      </c>
      <c r="C136" s="336">
        <f t="shared" si="2"/>
        <v>80000</v>
      </c>
      <c r="D136" s="4" t="s">
        <v>124</v>
      </c>
      <c r="F136" s="14"/>
      <c r="G136" s="15" t="s">
        <v>136</v>
      </c>
      <c r="H136" s="15">
        <f>H135/H132</f>
        <v>3878.281226766921</v>
      </c>
      <c r="I136" s="15">
        <f t="shared" ref="I136:J136" si="4">I135/I132</f>
        <v>1939.1406133834616</v>
      </c>
      <c r="J136" s="16">
        <f t="shared" si="4"/>
        <v>1292.7604089223071</v>
      </c>
    </row>
    <row r="137" spans="2:10" s="4" customFormat="1" x14ac:dyDescent="0.2">
      <c r="B137" s="275" t="s">
        <v>137</v>
      </c>
      <c r="C137" s="352">
        <v>47968</v>
      </c>
      <c r="D137" s="4" t="s">
        <v>124</v>
      </c>
    </row>
    <row r="138" spans="2:10" s="4" customFormat="1" x14ac:dyDescent="0.2">
      <c r="B138" s="12" t="s">
        <v>139</v>
      </c>
      <c r="C138" s="336">
        <f>IFERROR(VLOOKUP(B138,$B$14:$C$121,2,FALSE),0)</f>
        <v>0</v>
      </c>
    </row>
    <row r="139" spans="2:10" s="4" customFormat="1" x14ac:dyDescent="0.2">
      <c r="B139" s="275" t="s">
        <v>140</v>
      </c>
      <c r="C139" s="335">
        <v>24003.38</v>
      </c>
      <c r="D139" s="4" t="s">
        <v>124</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SUM(C127:C141)</f>
        <v>1053653.5563999999</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row>
    <row r="147" spans="2:5" s="4" customFormat="1" x14ac:dyDescent="0.2">
      <c r="B147" s="12" t="s">
        <v>146</v>
      </c>
      <c r="C147" s="338">
        <f>C125-C142</f>
        <v>-175590.33639999991</v>
      </c>
    </row>
    <row r="148" spans="2:5" s="4" customFormat="1" x14ac:dyDescent="0.2">
      <c r="B148" s="12" t="s">
        <v>147</v>
      </c>
      <c r="C148" s="13">
        <v>0</v>
      </c>
    </row>
    <row r="149" spans="2:5" s="4" customFormat="1" x14ac:dyDescent="0.2">
      <c r="B149" s="12" t="s">
        <v>148</v>
      </c>
      <c r="C149" s="336">
        <f>C147-C148</f>
        <v>-175590.33639999991</v>
      </c>
    </row>
    <row r="150" spans="2:5" s="4" customFormat="1" x14ac:dyDescent="0.2">
      <c r="B150" s="12" t="s">
        <v>119</v>
      </c>
      <c r="C150" s="13"/>
    </row>
    <row r="151" spans="2:5" s="4" customFormat="1" x14ac:dyDescent="0.2">
      <c r="B151" s="12" t="s">
        <v>149</v>
      </c>
      <c r="C151" s="336">
        <f>'Q2'!B142</f>
        <v>-1206632.1216000002</v>
      </c>
    </row>
    <row r="152" spans="2:5" s="4" customFormat="1" x14ac:dyDescent="0.2">
      <c r="B152" s="12" t="s">
        <v>148</v>
      </c>
      <c r="C152" s="336">
        <f>C149+C151</f>
        <v>-1382222.4580000001</v>
      </c>
    </row>
    <row r="153" spans="2:5" s="4" customFormat="1" x14ac:dyDescent="0.2">
      <c r="B153" s="12" t="s">
        <v>150</v>
      </c>
      <c r="C153" s="13">
        <v>0</v>
      </c>
    </row>
    <row r="154" spans="2:5" s="4" customFormat="1" x14ac:dyDescent="0.2">
      <c r="B154" s="14" t="s">
        <v>151</v>
      </c>
      <c r="C154" s="337">
        <f>C152+C153</f>
        <v>-1382222.4580000001</v>
      </c>
    </row>
    <row r="155" spans="2:5" s="4" customFormat="1" x14ac:dyDescent="0.2"/>
    <row r="156" spans="2:5" s="4" customFormat="1" x14ac:dyDescent="0.2">
      <c r="C156" s="330"/>
      <c r="D156" s="214"/>
      <c r="E156" s="279"/>
    </row>
    <row r="157" spans="2:5" s="4" customFormat="1" x14ac:dyDescent="0.2"/>
    <row r="158" spans="2:5" s="4" customFormat="1" x14ac:dyDescent="0.2"/>
    <row r="159" spans="2:5" s="4" customFormat="1" x14ac:dyDescent="0.2"/>
    <row r="160" spans="2:5" s="4" customFormat="1" x14ac:dyDescent="0.2"/>
    <row r="161" s="4" customFormat="1" x14ac:dyDescent="0.2"/>
    <row r="162" s="4" customFormat="1" x14ac:dyDescent="0.2"/>
    <row r="163" s="4" customFormat="1" x14ac:dyDescent="0.2"/>
    <row r="164" s="4" customFormat="1" x14ac:dyDescent="0.2"/>
    <row r="165" s="4" customFormat="1" x14ac:dyDescent="0.2"/>
    <row r="166" s="4" customFormat="1" x14ac:dyDescent="0.2"/>
    <row r="167" s="4" customFormat="1" x14ac:dyDescent="0.2"/>
    <row r="168" s="4" customFormat="1" x14ac:dyDescent="0.2"/>
    <row r="169" s="4" customFormat="1" x14ac:dyDescent="0.2"/>
    <row r="170" s="4" customFormat="1" x14ac:dyDescent="0.2"/>
    <row r="171" s="4" customFormat="1" x14ac:dyDescent="0.2"/>
    <row r="172" s="4" customFormat="1" x14ac:dyDescent="0.2"/>
    <row r="173" s="4" customFormat="1" x14ac:dyDescent="0.2"/>
    <row r="174"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20E60B28-0F20-3645-AB60-BA04D2112D2E}">
          <x14:formula1>
            <xm:f>Reference!$C$1:$C$5</xm:f>
          </x14:formula1>
          <xm:sqref>W22 W29 K21</xm:sqref>
        </x14:dataValidation>
        <x14:dataValidation type="list" allowBlank="1" showInputMessage="1" showErrorMessage="1" xr:uid="{34ADB125-BEBB-DE49-A124-B09D2BCA99BD}">
          <x14:formula1>
            <xm:f>Reference!$A$1:$A$3</xm:f>
          </x14:formula1>
          <xm:sqref>W20 W27 K19</xm:sqref>
        </x14:dataValidation>
        <x14:dataValidation type="list" allowBlank="1" showInputMessage="1" showErrorMessage="1" xr:uid="{8C029295-C672-704B-A509-E1DE32EF7800}">
          <x14:formula1>
            <xm:f>Reference!$D$1:$D$4</xm:f>
          </x14:formula1>
          <xm:sqref>W23 W30 K22</xm:sqref>
        </x14:dataValidation>
        <x14:dataValidation type="list" allowBlank="1" showInputMessage="1" showErrorMessage="1" xr:uid="{0B5BF95B-A7A9-B54A-9291-F2D13C8807A0}">
          <x14:formula1>
            <xm:f>Reference!$B$1:$B$4</xm:f>
          </x14:formula1>
          <xm:sqref>W21 W28 K20</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84A94-0E3B-1244-91E5-E924C2D7F413}">
  <sheetPr codeName="Sheet8">
    <tabColor theme="2" tint="-9.9978637043366805E-2"/>
  </sheetPr>
  <dimension ref="A1:V174"/>
  <sheetViews>
    <sheetView topLeftCell="A111" zoomScale="132" workbookViewId="0">
      <selection activeCell="K23" sqref="K23"/>
    </sheetView>
  </sheetViews>
  <sheetFormatPr baseColWidth="10" defaultColWidth="11" defaultRowHeight="16" x14ac:dyDescent="0.2"/>
  <cols>
    <col min="1" max="1" width="5.6640625" style="4" customWidth="1"/>
    <col min="2" max="2" width="33.33203125" bestFit="1" customWidth="1"/>
    <col min="3" max="3" width="14" bestFit="1" customWidth="1"/>
    <col min="4" max="4" width="15.1640625"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4"/>
      <c r="C2" s="4"/>
      <c r="D2" s="4"/>
      <c r="E2" s="4"/>
      <c r="F2" s="4"/>
      <c r="G2" s="4"/>
      <c r="H2" s="4"/>
      <c r="I2" s="4"/>
      <c r="J2" s="4"/>
      <c r="K2" s="4"/>
      <c r="L2" s="4"/>
      <c r="M2" s="4"/>
      <c r="N2" s="4"/>
      <c r="O2" s="4"/>
      <c r="P2" s="4"/>
      <c r="Q2" s="4"/>
      <c r="R2" s="4"/>
      <c r="S2" s="4"/>
      <c r="T2" s="4"/>
      <c r="U2" s="4"/>
      <c r="V2" s="4"/>
    </row>
    <row r="3" spans="1:22" x14ac:dyDescent="0.2">
      <c r="B3" s="4"/>
      <c r="C3" s="4"/>
      <c r="D3" s="4"/>
      <c r="E3" s="4"/>
      <c r="F3" s="4"/>
      <c r="G3" s="4"/>
      <c r="H3" s="4"/>
      <c r="I3" s="4"/>
      <c r="J3" s="4"/>
      <c r="K3" s="4"/>
      <c r="L3" s="4"/>
      <c r="M3" s="4"/>
      <c r="N3" s="4"/>
      <c r="O3" s="4"/>
      <c r="P3" s="4"/>
      <c r="Q3" s="4"/>
      <c r="R3" s="4"/>
      <c r="S3" s="4"/>
      <c r="T3" s="4"/>
      <c r="U3" s="4"/>
      <c r="V3" s="4"/>
    </row>
    <row r="4" spans="1:22" s="4" customFormat="1" x14ac:dyDescent="0.2"/>
    <row r="5" spans="1:22" s="4" customFormat="1" x14ac:dyDescent="0.2"/>
    <row r="6" spans="1:22" s="4" customFormat="1" x14ac:dyDescent="0.2"/>
    <row r="7" spans="1:22" s="4" customFormat="1" x14ac:dyDescent="0.2"/>
    <row r="8" spans="1:22" s="4" customFormat="1" x14ac:dyDescent="0.2"/>
    <row r="9" spans="1:22" s="4" customFormat="1" x14ac:dyDescent="0.2"/>
    <row r="10" spans="1:22" x14ac:dyDescent="0.2">
      <c r="B10" s="99" t="s">
        <v>4</v>
      </c>
      <c r="C10" s="4"/>
      <c r="D10" s="4"/>
      <c r="E10" s="4"/>
      <c r="F10" s="4"/>
      <c r="G10" s="4"/>
      <c r="H10" s="4"/>
      <c r="I10" s="4"/>
      <c r="J10" s="4"/>
      <c r="K10" s="4"/>
      <c r="L10" s="4"/>
      <c r="M10" s="4"/>
      <c r="N10" s="4"/>
      <c r="O10" s="4"/>
      <c r="P10" s="4"/>
      <c r="Q10" s="4"/>
      <c r="R10" s="4"/>
      <c r="S10" s="4"/>
      <c r="T10" s="4"/>
      <c r="U10" s="4"/>
      <c r="V10" s="4"/>
    </row>
    <row r="11" spans="1:22" x14ac:dyDescent="0.2">
      <c r="B11" s="69" t="s">
        <v>404</v>
      </c>
      <c r="C11" s="4"/>
      <c r="D11" s="4"/>
      <c r="E11" s="4"/>
      <c r="F11" s="4"/>
      <c r="G11" s="4"/>
      <c r="H11" s="4"/>
      <c r="I11" s="4"/>
      <c r="J11" s="4"/>
      <c r="K11" s="4"/>
      <c r="L11" s="4"/>
      <c r="M11" s="4"/>
      <c r="N11" s="4"/>
      <c r="O11" s="4"/>
      <c r="P11" s="4"/>
      <c r="Q11" s="4"/>
      <c r="R11" s="4"/>
      <c r="S11" s="4"/>
      <c r="T11" s="4"/>
      <c r="U11" s="4"/>
      <c r="V11" s="4"/>
    </row>
    <row r="12" spans="1:22" x14ac:dyDescent="0.2">
      <c r="B12" s="268" t="s">
        <v>6</v>
      </c>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F19*F20</f>
        <v>75000</v>
      </c>
      <c r="E18" s="576" t="s">
        <v>12</v>
      </c>
      <c r="F18" s="577"/>
      <c r="G18" s="578"/>
      <c r="I18" s="71" t="s">
        <v>13</v>
      </c>
      <c r="J18" s="72"/>
      <c r="K18" s="72" t="s">
        <v>14</v>
      </c>
      <c r="L18" s="72" t="s">
        <v>15</v>
      </c>
      <c r="M18" s="72" t="s">
        <v>16</v>
      </c>
      <c r="N18" s="73" t="s">
        <v>17</v>
      </c>
    </row>
    <row r="19" spans="2:22" s="4" customFormat="1" x14ac:dyDescent="0.2">
      <c r="B19" s="12" t="s">
        <v>18</v>
      </c>
      <c r="C19" s="217">
        <f>N23</f>
        <v>686268</v>
      </c>
      <c r="E19" s="284" t="s">
        <v>19</v>
      </c>
      <c r="F19" s="285">
        <v>15000</v>
      </c>
      <c r="G19" s="11" t="s">
        <v>20</v>
      </c>
      <c r="I19" s="12"/>
      <c r="J19" s="4" t="s">
        <v>21</v>
      </c>
      <c r="K19" s="4" t="s">
        <v>22</v>
      </c>
      <c r="L19" s="4">
        <f>VLOOKUP($K$19,$E$24:F59,2,FALSE)</f>
        <v>36</v>
      </c>
      <c r="M19" s="4">
        <f>L19*$F$25</f>
        <v>36</v>
      </c>
      <c r="N19" s="13">
        <f>M19*$F$24</f>
        <v>43200</v>
      </c>
    </row>
    <row r="20" spans="2:22" s="4" customFormat="1" x14ac:dyDescent="0.2">
      <c r="B20" s="12" t="s">
        <v>23</v>
      </c>
      <c r="C20" s="281">
        <f>C35*0.02</f>
        <v>13633.041600000002</v>
      </c>
      <c r="E20" s="68"/>
      <c r="F20" s="76">
        <v>5</v>
      </c>
      <c r="G20" s="16"/>
      <c r="I20" s="12" t="s">
        <v>24</v>
      </c>
      <c r="J20" s="19" t="s">
        <v>25</v>
      </c>
      <c r="K20" s="4" t="s">
        <v>26</v>
      </c>
      <c r="L20" s="4">
        <f>VLOOKUP($K$20,$E$25:F60,2,FALSE)</f>
        <v>44.52</v>
      </c>
      <c r="M20" s="4">
        <f>L20*$F$28</f>
        <v>89.04</v>
      </c>
      <c r="N20" s="13">
        <f>M20*$F$24</f>
        <v>106848.00000000001</v>
      </c>
    </row>
    <row r="21" spans="2:22" s="4" customFormat="1" x14ac:dyDescent="0.2">
      <c r="B21" s="276" t="s">
        <v>27</v>
      </c>
      <c r="C21" s="282">
        <v>280000</v>
      </c>
      <c r="E21" s="12" t="s">
        <v>28</v>
      </c>
      <c r="G21" s="103"/>
      <c r="I21" s="12"/>
      <c r="J21" s="20" t="s">
        <v>29</v>
      </c>
      <c r="K21" s="4" t="s">
        <v>30</v>
      </c>
      <c r="L21" s="4">
        <f>VLOOKUP($K$21,$E$26:F63,2,FALSE)</f>
        <v>187.20000000000002</v>
      </c>
      <c r="M21" s="4">
        <f>L21*$F$38</f>
        <v>374.40000000000003</v>
      </c>
      <c r="N21" s="13">
        <f>M21*$F$24</f>
        <v>449280.00000000006</v>
      </c>
      <c r="V21" s="19"/>
    </row>
    <row r="22" spans="2:22" s="4" customFormat="1" x14ac:dyDescent="0.2">
      <c r="B22" s="14"/>
      <c r="C22" s="278">
        <f>SUM(C17:C21)</f>
        <v>1054901.0416000001</v>
      </c>
      <c r="E22" s="12" t="s">
        <v>31</v>
      </c>
      <c r="F22" s="214">
        <v>1300000</v>
      </c>
      <c r="G22" s="103"/>
      <c r="I22" s="12"/>
      <c r="J22" s="70" t="s">
        <v>32</v>
      </c>
      <c r="K22" s="4" t="s">
        <v>33</v>
      </c>
      <c r="L22" s="4">
        <f>VLOOKUP($K$22,$E$21:F60,2,FALSE)</f>
        <v>24.150000000000002</v>
      </c>
      <c r="M22" s="4">
        <f>L22*$F$51</f>
        <v>72.45</v>
      </c>
      <c r="N22" s="13">
        <f>M22*$F$24</f>
        <v>86940</v>
      </c>
      <c r="V22" s="20"/>
    </row>
    <row r="23" spans="2:22" s="4" customFormat="1" x14ac:dyDescent="0.2">
      <c r="E23" s="12" t="s">
        <v>34</v>
      </c>
      <c r="F23" s="214">
        <v>1500000</v>
      </c>
      <c r="G23" s="103"/>
      <c r="I23" s="71" t="s">
        <v>35</v>
      </c>
      <c r="J23" s="72"/>
      <c r="K23" s="72"/>
      <c r="L23" s="72"/>
      <c r="M23" s="72">
        <f>SUM(M19:M22)</f>
        <v>571.8900000000001</v>
      </c>
      <c r="N23" s="73">
        <f>SUM(N19:N22)</f>
        <v>686268</v>
      </c>
      <c r="V23" s="70"/>
    </row>
    <row r="24" spans="2:22" s="4" customFormat="1" x14ac:dyDescent="0.2">
      <c r="E24" s="14" t="s">
        <v>18</v>
      </c>
      <c r="F24" s="95">
        <v>1200</v>
      </c>
      <c r="G24" s="103" t="s">
        <v>36</v>
      </c>
      <c r="I24" s="14" t="s">
        <v>37</v>
      </c>
      <c r="J24" s="15"/>
      <c r="K24" s="15"/>
      <c r="L24" s="15"/>
      <c r="M24" s="15">
        <f>M23-M19</f>
        <v>535.8900000000001</v>
      </c>
      <c r="N24" s="16">
        <f>M24*F24</f>
        <v>643068.00000000012</v>
      </c>
    </row>
    <row r="25" spans="2:22" s="4" customFormat="1" x14ac:dyDescent="0.2">
      <c r="B25" s="71" t="s">
        <v>38</v>
      </c>
      <c r="C25" s="287">
        <v>0.94</v>
      </c>
      <c r="E25" s="9" t="s">
        <v>21</v>
      </c>
      <c r="F25" s="10">
        <v>1</v>
      </c>
      <c r="G25" s="103" t="s">
        <v>39</v>
      </c>
    </row>
    <row r="26" spans="2:22" s="4" customFormat="1" x14ac:dyDescent="0.2">
      <c r="E26" s="12" t="s">
        <v>40</v>
      </c>
      <c r="F26" s="214">
        <v>20</v>
      </c>
      <c r="G26" s="103"/>
    </row>
    <row r="27" spans="2:22" s="4" customFormat="1" x14ac:dyDescent="0.2">
      <c r="B27" s="9" t="s">
        <v>41</v>
      </c>
      <c r="C27" s="289">
        <f>'Q2'!J13</f>
        <v>584</v>
      </c>
      <c r="E27" s="14" t="s">
        <v>22</v>
      </c>
      <c r="F27" s="283">
        <v>36</v>
      </c>
      <c r="G27" s="98"/>
    </row>
    <row r="28" spans="2:22" s="4" customFormat="1" x14ac:dyDescent="0.2">
      <c r="B28" s="12" t="s">
        <v>42</v>
      </c>
      <c r="C28" s="290">
        <f>'Q2'!J11</f>
        <v>1272</v>
      </c>
      <c r="E28" s="9" t="s">
        <v>25</v>
      </c>
      <c r="F28" s="11">
        <v>2</v>
      </c>
      <c r="G28" s="103" t="s">
        <v>39</v>
      </c>
      <c r="P28" s="214"/>
      <c r="V28" s="19"/>
    </row>
    <row r="29" spans="2:22" s="4" customFormat="1" x14ac:dyDescent="0.2">
      <c r="B29" s="12" t="s">
        <v>43</v>
      </c>
      <c r="C29" s="291">
        <v>1200</v>
      </c>
      <c r="E29" s="12" t="s">
        <v>44</v>
      </c>
      <c r="F29" s="13">
        <f>(1+F31)*F30</f>
        <v>43.2</v>
      </c>
      <c r="G29" s="103"/>
      <c r="V29" s="20"/>
    </row>
    <row r="30" spans="2:22" s="4" customFormat="1" x14ac:dyDescent="0.2">
      <c r="B30" s="12" t="s">
        <v>413</v>
      </c>
      <c r="C30" s="292">
        <f>C29*C25</f>
        <v>1128</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f>C29-C30</f>
        <v>72</v>
      </c>
      <c r="E32" s="12" t="s">
        <v>26</v>
      </c>
      <c r="F32" s="13">
        <f>(1+F34)*F33</f>
        <v>44.52</v>
      </c>
      <c r="G32" s="103"/>
      <c r="P32" s="214"/>
    </row>
    <row r="33" spans="2:14" s="4" customFormat="1" x14ac:dyDescent="0.2">
      <c r="B33" s="12" t="s">
        <v>48</v>
      </c>
      <c r="C33" s="222">
        <f>F24</f>
        <v>1200</v>
      </c>
      <c r="E33" s="67" t="s">
        <v>45</v>
      </c>
      <c r="F33" s="13">
        <v>42</v>
      </c>
      <c r="G33" s="103"/>
    </row>
    <row r="34" spans="2:14" s="4" customFormat="1" x14ac:dyDescent="0.2">
      <c r="B34" s="12" t="s">
        <v>49</v>
      </c>
      <c r="C34" s="222">
        <f>SUM(C32:C33)</f>
        <v>1272</v>
      </c>
      <c r="E34" s="67" t="s">
        <v>46</v>
      </c>
      <c r="F34" s="13">
        <v>0.06</v>
      </c>
      <c r="G34" s="103"/>
    </row>
    <row r="35" spans="2:14" s="4" customFormat="1" x14ac:dyDescent="0.2">
      <c r="B35" s="14" t="s">
        <v>50</v>
      </c>
      <c r="C35" s="288">
        <f>C34*M24</f>
        <v>681652.08000000007</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SUMPRODUCT(F73:I73,F71:I71)</f>
        <v>2455045</v>
      </c>
    </row>
    <row r="69" spans="2:11" s="4" customFormat="1" x14ac:dyDescent="0.2">
      <c r="B69" s="12" t="s">
        <v>61</v>
      </c>
      <c r="C69" s="221">
        <f>J75</f>
        <v>145921.76</v>
      </c>
      <c r="E69" s="9" t="s">
        <v>414</v>
      </c>
      <c r="F69" s="311">
        <v>0.85</v>
      </c>
      <c r="G69" s="311">
        <v>0.85</v>
      </c>
      <c r="H69" s="311">
        <v>0.85</v>
      </c>
      <c r="I69" s="313">
        <v>0.85</v>
      </c>
      <c r="J69" s="11"/>
    </row>
    <row r="70" spans="2:11" s="4" customFormat="1" x14ac:dyDescent="0.2">
      <c r="B70" s="12" t="s">
        <v>62</v>
      </c>
      <c r="C70" s="318">
        <f>C68*C74</f>
        <v>196403.6</v>
      </c>
      <c r="E70" s="297" t="s">
        <v>63</v>
      </c>
      <c r="F70" s="298">
        <v>1</v>
      </c>
      <c r="G70" s="298">
        <v>2</v>
      </c>
      <c r="H70" s="298">
        <v>3</v>
      </c>
      <c r="I70" s="299">
        <v>4</v>
      </c>
      <c r="J70" s="299" t="s">
        <v>64</v>
      </c>
    </row>
    <row r="71" spans="2:11" s="4" customFormat="1" x14ac:dyDescent="0.2">
      <c r="B71" s="14"/>
      <c r="C71" s="319">
        <f>SUM(C68:C70)</f>
        <v>2797370.36</v>
      </c>
      <c r="E71" s="300" t="s">
        <v>65</v>
      </c>
      <c r="F71" s="257">
        <v>1699</v>
      </c>
      <c r="G71" s="257">
        <v>1699</v>
      </c>
      <c r="H71" s="257">
        <v>1649</v>
      </c>
      <c r="I71" s="314">
        <v>1699</v>
      </c>
      <c r="J71" s="301" t="s">
        <v>66</v>
      </c>
    </row>
    <row r="72" spans="2:11" s="4" customFormat="1" x14ac:dyDescent="0.2">
      <c r="E72" s="300" t="s">
        <v>67</v>
      </c>
      <c r="F72" s="272">
        <f>J72-SUM(G72:I72)</f>
        <v>112</v>
      </c>
      <c r="G72" s="256">
        <v>300</v>
      </c>
      <c r="H72" s="256">
        <v>400</v>
      </c>
      <c r="I72" s="315">
        <v>900</v>
      </c>
      <c r="J72" s="303">
        <f>C27+C30</f>
        <v>1712</v>
      </c>
      <c r="K72" s="4" t="s">
        <v>405</v>
      </c>
    </row>
    <row r="73" spans="2:11" s="4" customFormat="1" x14ac:dyDescent="0.2">
      <c r="D73" s="199"/>
      <c r="E73" s="300" t="s">
        <v>72</v>
      </c>
      <c r="F73" s="273">
        <f>ROUNDDOWN(F72*F69,0)</f>
        <v>95</v>
      </c>
      <c r="G73" s="273">
        <f t="shared" ref="G73:I73" si="0">ROUNDDOWN(G72*G69,0)</f>
        <v>255</v>
      </c>
      <c r="H73" s="273">
        <f t="shared" si="0"/>
        <v>340</v>
      </c>
      <c r="I73" s="316">
        <f t="shared" si="0"/>
        <v>765</v>
      </c>
      <c r="J73" s="301">
        <f>SUM(F73:I73)</f>
        <v>1455</v>
      </c>
    </row>
    <row r="74" spans="2:11" s="4" customFormat="1" x14ac:dyDescent="0.2">
      <c r="B74" s="9" t="s">
        <v>68</v>
      </c>
      <c r="C74" s="320">
        <v>0.08</v>
      </c>
      <c r="D74" s="199"/>
      <c r="E74" s="300" t="s">
        <v>69</v>
      </c>
      <c r="F74" s="256">
        <v>2</v>
      </c>
      <c r="G74" s="256">
        <v>3</v>
      </c>
      <c r="H74" s="256">
        <v>3</v>
      </c>
      <c r="I74" s="315">
        <v>7</v>
      </c>
      <c r="J74" s="301"/>
    </row>
    <row r="75" spans="2:11" s="4" customFormat="1" x14ac:dyDescent="0.2">
      <c r="B75" s="12" t="s">
        <v>70</v>
      </c>
      <c r="C75" s="221">
        <f>J72</f>
        <v>1712</v>
      </c>
      <c r="E75" s="300" t="s">
        <v>71</v>
      </c>
      <c r="F75" s="312">
        <f>F72*F71*F74/100</f>
        <v>3805.76</v>
      </c>
      <c r="G75" s="312">
        <f>G72*G71*G74/100</f>
        <v>15291</v>
      </c>
      <c r="H75" s="312">
        <f>H72*H71*H74/100</f>
        <v>19788</v>
      </c>
      <c r="I75" s="304">
        <f>I72*I71*I74/100</f>
        <v>107037</v>
      </c>
      <c r="J75" s="304">
        <f>SUM(F75:I75)</f>
        <v>145921.76</v>
      </c>
    </row>
    <row r="76" spans="2:11" s="4" customFormat="1" x14ac:dyDescent="0.2">
      <c r="B76" s="12" t="s">
        <v>72</v>
      </c>
      <c r="C76" s="221">
        <f>J73</f>
        <v>1455</v>
      </c>
      <c r="D76" s="199"/>
      <c r="E76" s="300" t="s">
        <v>73</v>
      </c>
      <c r="F76" s="256">
        <v>0</v>
      </c>
      <c r="G76" s="256">
        <v>0</v>
      </c>
      <c r="H76" s="256">
        <v>1</v>
      </c>
      <c r="I76" s="315">
        <v>1</v>
      </c>
      <c r="J76" s="301" t="s">
        <v>66</v>
      </c>
    </row>
    <row r="77" spans="2:11" s="4" customFormat="1" x14ac:dyDescent="0.2">
      <c r="B77" s="14" t="s">
        <v>74</v>
      </c>
      <c r="C77" s="319">
        <f>C75-C76</f>
        <v>257</v>
      </c>
      <c r="D77" s="199"/>
      <c r="E77" s="305" t="s">
        <v>75</v>
      </c>
      <c r="F77" s="306">
        <f>'Q2'!E68+'Q3-Predict'!F76</f>
        <v>1</v>
      </c>
      <c r="G77" s="306">
        <f>'Q2'!F68+'Q3-Predict'!G76</f>
        <v>2</v>
      </c>
      <c r="H77" s="306">
        <f>'Q2'!G68+'Q3-Predict'!H76</f>
        <v>2</v>
      </c>
      <c r="I77" s="307">
        <f>'Q2'!H68+'Q3-Predict'!I76</f>
        <v>4</v>
      </c>
      <c r="J77" s="307">
        <f>SUM(F77:I77)</f>
        <v>9</v>
      </c>
    </row>
    <row r="78" spans="2:11" s="4" customFormat="1" x14ac:dyDescent="0.2">
      <c r="E78" s="300" t="s">
        <v>76</v>
      </c>
      <c r="F78" s="296">
        <v>1344</v>
      </c>
      <c r="G78" s="296">
        <v>912</v>
      </c>
      <c r="H78" s="296">
        <v>1008</v>
      </c>
      <c r="I78" s="301">
        <v>1536</v>
      </c>
      <c r="J78" s="301"/>
    </row>
    <row r="79" spans="2:11" s="4" customFormat="1" x14ac:dyDescent="0.2">
      <c r="E79" s="305" t="s">
        <v>78</v>
      </c>
      <c r="F79" s="308">
        <f>F73/F78</f>
        <v>7.0684523809523808E-2</v>
      </c>
      <c r="G79" s="308">
        <f>G73/G78</f>
        <v>0.27960526315789475</v>
      </c>
      <c r="H79" s="308">
        <f>H73/H78</f>
        <v>0.33730158730158732</v>
      </c>
      <c r="I79" s="317">
        <f>I73/I78</f>
        <v>0.498046875</v>
      </c>
      <c r="J79" s="309"/>
    </row>
    <row r="80" spans="2:11" s="4" customFormat="1" x14ac:dyDescent="0.2">
      <c r="E80" s="296"/>
      <c r="F80" s="310"/>
      <c r="G80" s="310"/>
      <c r="H80" s="310"/>
      <c r="I80" s="310"/>
      <c r="J80" s="296"/>
    </row>
    <row r="81" spans="1:12" s="4" customFormat="1" x14ac:dyDescent="0.2">
      <c r="E81" s="296"/>
      <c r="F81" s="310"/>
      <c r="G81" s="310"/>
      <c r="H81" s="310"/>
      <c r="I81" s="310"/>
      <c r="J81" s="296"/>
    </row>
    <row r="82" spans="1:12" s="4" customFormat="1" x14ac:dyDescent="0.2">
      <c r="E82" s="296"/>
      <c r="F82" s="310"/>
      <c r="G82" s="310"/>
      <c r="H82" s="310"/>
      <c r="I82" s="310"/>
      <c r="J82" s="296"/>
    </row>
    <row r="83" spans="1:12" s="4" customFormat="1" x14ac:dyDescent="0.2">
      <c r="E83" s="296"/>
      <c r="F83" s="310"/>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I98</f>
        <v>282500</v>
      </c>
      <c r="D92" s="214"/>
      <c r="E92" s="71" t="s">
        <v>82</v>
      </c>
      <c r="F92" s="329">
        <v>5000</v>
      </c>
      <c r="H92" s="71" t="s">
        <v>82</v>
      </c>
      <c r="I92" s="72" t="s">
        <v>83</v>
      </c>
      <c r="J92" s="72" t="s">
        <v>84</v>
      </c>
      <c r="K92" s="72" t="s">
        <v>85</v>
      </c>
      <c r="L92" s="73" t="s">
        <v>86</v>
      </c>
    </row>
    <row r="93" spans="1:12" s="4" customFormat="1" x14ac:dyDescent="0.2">
      <c r="B93" s="12" t="s">
        <v>87</v>
      </c>
      <c r="C93" s="217">
        <f>K103</f>
        <v>40000</v>
      </c>
      <c r="D93" s="214"/>
      <c r="H93" s="12" t="s">
        <v>88</v>
      </c>
      <c r="I93" s="214">
        <f>$F$92*K93</f>
        <v>25000</v>
      </c>
      <c r="J93" s="4">
        <v>1</v>
      </c>
      <c r="K93" s="4">
        <v>5</v>
      </c>
      <c r="L93" s="13">
        <f>J93*K93</f>
        <v>5</v>
      </c>
    </row>
    <row r="94" spans="1:12" s="4" customFormat="1" x14ac:dyDescent="0.2">
      <c r="B94" s="12" t="s">
        <v>89</v>
      </c>
      <c r="C94" s="217">
        <f>K104</f>
        <v>8000</v>
      </c>
      <c r="D94" s="321"/>
      <c r="E94" s="71" t="s">
        <v>90</v>
      </c>
      <c r="F94" s="73"/>
      <c r="H94" s="12" t="s">
        <v>91</v>
      </c>
      <c r="I94" s="214">
        <f>$F$92*K94</f>
        <v>5000</v>
      </c>
      <c r="J94" s="4">
        <v>35</v>
      </c>
      <c r="K94" s="4">
        <v>1</v>
      </c>
      <c r="L94" s="13">
        <f>J94*K94</f>
        <v>35</v>
      </c>
    </row>
    <row r="95" spans="1:12" s="4" customFormat="1" x14ac:dyDescent="0.2">
      <c r="B95" s="12" t="s">
        <v>92</v>
      </c>
      <c r="C95" s="217">
        <f>K105</f>
        <v>55920</v>
      </c>
      <c r="E95" s="12" t="s">
        <v>93</v>
      </c>
      <c r="F95" s="327">
        <v>10000</v>
      </c>
      <c r="H95" s="12" t="s">
        <v>94</v>
      </c>
      <c r="I95" s="214">
        <f>$F$92*K95</f>
        <v>12500</v>
      </c>
      <c r="J95" s="4">
        <v>3</v>
      </c>
      <c r="K95" s="4">
        <v>2.5</v>
      </c>
      <c r="L95" s="13">
        <f>J95*K95</f>
        <v>7.5</v>
      </c>
    </row>
    <row r="96" spans="1:12" s="4" customFormat="1" x14ac:dyDescent="0.2">
      <c r="B96" s="71"/>
      <c r="C96" s="324">
        <f>SUM(C92:C95)</f>
        <v>386420</v>
      </c>
      <c r="E96" s="12" t="s">
        <v>95</v>
      </c>
      <c r="F96" s="194">
        <v>4</v>
      </c>
      <c r="H96" s="12" t="s">
        <v>96</v>
      </c>
      <c r="I96" s="214">
        <f>$F$92*K96</f>
        <v>5000</v>
      </c>
      <c r="J96" s="4">
        <f>J77</f>
        <v>9</v>
      </c>
      <c r="K96" s="4">
        <v>1</v>
      </c>
      <c r="L96" s="13">
        <f>J96*K96</f>
        <v>9</v>
      </c>
    </row>
    <row r="97" spans="1:12" s="4" customFormat="1" x14ac:dyDescent="0.2">
      <c r="E97" s="12" t="s">
        <v>97</v>
      </c>
      <c r="F97" s="217">
        <v>2000</v>
      </c>
      <c r="H97" s="12" t="s">
        <v>64</v>
      </c>
      <c r="I97" s="4" t="s">
        <v>66</v>
      </c>
      <c r="J97" s="4">
        <f>SUM(J93:J96)</f>
        <v>48</v>
      </c>
      <c r="K97" s="4" t="s">
        <v>66</v>
      </c>
      <c r="L97" s="13">
        <f>SUM(L93:L96)</f>
        <v>56.5</v>
      </c>
    </row>
    <row r="98" spans="1:12" s="4" customFormat="1" x14ac:dyDescent="0.2">
      <c r="B98" s="71" t="s">
        <v>98</v>
      </c>
      <c r="C98" s="73" t="s">
        <v>406</v>
      </c>
      <c r="E98" s="14" t="s">
        <v>95</v>
      </c>
      <c r="F98" s="76">
        <v>4</v>
      </c>
      <c r="H98" s="14" t="s">
        <v>99</v>
      </c>
      <c r="I98" s="322">
        <f>L97*F92</f>
        <v>282500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12" t="s">
        <v>104</v>
      </c>
      <c r="F102" s="217">
        <v>165</v>
      </c>
      <c r="H102" s="12" t="s">
        <v>105</v>
      </c>
      <c r="I102" s="214">
        <f>F92</f>
        <v>5000</v>
      </c>
      <c r="J102" s="4">
        <f>L97</f>
        <v>56.5</v>
      </c>
      <c r="K102" s="217">
        <f>I102*J102</f>
        <v>282500</v>
      </c>
    </row>
    <row r="103" spans="1:12" s="4" customFormat="1" x14ac:dyDescent="0.2">
      <c r="E103" s="12" t="s">
        <v>106</v>
      </c>
      <c r="F103" s="217">
        <v>175</v>
      </c>
      <c r="H103" s="12" t="s">
        <v>93</v>
      </c>
      <c r="I103" s="214">
        <f>F95</f>
        <v>10000</v>
      </c>
      <c r="J103" s="4">
        <f>F96</f>
        <v>4</v>
      </c>
      <c r="K103" s="217">
        <f>F95*J103</f>
        <v>40000</v>
      </c>
    </row>
    <row r="104" spans="1:12" s="4" customFormat="1" ht="17" customHeight="1" x14ac:dyDescent="0.2">
      <c r="E104" s="325" t="s">
        <v>107</v>
      </c>
      <c r="F104" s="217">
        <v>400</v>
      </c>
      <c r="H104" s="12" t="s">
        <v>97</v>
      </c>
      <c r="I104" s="214">
        <f>F97</f>
        <v>2000</v>
      </c>
      <c r="J104" s="4">
        <f>F98</f>
        <v>4</v>
      </c>
      <c r="K104" s="217">
        <f>F97*J104</f>
        <v>8000</v>
      </c>
    </row>
    <row r="105" spans="1:12" s="4" customFormat="1" x14ac:dyDescent="0.2">
      <c r="E105" s="325" t="s">
        <v>108</v>
      </c>
      <c r="F105" s="217">
        <v>280</v>
      </c>
      <c r="H105" s="12" t="s">
        <v>109</v>
      </c>
      <c r="I105" s="214">
        <f>SUM(F104:F107)</f>
        <v>1165</v>
      </c>
      <c r="J105" s="4">
        <f>J97</f>
        <v>48</v>
      </c>
      <c r="K105" s="217">
        <f>I105*J105</f>
        <v>55920</v>
      </c>
    </row>
    <row r="106" spans="1:12" s="4" customFormat="1" x14ac:dyDescent="0.2">
      <c r="E106" s="325" t="s">
        <v>110</v>
      </c>
      <c r="F106" s="217">
        <v>350</v>
      </c>
      <c r="H106" s="14"/>
      <c r="I106" s="15"/>
      <c r="J106" s="15"/>
      <c r="K106" s="278">
        <f>SUM(K102:K105)</f>
        <v>386420</v>
      </c>
    </row>
    <row r="107" spans="1:12" s="4" customFormat="1" x14ac:dyDescent="0.2">
      <c r="E107" s="325" t="s">
        <v>111</v>
      </c>
      <c r="F107" s="217">
        <v>135</v>
      </c>
      <c r="L107" s="214"/>
    </row>
    <row r="108" spans="1:12" s="4" customFormat="1" x14ac:dyDescent="0.2">
      <c r="E108" s="14"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199" t="s">
        <v>114</v>
      </c>
      <c r="C113" s="199">
        <f>200000</f>
        <v>200000</v>
      </c>
    </row>
    <row r="114" spans="1:22" s="4" customFormat="1" x14ac:dyDescent="0.2">
      <c r="B114" s="199" t="s">
        <v>115</v>
      </c>
      <c r="C114" s="199">
        <f>2*0.019</f>
        <v>3.7999999999999999E-2</v>
      </c>
    </row>
    <row r="115" spans="1:22" s="4" customFormat="1" x14ac:dyDescent="0.2">
      <c r="B115" s="199" t="s">
        <v>116</v>
      </c>
      <c r="C115" s="199">
        <f>C113*C114</f>
        <v>7600</v>
      </c>
    </row>
    <row r="116" spans="1:22" s="4" customFormat="1" x14ac:dyDescent="0.2">
      <c r="B116" s="4" t="s">
        <v>117</v>
      </c>
      <c r="C116" s="69">
        <f>80000</f>
        <v>80000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407</v>
      </c>
    </row>
    <row r="121" spans="1:22" s="4" customFormat="1" x14ac:dyDescent="0.2"/>
    <row r="122" spans="1:22" s="4" customFormat="1" x14ac:dyDescent="0.2">
      <c r="B122" s="4" t="s">
        <v>119</v>
      </c>
    </row>
    <row r="123" spans="1:22" s="4" customFormat="1" x14ac:dyDescent="0.2">
      <c r="B123" s="9" t="s">
        <v>60</v>
      </c>
      <c r="C123" s="334">
        <f>IFERROR(VLOOKUP(B123,$B$14:$C$121,2,FALSE),0)</f>
        <v>2455045</v>
      </c>
    </row>
    <row r="124" spans="1:22" s="4" customFormat="1" x14ac:dyDescent="0.2">
      <c r="B124" s="275" t="s">
        <v>120</v>
      </c>
      <c r="C124" s="335">
        <f>1.65*C76*M23</f>
        <v>1372964.9175000002</v>
      </c>
      <c r="D124" s="302" t="s">
        <v>420</v>
      </c>
      <c r="F124" s="9" t="s">
        <v>400</v>
      </c>
      <c r="G124" s="9" t="s">
        <v>122</v>
      </c>
      <c r="H124" s="331">
        <f>C128+C130</f>
        <v>338420</v>
      </c>
      <c r="I124" s="10">
        <f>H124/$H$128</f>
        <v>232.59106529209623</v>
      </c>
      <c r="J124" s="11"/>
    </row>
    <row r="125" spans="1:22" s="4" customFormat="1" x14ac:dyDescent="0.2">
      <c r="B125" s="12" t="s">
        <v>123</v>
      </c>
      <c r="C125" s="336">
        <f>C123-C124</f>
        <v>1082080.0824999998</v>
      </c>
      <c r="F125" s="12"/>
      <c r="G125" s="12" t="s">
        <v>124</v>
      </c>
      <c r="H125" s="279">
        <f>SUMIF(D127:D139,"FC",C127:C139)</f>
        <v>736558.18160000001</v>
      </c>
      <c r="I125" s="4">
        <f t="shared" ref="I125:I126" si="1">H125/$H$128</f>
        <v>506.2255543642612</v>
      </c>
      <c r="J125" s="13"/>
    </row>
    <row r="126" spans="1:22" s="4" customFormat="1" x14ac:dyDescent="0.2">
      <c r="B126" s="12" t="s">
        <v>125</v>
      </c>
      <c r="C126" s="336"/>
      <c r="F126" s="12"/>
      <c r="G126" s="12" t="s">
        <v>120</v>
      </c>
      <c r="H126" s="279">
        <f>C124</f>
        <v>1372964.9175000002</v>
      </c>
      <c r="I126" s="4">
        <f t="shared" si="1"/>
        <v>943.61850000000015</v>
      </c>
      <c r="J126" s="13"/>
    </row>
    <row r="127" spans="1:22" s="4" customFormat="1" x14ac:dyDescent="0.2">
      <c r="B127" s="12" t="s">
        <v>27</v>
      </c>
      <c r="C127" s="336">
        <v>280000</v>
      </c>
      <c r="D127" s="4" t="s">
        <v>124</v>
      </c>
      <c r="F127" s="12"/>
      <c r="G127" s="12" t="s">
        <v>127</v>
      </c>
      <c r="H127" s="279">
        <f>SUM(H124:H126)</f>
        <v>2447943.0991000002</v>
      </c>
      <c r="J127" s="13"/>
    </row>
    <row r="128" spans="1:22" s="4" customFormat="1" x14ac:dyDescent="0.2">
      <c r="B128" s="12" t="s">
        <v>81</v>
      </c>
      <c r="C128" s="336">
        <f t="shared" ref="C128:C136" si="2">IFERROR(VLOOKUP(B128,$B$14:$C$121,2,FALSE),0)</f>
        <v>282500</v>
      </c>
      <c r="D128" s="4" t="s">
        <v>122</v>
      </c>
      <c r="F128" s="12"/>
      <c r="G128" s="12" t="s">
        <v>128</v>
      </c>
      <c r="H128" s="302">
        <f>C76</f>
        <v>1455</v>
      </c>
      <c r="J128" s="13"/>
    </row>
    <row r="129" spans="2:10" s="4" customFormat="1" x14ac:dyDescent="0.2">
      <c r="B129" s="12" t="s">
        <v>87</v>
      </c>
      <c r="C129" s="336">
        <f t="shared" si="2"/>
        <v>40000</v>
      </c>
      <c r="D129" s="4" t="s">
        <v>124</v>
      </c>
      <c r="F129" s="12"/>
      <c r="G129" s="12" t="s">
        <v>129</v>
      </c>
      <c r="H129" s="339">
        <f>H127/H128</f>
        <v>1682.4351196563575</v>
      </c>
      <c r="J129" s="13"/>
    </row>
    <row r="130" spans="2:10" s="4" customFormat="1" x14ac:dyDescent="0.2">
      <c r="B130" s="12" t="s">
        <v>92</v>
      </c>
      <c r="C130" s="336">
        <f t="shared" si="2"/>
        <v>55920</v>
      </c>
      <c r="D130" s="4" t="s">
        <v>122</v>
      </c>
      <c r="F130" s="12"/>
      <c r="G130" s="12"/>
      <c r="J130" s="13"/>
    </row>
    <row r="131" spans="2:10" s="4" customFormat="1" x14ac:dyDescent="0.2">
      <c r="B131" s="12" t="s">
        <v>89</v>
      </c>
      <c r="C131" s="336">
        <f t="shared" si="2"/>
        <v>8000</v>
      </c>
      <c r="D131" s="4" t="s">
        <v>124</v>
      </c>
      <c r="F131" s="12"/>
      <c r="G131" s="12" t="s">
        <v>130</v>
      </c>
      <c r="H131" s="286">
        <v>0.1</v>
      </c>
      <c r="I131" s="286">
        <v>0.2</v>
      </c>
      <c r="J131" s="332">
        <v>0.3</v>
      </c>
    </row>
    <row r="132" spans="2:10" s="4" customFormat="1" x14ac:dyDescent="0.2">
      <c r="B132" s="12" t="s">
        <v>131</v>
      </c>
      <c r="C132" s="336">
        <f t="shared" si="2"/>
        <v>0</v>
      </c>
      <c r="F132" s="340"/>
      <c r="G132" s="14" t="s">
        <v>132</v>
      </c>
      <c r="H132" s="333">
        <f>$H$129*(1+H131)</f>
        <v>1850.6786316219934</v>
      </c>
      <c r="I132" s="333">
        <f>$H$129*(1+I131)</f>
        <v>2018.9221435876289</v>
      </c>
      <c r="J132" s="341">
        <f>$H$129*(1+J131)</f>
        <v>2187.165655553265</v>
      </c>
    </row>
    <row r="133" spans="2:10" s="4" customFormat="1" x14ac:dyDescent="0.2">
      <c r="B133" s="12" t="s">
        <v>11</v>
      </c>
      <c r="C133" s="336">
        <f t="shared" si="2"/>
        <v>75000</v>
      </c>
      <c r="D133" s="4" t="s">
        <v>124</v>
      </c>
      <c r="F133" s="12"/>
      <c r="G133" s="4" t="s">
        <v>133</v>
      </c>
      <c r="H133" s="302">
        <f>H132-$H$129</f>
        <v>168.24351196563589</v>
      </c>
      <c r="I133" s="302">
        <f>I132-$H$129</f>
        <v>336.48702393127132</v>
      </c>
      <c r="J133" s="318">
        <f>J132-$H$129</f>
        <v>504.73053589690744</v>
      </c>
    </row>
    <row r="134" spans="2:10" s="4" customFormat="1" x14ac:dyDescent="0.2">
      <c r="B134" s="12" t="s">
        <v>61</v>
      </c>
      <c r="C134" s="336">
        <f t="shared" si="2"/>
        <v>145921.76</v>
      </c>
      <c r="D134" s="4" t="s">
        <v>124</v>
      </c>
      <c r="F134" s="12" t="s">
        <v>401</v>
      </c>
      <c r="G134" s="4" t="s">
        <v>134</v>
      </c>
      <c r="H134" s="342">
        <f>H133/H132</f>
        <v>9.0909090909090981E-2</v>
      </c>
      <c r="I134" s="342">
        <f t="shared" ref="I134:J134" si="3">I133/I132</f>
        <v>0.1666666666666666</v>
      </c>
      <c r="J134" s="326">
        <f t="shared" si="3"/>
        <v>0.23076923076923084</v>
      </c>
    </row>
    <row r="135" spans="2:10" s="4" customFormat="1" x14ac:dyDescent="0.2">
      <c r="B135" s="12" t="s">
        <v>23</v>
      </c>
      <c r="C135" s="336">
        <f t="shared" si="2"/>
        <v>13633.041600000002</v>
      </c>
      <c r="D135" s="4" t="s">
        <v>124</v>
      </c>
      <c r="F135" s="12" t="s">
        <v>402</v>
      </c>
      <c r="G135" s="4" t="s">
        <v>135</v>
      </c>
      <c r="H135" s="279">
        <f>$H$125/H134</f>
        <v>8102139.9975999938</v>
      </c>
      <c r="I135" s="279">
        <f>$H$125/I134</f>
        <v>4419349.0896000015</v>
      </c>
      <c r="J135" s="281">
        <f>$H$125/J134</f>
        <v>3191752.1202666657</v>
      </c>
    </row>
    <row r="136" spans="2:10" s="4" customFormat="1" x14ac:dyDescent="0.2">
      <c r="B136" s="12" t="s">
        <v>117</v>
      </c>
      <c r="C136" s="336">
        <f t="shared" si="2"/>
        <v>80000</v>
      </c>
      <c r="D136" s="4" t="s">
        <v>124</v>
      </c>
      <c r="F136" s="14"/>
      <c r="G136" s="15" t="s">
        <v>136</v>
      </c>
      <c r="H136" s="15">
        <f>H135/H132</f>
        <v>4377.9291872511767</v>
      </c>
      <c r="I136" s="15">
        <f t="shared" ref="I136:J136" si="4">I135/I132</f>
        <v>2188.9645936255911</v>
      </c>
      <c r="J136" s="16">
        <f t="shared" si="4"/>
        <v>1459.3097290837263</v>
      </c>
    </row>
    <row r="137" spans="2:10" s="4" customFormat="1" x14ac:dyDescent="0.2">
      <c r="B137" s="275" t="s">
        <v>137</v>
      </c>
      <c r="C137" s="335">
        <v>70000</v>
      </c>
      <c r="D137" s="4" t="s">
        <v>124</v>
      </c>
    </row>
    <row r="138" spans="2:10" s="4" customFormat="1" x14ac:dyDescent="0.2">
      <c r="B138" s="12" t="s">
        <v>139</v>
      </c>
      <c r="C138" s="336">
        <f>IFERROR(VLOOKUP(B138,$B$14:$C$121,2,FALSE),0)</f>
        <v>0</v>
      </c>
    </row>
    <row r="139" spans="2:10" s="4" customFormat="1" x14ac:dyDescent="0.2">
      <c r="B139" s="275" t="s">
        <v>140</v>
      </c>
      <c r="C139" s="335">
        <v>24003.38</v>
      </c>
      <c r="D139" s="4" t="s">
        <v>124</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SUM(C127:C141)</f>
        <v>1074978.1815999998</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row>
    <row r="147" spans="2:5" s="4" customFormat="1" x14ac:dyDescent="0.2">
      <c r="B147" s="12" t="s">
        <v>146</v>
      </c>
      <c r="C147" s="338">
        <f>C125-C142</f>
        <v>7101.9009000000078</v>
      </c>
    </row>
    <row r="148" spans="2:5" s="4" customFormat="1" x14ac:dyDescent="0.2">
      <c r="B148" s="12" t="s">
        <v>147</v>
      </c>
      <c r="C148" s="13">
        <v>0</v>
      </c>
    </row>
    <row r="149" spans="2:5" s="4" customFormat="1" x14ac:dyDescent="0.2">
      <c r="B149" s="12" t="s">
        <v>148</v>
      </c>
      <c r="C149" s="336">
        <f>C147-C148</f>
        <v>7101.9009000000078</v>
      </c>
    </row>
    <row r="150" spans="2:5" s="4" customFormat="1" x14ac:dyDescent="0.2">
      <c r="B150" s="12" t="s">
        <v>119</v>
      </c>
      <c r="C150" s="13"/>
    </row>
    <row r="151" spans="2:5" s="4" customFormat="1" x14ac:dyDescent="0.2">
      <c r="B151" s="12" t="s">
        <v>149</v>
      </c>
      <c r="C151" s="336">
        <f>'Q1'!B121</f>
        <v>-706786.36</v>
      </c>
    </row>
    <row r="152" spans="2:5" s="4" customFormat="1" x14ac:dyDescent="0.2">
      <c r="B152" s="12" t="s">
        <v>148</v>
      </c>
      <c r="C152" s="336">
        <f>C149+C151</f>
        <v>-699684.45909999998</v>
      </c>
    </row>
    <row r="153" spans="2:5" s="4" customFormat="1" x14ac:dyDescent="0.2">
      <c r="B153" s="12" t="s">
        <v>150</v>
      </c>
      <c r="C153" s="13">
        <v>0</v>
      </c>
    </row>
    <row r="154" spans="2:5" s="4" customFormat="1" x14ac:dyDescent="0.2">
      <c r="B154" s="14" t="s">
        <v>151</v>
      </c>
      <c r="C154" s="337">
        <f>C152+C153</f>
        <v>-699684.45909999998</v>
      </c>
    </row>
    <row r="155" spans="2:5" s="4" customFormat="1" x14ac:dyDescent="0.2"/>
    <row r="156" spans="2:5" s="4" customFormat="1" x14ac:dyDescent="0.2">
      <c r="C156" s="330"/>
      <c r="D156" s="214"/>
      <c r="E156" s="279"/>
    </row>
    <row r="157" spans="2:5" s="4" customFormat="1" x14ac:dyDescent="0.2"/>
    <row r="158" spans="2:5" s="4" customFormat="1" x14ac:dyDescent="0.2"/>
    <row r="159" spans="2:5" s="4" customFormat="1" x14ac:dyDescent="0.2"/>
    <row r="160" spans="2:5" s="4" customFormat="1" x14ac:dyDescent="0.2"/>
    <row r="161" s="4" customFormat="1" x14ac:dyDescent="0.2"/>
    <row r="162" s="4" customFormat="1" x14ac:dyDescent="0.2"/>
    <row r="163" s="4" customFormat="1" x14ac:dyDescent="0.2"/>
    <row r="164" s="4" customFormat="1" x14ac:dyDescent="0.2"/>
    <row r="165" s="4" customFormat="1" x14ac:dyDescent="0.2"/>
    <row r="166" s="4" customFormat="1" x14ac:dyDescent="0.2"/>
    <row r="167" s="4" customFormat="1" x14ac:dyDescent="0.2"/>
    <row r="168" s="4" customFormat="1" x14ac:dyDescent="0.2"/>
    <row r="169" s="4" customFormat="1" x14ac:dyDescent="0.2"/>
    <row r="170" s="4" customFormat="1" x14ac:dyDescent="0.2"/>
    <row r="171" s="4" customFormat="1" x14ac:dyDescent="0.2"/>
    <row r="172" s="4" customFormat="1" x14ac:dyDescent="0.2"/>
    <row r="173" s="4" customFormat="1" x14ac:dyDescent="0.2"/>
    <row r="174"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AE04DFAF-B6E9-4949-AAF2-7073CB4FADA3}">
          <x14:formula1>
            <xm:f>Reference!$B$1:$B$4</xm:f>
          </x14:formula1>
          <xm:sqref>W21 W28 K20</xm:sqref>
        </x14:dataValidation>
        <x14:dataValidation type="list" allowBlank="1" showInputMessage="1" showErrorMessage="1" xr:uid="{BD8919FF-03B7-F548-AD99-A13C7591361D}">
          <x14:formula1>
            <xm:f>Reference!$D$1:$D$4</xm:f>
          </x14:formula1>
          <xm:sqref>W23 W30 K22</xm:sqref>
        </x14:dataValidation>
        <x14:dataValidation type="list" allowBlank="1" showInputMessage="1" showErrorMessage="1" xr:uid="{46775563-2781-3C4D-8B51-1F0C37CCF2D9}">
          <x14:formula1>
            <xm:f>Reference!$A$1:$A$3</xm:f>
          </x14:formula1>
          <xm:sqref>W20 W27 K19</xm:sqref>
        </x14:dataValidation>
        <x14:dataValidation type="list" allowBlank="1" showInputMessage="1" showErrorMessage="1" xr:uid="{376B2357-095F-4947-9DEA-CE6DAA0F3596}">
          <x14:formula1>
            <xm:f>Reference!$C$1:$C$5</xm:f>
          </x14:formula1>
          <xm:sqref>W22 W29 K21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7A1CC-DACA-434F-AC17-B6F8CB774AF6}">
  <sheetPr codeName="Sheet24">
    <tabColor theme="2" tint="-9.9978637043366805E-2"/>
  </sheetPr>
  <dimension ref="A2:Y144"/>
  <sheetViews>
    <sheetView zoomScale="119" workbookViewId="0">
      <selection activeCell="K23" sqref="K23"/>
    </sheetView>
  </sheetViews>
  <sheetFormatPr baseColWidth="10" defaultColWidth="11" defaultRowHeight="16" x14ac:dyDescent="0.2"/>
  <cols>
    <col min="1" max="1" width="33.33203125" bestFit="1" customWidth="1"/>
    <col min="2" max="2" width="14" bestFit="1" customWidth="1"/>
    <col min="3" max="3" width="15.1640625" customWidth="1"/>
    <col min="4" max="4" width="15.83203125" bestFit="1" customWidth="1"/>
    <col min="5" max="5" width="15.1640625" bestFit="1" customWidth="1"/>
    <col min="6" max="6" width="16.5" bestFit="1" customWidth="1"/>
    <col min="7" max="7" width="16.83203125" bestFit="1" customWidth="1"/>
    <col min="8" max="8" width="18.83203125" customWidth="1"/>
    <col min="9" max="9" width="14.6640625" bestFit="1" customWidth="1"/>
    <col min="10" max="10" width="12.5" customWidth="1"/>
    <col min="11" max="11" width="12.5" bestFit="1" customWidth="1"/>
    <col min="12" max="12" width="16.83203125" customWidth="1"/>
    <col min="13" max="13" width="14" bestFit="1" customWidth="1"/>
    <col min="14" max="14" width="22.33203125" customWidth="1"/>
    <col min="15" max="15" width="22" customWidth="1"/>
    <col min="16" max="16" width="21.5" customWidth="1"/>
    <col min="17" max="17" width="16.5" customWidth="1"/>
    <col min="18" max="18" width="18.5" customWidth="1"/>
    <col min="19" max="19" width="13.5" customWidth="1"/>
    <col min="20" max="20" width="22.5" customWidth="1"/>
    <col min="21" max="21" width="22.1640625" customWidth="1"/>
    <col min="22" max="22" width="14.6640625" customWidth="1"/>
    <col min="23" max="23" width="22" customWidth="1"/>
    <col min="24" max="24" width="21.33203125" customWidth="1"/>
    <col min="25" max="25" width="15.33203125" bestFit="1" customWidth="1"/>
    <col min="26" max="26" width="12.5" bestFit="1" customWidth="1"/>
    <col min="27" max="27" width="11.5" bestFit="1" customWidth="1"/>
    <col min="28" max="28" width="18.5" bestFit="1" customWidth="1"/>
    <col min="31" max="31" width="19.83203125" bestFit="1" customWidth="1"/>
  </cols>
  <sheetData>
    <row r="2" spans="1:25" x14ac:dyDescent="0.2">
      <c r="C2" s="69" t="s">
        <v>404</v>
      </c>
    </row>
    <row r="4" spans="1:25" s="120" customFormat="1" x14ac:dyDescent="0.2"/>
    <row r="5" spans="1:25" x14ac:dyDescent="0.2">
      <c r="A5" s="126" t="s">
        <v>7</v>
      </c>
      <c r="B5" s="126"/>
    </row>
    <row r="6" spans="1:25" x14ac:dyDescent="0.2">
      <c r="A6" s="126"/>
      <c r="B6" s="126"/>
      <c r="C6" t="s">
        <v>422</v>
      </c>
      <c r="E6" s="111">
        <f>E13*L20</f>
        <v>686268.00000000012</v>
      </c>
      <c r="G6" t="s">
        <v>423</v>
      </c>
      <c r="H6" t="s">
        <v>42</v>
      </c>
      <c r="J6">
        <f>'Q1'!E13</f>
        <v>1200</v>
      </c>
    </row>
    <row r="7" spans="1:25" x14ac:dyDescent="0.2">
      <c r="A7" s="126" t="s">
        <v>9</v>
      </c>
      <c r="B7" s="240">
        <v>0</v>
      </c>
      <c r="C7" s="122" t="s">
        <v>10</v>
      </c>
      <c r="H7" t="s">
        <v>43</v>
      </c>
      <c r="J7" s="69">
        <v>1200</v>
      </c>
    </row>
    <row r="8" spans="1:25" x14ac:dyDescent="0.2">
      <c r="A8" s="126" t="s">
        <v>11</v>
      </c>
      <c r="B8" s="240">
        <f>E51*F51</f>
        <v>45000</v>
      </c>
      <c r="H8" t="s">
        <v>416</v>
      </c>
      <c r="J8" s="265">
        <v>1128</v>
      </c>
    </row>
    <row r="9" spans="1:25" x14ac:dyDescent="0.2">
      <c r="A9" s="126" t="s">
        <v>18</v>
      </c>
      <c r="B9" s="240">
        <f>E6</f>
        <v>686268.00000000012</v>
      </c>
      <c r="D9" s="588" t="s">
        <v>12</v>
      </c>
      <c r="E9" s="589"/>
      <c r="F9" s="590"/>
      <c r="H9" t="s">
        <v>47</v>
      </c>
      <c r="J9">
        <f>J7-J8</f>
        <v>72</v>
      </c>
    </row>
    <row r="10" spans="1:25" x14ac:dyDescent="0.2">
      <c r="A10" s="126"/>
      <c r="B10" s="240"/>
      <c r="D10" s="74" t="s">
        <v>28</v>
      </c>
      <c r="E10" s="77"/>
      <c r="F10" s="13"/>
      <c r="H10" t="s">
        <v>48</v>
      </c>
      <c r="J10">
        <f>E13</f>
        <v>1200</v>
      </c>
      <c r="T10" s="195"/>
      <c r="U10" s="161"/>
      <c r="V10" s="161"/>
      <c r="W10" s="161"/>
      <c r="X10" s="161"/>
      <c r="Y10" s="162"/>
    </row>
    <row r="11" spans="1:25" x14ac:dyDescent="0.2">
      <c r="A11" s="126"/>
      <c r="B11" s="240">
        <f>SUM(B7:B9)</f>
        <v>731268.00000000012</v>
      </c>
      <c r="D11" s="63" t="s">
        <v>31</v>
      </c>
      <c r="E11" s="101">
        <v>1300000</v>
      </c>
      <c r="F11" s="13"/>
      <c r="G11" t="s">
        <v>424</v>
      </c>
      <c r="H11" t="s">
        <v>42</v>
      </c>
      <c r="J11">
        <f>SUM(J9:J10)</f>
        <v>1272</v>
      </c>
      <c r="T11" s="93"/>
      <c r="Y11" s="94"/>
    </row>
    <row r="12" spans="1:25" x14ac:dyDescent="0.2">
      <c r="A12" s="126"/>
      <c r="B12" s="240"/>
      <c r="D12" s="63" t="s">
        <v>34</v>
      </c>
      <c r="E12" s="101">
        <v>1500000</v>
      </c>
      <c r="F12" s="13"/>
      <c r="H12" t="s">
        <v>50</v>
      </c>
      <c r="J12">
        <f>J11*L21</f>
        <v>681652.08000000007</v>
      </c>
      <c r="T12" s="93"/>
      <c r="U12" s="175"/>
      <c r="Y12" s="94"/>
    </row>
    <row r="13" spans="1:25" x14ac:dyDescent="0.2">
      <c r="A13" s="126" t="s">
        <v>23</v>
      </c>
      <c r="B13" s="246">
        <f>J12*0.02</f>
        <v>13633.041600000002</v>
      </c>
      <c r="D13" s="75" t="s">
        <v>18</v>
      </c>
      <c r="E13" s="76">
        <v>1200</v>
      </c>
      <c r="F13" s="13" t="s">
        <v>36</v>
      </c>
      <c r="H13" t="s">
        <v>425</v>
      </c>
      <c r="J13" s="267">
        <f>J8-B58</f>
        <v>584</v>
      </c>
      <c r="T13" s="93"/>
      <c r="U13" s="176"/>
      <c r="Y13" s="94"/>
    </row>
    <row r="14" spans="1:25" x14ac:dyDescent="0.2">
      <c r="A14" s="122" t="s">
        <v>27</v>
      </c>
      <c r="B14" s="245">
        <v>280000</v>
      </c>
      <c r="D14" s="65" t="s">
        <v>21</v>
      </c>
      <c r="E14" s="62">
        <v>1</v>
      </c>
      <c r="F14" s="13" t="s">
        <v>39</v>
      </c>
      <c r="T14" s="93"/>
      <c r="U14" s="177"/>
      <c r="Y14" s="94"/>
    </row>
    <row r="15" spans="1:25" x14ac:dyDescent="0.2">
      <c r="D15" s="63" t="s">
        <v>40</v>
      </c>
      <c r="E15" s="101">
        <v>20</v>
      </c>
      <c r="F15" s="13"/>
      <c r="H15" s="71"/>
      <c r="I15" s="72"/>
      <c r="J15" s="72" t="s">
        <v>14</v>
      </c>
      <c r="K15" s="72" t="s">
        <v>15</v>
      </c>
      <c r="L15" s="72" t="s">
        <v>16</v>
      </c>
      <c r="M15" s="73" t="s">
        <v>17</v>
      </c>
      <c r="S15" s="195"/>
      <c r="T15" s="161"/>
      <c r="U15" s="161"/>
      <c r="V15" s="161"/>
      <c r="W15" s="161"/>
      <c r="X15" s="162"/>
    </row>
    <row r="16" spans="1:25" x14ac:dyDescent="0.2">
      <c r="D16" s="66" t="s">
        <v>22</v>
      </c>
      <c r="E16" s="102">
        <v>36</v>
      </c>
      <c r="F16" s="178"/>
      <c r="H16" s="12"/>
      <c r="I16" s="4" t="s">
        <v>21</v>
      </c>
      <c r="J16" s="69" t="s">
        <v>22</v>
      </c>
      <c r="K16" s="4">
        <f>VLOOKUP($J$16,$D$13:E48,2,FALSE)</f>
        <v>36</v>
      </c>
      <c r="L16" s="4">
        <f>K16*$E$14</f>
        <v>36</v>
      </c>
      <c r="M16" s="13">
        <f>L16*$E$13</f>
        <v>43200</v>
      </c>
    </row>
    <row r="17" spans="3:25" x14ac:dyDescent="0.2">
      <c r="D17" s="106" t="s">
        <v>25</v>
      </c>
      <c r="E17" s="105">
        <v>2</v>
      </c>
      <c r="F17" s="103" t="s">
        <v>39</v>
      </c>
      <c r="H17" s="12" t="s">
        <v>24</v>
      </c>
      <c r="I17" s="19" t="s">
        <v>25</v>
      </c>
      <c r="J17" s="69" t="s">
        <v>26</v>
      </c>
      <c r="K17" s="4">
        <f>VLOOKUP($J$17,$D$14:E49,2,FALSE)</f>
        <v>44.52</v>
      </c>
      <c r="L17" s="4">
        <f>K17*$E$17</f>
        <v>89.04</v>
      </c>
      <c r="M17" s="13">
        <f>L17*$E$13</f>
        <v>106848.00000000001</v>
      </c>
      <c r="T17" s="195"/>
      <c r="U17" s="161"/>
      <c r="V17" s="161"/>
      <c r="W17" s="161"/>
      <c r="X17" s="161"/>
      <c r="Y17" s="162"/>
    </row>
    <row r="18" spans="3:25" x14ac:dyDescent="0.2">
      <c r="D18" s="63" t="s">
        <v>44</v>
      </c>
      <c r="E18" s="64">
        <f>(1+E20)*E19</f>
        <v>43.2</v>
      </c>
      <c r="F18" s="103"/>
      <c r="H18" s="12"/>
      <c r="I18" s="20" t="s">
        <v>29</v>
      </c>
      <c r="J18" s="69" t="s">
        <v>30</v>
      </c>
      <c r="K18" s="4">
        <f>VLOOKUP($J$18,$D$15:E54,2,FALSE)</f>
        <v>187.20000000000002</v>
      </c>
      <c r="L18" s="4">
        <f>K18*$E$27</f>
        <v>374.40000000000003</v>
      </c>
      <c r="M18" s="13">
        <f>L18*$E$13</f>
        <v>449280.00000000006</v>
      </c>
      <c r="T18" s="93"/>
      <c r="Y18" s="94"/>
    </row>
    <row r="19" spans="3:25" x14ac:dyDescent="0.2">
      <c r="D19" s="67" t="s">
        <v>45</v>
      </c>
      <c r="E19" s="13">
        <v>40</v>
      </c>
      <c r="F19" s="103"/>
      <c r="H19" s="12"/>
      <c r="I19" s="70" t="s">
        <v>32</v>
      </c>
      <c r="J19" s="69" t="s">
        <v>33</v>
      </c>
      <c r="K19" s="4">
        <f>VLOOKUP($J$19,$D$10:E49,2,FALSE)</f>
        <v>24.150000000000002</v>
      </c>
      <c r="L19" s="4">
        <f>K19*$E$40</f>
        <v>72.45</v>
      </c>
      <c r="M19" s="13">
        <f>L19*$E$13</f>
        <v>86940</v>
      </c>
      <c r="N19" s="111"/>
      <c r="O19" s="111"/>
      <c r="T19" s="93"/>
      <c r="U19" s="175"/>
      <c r="Y19" s="94"/>
    </row>
    <row r="20" spans="3:25" x14ac:dyDescent="0.2">
      <c r="D20" s="67" t="s">
        <v>46</v>
      </c>
      <c r="E20" s="13">
        <v>0.08</v>
      </c>
      <c r="F20" s="103"/>
      <c r="H20" s="71" t="s">
        <v>35</v>
      </c>
      <c r="I20" s="72"/>
      <c r="J20" s="72"/>
      <c r="K20" s="72"/>
      <c r="L20" s="72">
        <f>SUM(L16:L19)</f>
        <v>571.8900000000001</v>
      </c>
      <c r="M20" s="73">
        <f>SUM(M16:M19)</f>
        <v>686268</v>
      </c>
      <c r="T20" s="93"/>
      <c r="U20" s="176"/>
      <c r="Y20" s="94"/>
    </row>
    <row r="21" spans="3:25" x14ac:dyDescent="0.2">
      <c r="D21" s="63" t="s">
        <v>26</v>
      </c>
      <c r="E21" s="64">
        <f>(1+E23)*E22</f>
        <v>44.52</v>
      </c>
      <c r="F21" s="103"/>
      <c r="H21" s="90" t="s">
        <v>37</v>
      </c>
      <c r="I21" s="91"/>
      <c r="J21" s="91"/>
      <c r="K21" s="91"/>
      <c r="L21" s="91">
        <f>L20-L16</f>
        <v>535.8900000000001</v>
      </c>
      <c r="M21" s="92">
        <f>L21*E13</f>
        <v>643068.00000000012</v>
      </c>
      <c r="T21" s="93"/>
      <c r="U21" s="177"/>
      <c r="Y21" s="94"/>
    </row>
    <row r="22" spans="3:25" x14ac:dyDescent="0.2">
      <c r="D22" s="67" t="s">
        <v>45</v>
      </c>
      <c r="E22" s="13">
        <v>42</v>
      </c>
      <c r="F22" s="103"/>
      <c r="T22" s="195"/>
      <c r="U22" s="161"/>
      <c r="V22" s="161"/>
      <c r="W22" s="161"/>
      <c r="X22" s="161"/>
      <c r="Y22" s="162"/>
    </row>
    <row r="23" spans="3:25" x14ac:dyDescent="0.2">
      <c r="D23" s="67" t="s">
        <v>46</v>
      </c>
      <c r="E23" s="13">
        <v>0.06</v>
      </c>
      <c r="F23" s="103"/>
      <c r="N23" s="111"/>
      <c r="O23" s="111"/>
    </row>
    <row r="24" spans="3:25" x14ac:dyDescent="0.2">
      <c r="C24" s="17" t="s">
        <v>426</v>
      </c>
      <c r="D24" s="63" t="s">
        <v>51</v>
      </c>
      <c r="E24" s="64">
        <f>(1+E26)*E25</f>
        <v>56.1</v>
      </c>
      <c r="F24" s="103"/>
    </row>
    <row r="25" spans="3:25" x14ac:dyDescent="0.2">
      <c r="D25" s="67" t="s">
        <v>45</v>
      </c>
      <c r="E25" s="13">
        <v>55</v>
      </c>
      <c r="F25" s="103"/>
    </row>
    <row r="26" spans="3:25" x14ac:dyDescent="0.2">
      <c r="D26" s="68" t="s">
        <v>46</v>
      </c>
      <c r="E26" s="16">
        <v>0.02</v>
      </c>
      <c r="F26" s="103"/>
      <c r="M26" s="175" t="s">
        <v>427</v>
      </c>
    </row>
    <row r="27" spans="3:25" x14ac:dyDescent="0.2">
      <c r="D27" s="104" t="s">
        <v>52</v>
      </c>
      <c r="E27" s="105">
        <v>2</v>
      </c>
      <c r="F27" s="103" t="s">
        <v>39</v>
      </c>
      <c r="M27" s="176"/>
    </row>
    <row r="28" spans="3:25" x14ac:dyDescent="0.2">
      <c r="D28" s="63" t="s">
        <v>53</v>
      </c>
      <c r="E28" s="64">
        <f>(1+E30)*E29</f>
        <v>117.7</v>
      </c>
      <c r="F28" s="103"/>
      <c r="M28" s="177"/>
    </row>
    <row r="29" spans="3:25" x14ac:dyDescent="0.2">
      <c r="D29" s="67" t="s">
        <v>45</v>
      </c>
      <c r="E29" s="13">
        <v>110</v>
      </c>
      <c r="F29" s="103"/>
    </row>
    <row r="30" spans="3:25" x14ac:dyDescent="0.2">
      <c r="D30" s="67" t="s">
        <v>46</v>
      </c>
      <c r="E30" s="13">
        <v>7.0000000000000007E-2</v>
      </c>
      <c r="F30" s="103"/>
    </row>
    <row r="31" spans="3:25" x14ac:dyDescent="0.2">
      <c r="D31" s="63" t="s">
        <v>54</v>
      </c>
      <c r="E31" s="64">
        <f>(1+E33)*E32</f>
        <v>186.29999999999998</v>
      </c>
      <c r="F31" s="103"/>
    </row>
    <row r="32" spans="3:25" x14ac:dyDescent="0.2">
      <c r="D32" s="67" t="s">
        <v>45</v>
      </c>
      <c r="E32" s="13">
        <v>162</v>
      </c>
      <c r="F32" s="103"/>
    </row>
    <row r="33" spans="1:12" x14ac:dyDescent="0.2">
      <c r="D33" s="67" t="s">
        <v>46</v>
      </c>
      <c r="E33" s="13">
        <v>0.15</v>
      </c>
      <c r="F33" s="103"/>
    </row>
    <row r="34" spans="1:12" x14ac:dyDescent="0.2">
      <c r="D34" s="63" t="s">
        <v>55</v>
      </c>
      <c r="E34" s="64">
        <f>(1+E36)*E35</f>
        <v>193.60000000000002</v>
      </c>
      <c r="F34" s="98"/>
    </row>
    <row r="35" spans="1:12" x14ac:dyDescent="0.2">
      <c r="A35" t="s">
        <v>428</v>
      </c>
      <c r="D35" s="67" t="s">
        <v>45</v>
      </c>
      <c r="E35" s="13">
        <v>176</v>
      </c>
      <c r="F35" s="13"/>
    </row>
    <row r="36" spans="1:12" x14ac:dyDescent="0.2">
      <c r="D36" s="67" t="s">
        <v>46</v>
      </c>
      <c r="E36" s="13">
        <v>0.1</v>
      </c>
      <c r="F36" s="13"/>
    </row>
    <row r="37" spans="1:12" x14ac:dyDescent="0.2">
      <c r="D37" s="63" t="s">
        <v>30</v>
      </c>
      <c r="E37" s="64">
        <f>(1+E39)*E38</f>
        <v>187.20000000000002</v>
      </c>
      <c r="F37" s="13"/>
      <c r="H37" s="141" t="s">
        <v>429</v>
      </c>
      <c r="I37" s="142">
        <v>1</v>
      </c>
      <c r="J37" s="142">
        <v>2</v>
      </c>
      <c r="K37" s="142">
        <v>3</v>
      </c>
      <c r="L37" s="143">
        <v>4</v>
      </c>
    </row>
    <row r="38" spans="1:12" x14ac:dyDescent="0.2">
      <c r="D38" s="67" t="s">
        <v>45</v>
      </c>
      <c r="E38" s="13">
        <v>180</v>
      </c>
      <c r="F38" s="13"/>
      <c r="H38" s="90"/>
      <c r="I38" s="91">
        <f>E84</f>
        <v>0</v>
      </c>
      <c r="J38" s="91">
        <f>F84</f>
        <v>0</v>
      </c>
      <c r="K38" s="91">
        <f>G84</f>
        <v>0</v>
      </c>
      <c r="L38" s="92" t="str">
        <f>H84</f>
        <v>Operators</v>
      </c>
    </row>
    <row r="39" spans="1:12" x14ac:dyDescent="0.2">
      <c r="D39" s="68" t="s">
        <v>46</v>
      </c>
      <c r="E39" s="16">
        <v>0.04</v>
      </c>
      <c r="F39" s="13"/>
    </row>
    <row r="40" spans="1:12" x14ac:dyDescent="0.2">
      <c r="D40" s="104" t="s">
        <v>56</v>
      </c>
      <c r="E40" s="105">
        <v>3</v>
      </c>
      <c r="F40" s="13" t="s">
        <v>39</v>
      </c>
    </row>
    <row r="41" spans="1:12" x14ac:dyDescent="0.2">
      <c r="D41" s="63" t="s">
        <v>57</v>
      </c>
      <c r="E41" s="64">
        <f>(1+E43)*E42</f>
        <v>21.599999999999998</v>
      </c>
      <c r="F41" s="13"/>
    </row>
    <row r="42" spans="1:12" x14ac:dyDescent="0.2">
      <c r="D42" s="67" t="s">
        <v>45</v>
      </c>
      <c r="E42" s="13">
        <v>18</v>
      </c>
      <c r="F42" s="13"/>
    </row>
    <row r="43" spans="1:12" x14ac:dyDescent="0.2">
      <c r="D43" s="67" t="s">
        <v>46</v>
      </c>
      <c r="E43" s="13">
        <v>0.2</v>
      </c>
      <c r="F43" s="13"/>
    </row>
    <row r="44" spans="1:12" x14ac:dyDescent="0.2">
      <c r="D44" s="63" t="s">
        <v>58</v>
      </c>
      <c r="E44" s="64">
        <f>(1+E46)*E45</f>
        <v>22</v>
      </c>
      <c r="F44" s="13"/>
    </row>
    <row r="45" spans="1:12" x14ac:dyDescent="0.2">
      <c r="D45" s="67" t="s">
        <v>45</v>
      </c>
      <c r="E45" s="13">
        <v>20</v>
      </c>
      <c r="F45" s="13"/>
    </row>
    <row r="46" spans="1:12" x14ac:dyDescent="0.2">
      <c r="D46" s="67" t="s">
        <v>46</v>
      </c>
      <c r="E46" s="13">
        <v>0.1</v>
      </c>
      <c r="F46" s="13"/>
    </row>
    <row r="47" spans="1:12" x14ac:dyDescent="0.2">
      <c r="D47" s="63" t="s">
        <v>33</v>
      </c>
      <c r="E47" s="64">
        <f>(1+E49)*E48</f>
        <v>24.150000000000002</v>
      </c>
      <c r="F47" s="13"/>
    </row>
    <row r="48" spans="1:12" x14ac:dyDescent="0.2">
      <c r="D48" s="67" t="s">
        <v>45</v>
      </c>
      <c r="E48" s="13">
        <v>23</v>
      </c>
      <c r="F48" s="13"/>
    </row>
    <row r="49" spans="1:9" x14ac:dyDescent="0.2">
      <c r="D49" s="68" t="s">
        <v>46</v>
      </c>
      <c r="E49" s="16">
        <v>0.05</v>
      </c>
      <c r="F49" s="16"/>
    </row>
    <row r="50" spans="1:9" x14ac:dyDescent="0.2">
      <c r="D50" s="1"/>
    </row>
    <row r="51" spans="1:9" x14ac:dyDescent="0.2">
      <c r="D51" s="244" t="s">
        <v>19</v>
      </c>
      <c r="E51" s="161">
        <v>15000</v>
      </c>
      <c r="F51" s="196">
        <v>3</v>
      </c>
    </row>
    <row r="52" spans="1:9" x14ac:dyDescent="0.2">
      <c r="D52" s="1"/>
      <c r="F52" s="69"/>
    </row>
    <row r="53" spans="1:9" x14ac:dyDescent="0.2">
      <c r="D53" s="1"/>
      <c r="F53" s="69"/>
    </row>
    <row r="55" spans="1:9" s="120" customFormat="1" x14ac:dyDescent="0.2"/>
    <row r="56" spans="1:9" x14ac:dyDescent="0.2">
      <c r="A56" s="126" t="s">
        <v>59</v>
      </c>
      <c r="B56" s="126"/>
    </row>
    <row r="57" spans="1:9" x14ac:dyDescent="0.2">
      <c r="A57" s="126" t="s">
        <v>70</v>
      </c>
      <c r="B57" s="263">
        <f>I63</f>
        <v>1056</v>
      </c>
    </row>
    <row r="58" spans="1:9" x14ac:dyDescent="0.2">
      <c r="A58" s="126" t="s">
        <v>417</v>
      </c>
      <c r="B58" s="266">
        <f>I64</f>
        <v>544</v>
      </c>
      <c r="E58" s="122"/>
    </row>
    <row r="59" spans="1:9" x14ac:dyDescent="0.2">
      <c r="A59" s="126" t="s">
        <v>60</v>
      </c>
      <c r="B59" s="263">
        <f>SUMPRODUCT(E64:H64,E62:H62)</f>
        <v>798556</v>
      </c>
      <c r="D59" s="126" t="s">
        <v>68</v>
      </c>
      <c r="E59" s="241">
        <v>0.04</v>
      </c>
    </row>
    <row r="60" spans="1:9" x14ac:dyDescent="0.2">
      <c r="A60" s="126" t="s">
        <v>61</v>
      </c>
      <c r="B60" s="263">
        <f>I66</f>
        <v>72902.820000000007</v>
      </c>
    </row>
    <row r="61" spans="1:9" x14ac:dyDescent="0.2">
      <c r="A61" s="126"/>
      <c r="B61" s="126"/>
      <c r="D61" s="247" t="s">
        <v>63</v>
      </c>
      <c r="E61" s="248">
        <v>1</v>
      </c>
      <c r="F61" s="248">
        <v>2</v>
      </c>
      <c r="G61" s="248">
        <v>3</v>
      </c>
      <c r="H61" s="248">
        <v>4</v>
      </c>
      <c r="I61" s="249" t="s">
        <v>64</v>
      </c>
    </row>
    <row r="62" spans="1:9" x14ac:dyDescent="0.2">
      <c r="A62" s="126" t="s">
        <v>62</v>
      </c>
      <c r="B62" s="264">
        <f>B59*E59</f>
        <v>31942.240000000002</v>
      </c>
      <c r="D62" s="250" t="s">
        <v>65</v>
      </c>
      <c r="E62" s="257">
        <v>1499</v>
      </c>
      <c r="F62" s="258">
        <v>1399</v>
      </c>
      <c r="G62" s="258">
        <v>1399</v>
      </c>
      <c r="H62" s="257">
        <v>1499</v>
      </c>
      <c r="I62" s="252" t="s">
        <v>66</v>
      </c>
    </row>
    <row r="63" spans="1:9" x14ac:dyDescent="0.2">
      <c r="D63" s="250" t="s">
        <v>67</v>
      </c>
      <c r="E63" s="256">
        <v>100</v>
      </c>
      <c r="F63" s="256">
        <v>206</v>
      </c>
      <c r="G63" s="256">
        <v>100</v>
      </c>
      <c r="H63" s="256">
        <v>650</v>
      </c>
      <c r="I63" s="252">
        <v>1056</v>
      </c>
    </row>
    <row r="64" spans="1:9" x14ac:dyDescent="0.2">
      <c r="D64" s="250" t="s">
        <v>430</v>
      </c>
      <c r="E64" s="173">
        <v>50</v>
      </c>
      <c r="F64" s="173">
        <v>103</v>
      </c>
      <c r="G64" s="173">
        <v>66</v>
      </c>
      <c r="H64" s="173">
        <v>325</v>
      </c>
      <c r="I64" s="252">
        <v>544</v>
      </c>
    </row>
    <row r="65" spans="1:9" x14ac:dyDescent="0.2">
      <c r="D65" s="250" t="s">
        <v>69</v>
      </c>
      <c r="E65" s="256">
        <v>2</v>
      </c>
      <c r="F65" s="256">
        <v>3</v>
      </c>
      <c r="G65" s="256">
        <v>2</v>
      </c>
      <c r="H65" s="256">
        <v>6</v>
      </c>
      <c r="I65" s="252"/>
    </row>
    <row r="66" spans="1:9" x14ac:dyDescent="0.2">
      <c r="D66" s="250" t="s">
        <v>71</v>
      </c>
      <c r="E66" s="259">
        <f>E63*E62*E65/100</f>
        <v>2998</v>
      </c>
      <c r="F66" s="259">
        <f>F63*F62*F65/100</f>
        <v>8645.82</v>
      </c>
      <c r="G66" s="259">
        <f>G63*G62*G65/100</f>
        <v>2798</v>
      </c>
      <c r="H66" s="259">
        <f>H63*H62*H65/100</f>
        <v>58461</v>
      </c>
      <c r="I66" s="262">
        <f>SUM(E66:H66)</f>
        <v>72902.820000000007</v>
      </c>
    </row>
    <row r="67" spans="1:9" x14ac:dyDescent="0.2">
      <c r="D67" s="250" t="s">
        <v>73</v>
      </c>
      <c r="E67" s="256">
        <v>0</v>
      </c>
      <c r="F67" s="256">
        <v>0</v>
      </c>
      <c r="G67" s="256">
        <v>1</v>
      </c>
      <c r="H67" s="256">
        <v>0</v>
      </c>
      <c r="I67" s="252" t="s">
        <v>66</v>
      </c>
    </row>
    <row r="68" spans="1:9" x14ac:dyDescent="0.2">
      <c r="D68" s="253" t="s">
        <v>75</v>
      </c>
      <c r="E68" s="254">
        <f>'Q1'!E61+'Q2'!E67</f>
        <v>1</v>
      </c>
      <c r="F68" s="254">
        <f>'Q1'!F61+'Q2'!F67</f>
        <v>2</v>
      </c>
      <c r="G68" s="254">
        <f>'Q1'!G61+'Q2'!G67</f>
        <v>1</v>
      </c>
      <c r="H68" s="254">
        <f>'Q1'!H61+'Q2'!H67</f>
        <v>3</v>
      </c>
      <c r="I68" s="255">
        <v>7</v>
      </c>
    </row>
    <row r="69" spans="1:9" x14ac:dyDescent="0.2">
      <c r="D69" s="250" t="s">
        <v>76</v>
      </c>
      <c r="E69" s="173">
        <v>1344</v>
      </c>
      <c r="F69" s="173">
        <v>912</v>
      </c>
      <c r="G69" s="173">
        <v>1008</v>
      </c>
      <c r="H69" s="173">
        <v>1536</v>
      </c>
      <c r="I69" s="252"/>
    </row>
    <row r="70" spans="1:9" x14ac:dyDescent="0.2">
      <c r="D70" s="253" t="s">
        <v>78</v>
      </c>
      <c r="E70" s="260">
        <f>E64/E69</f>
        <v>3.7202380952380952E-2</v>
      </c>
      <c r="F70" s="260">
        <f>F64/F69</f>
        <v>0.11293859649122807</v>
      </c>
      <c r="G70" s="260">
        <f>G64/G69</f>
        <v>6.5476190476190479E-2</v>
      </c>
      <c r="H70" s="260">
        <f>H64/H69</f>
        <v>0.21158854166666666</v>
      </c>
      <c r="I70" s="261"/>
    </row>
    <row r="71" spans="1:9" x14ac:dyDescent="0.2">
      <c r="D71" s="173"/>
      <c r="E71" s="251"/>
      <c r="F71" s="251"/>
      <c r="G71" s="251"/>
      <c r="H71" s="251"/>
      <c r="I71" s="173"/>
    </row>
    <row r="76" spans="1:9" x14ac:dyDescent="0.2">
      <c r="D76" s="87"/>
      <c r="E76" s="88"/>
      <c r="F76" s="88"/>
      <c r="G76" s="88"/>
      <c r="H76" s="88"/>
      <c r="I76" s="89"/>
    </row>
    <row r="77" spans="1:9" x14ac:dyDescent="0.2">
      <c r="D77" s="93"/>
      <c r="I77" s="94"/>
    </row>
    <row r="78" spans="1:9" x14ac:dyDescent="0.2">
      <c r="D78" s="90"/>
      <c r="E78" s="91"/>
      <c r="F78" s="91"/>
      <c r="G78" s="91"/>
      <c r="H78" s="91"/>
      <c r="I78" s="92"/>
    </row>
    <row r="79" spans="1:9" s="120" customFormat="1" x14ac:dyDescent="0.2"/>
    <row r="80" spans="1:9" x14ac:dyDescent="0.2">
      <c r="A80" s="126" t="s">
        <v>80</v>
      </c>
      <c r="B80" s="126"/>
      <c r="E80" t="s">
        <v>431</v>
      </c>
      <c r="F80" s="111">
        <f>K96</f>
        <v>360090</v>
      </c>
    </row>
    <row r="81" spans="1:12" ht="17" customHeight="1" x14ac:dyDescent="0.2">
      <c r="A81" s="126" t="s">
        <v>81</v>
      </c>
      <c r="B81" s="243">
        <f>I88</f>
        <v>272500</v>
      </c>
      <c r="C81" s="242"/>
    </row>
    <row r="82" spans="1:12" x14ac:dyDescent="0.2">
      <c r="A82" s="126" t="s">
        <v>87</v>
      </c>
      <c r="B82" s="240">
        <f>K93</f>
        <v>30000</v>
      </c>
      <c r="C82" s="111"/>
      <c r="H82" s="141" t="s">
        <v>82</v>
      </c>
      <c r="I82" s="142" t="s">
        <v>83</v>
      </c>
      <c r="J82" s="142" t="s">
        <v>84</v>
      </c>
      <c r="K82" s="142" t="s">
        <v>85</v>
      </c>
      <c r="L82" s="143" t="s">
        <v>86</v>
      </c>
    </row>
    <row r="83" spans="1:12" x14ac:dyDescent="0.2">
      <c r="A83" s="126" t="s">
        <v>89</v>
      </c>
      <c r="B83" s="240">
        <f>K94</f>
        <v>4000</v>
      </c>
      <c r="C83" s="111"/>
      <c r="D83" s="195" t="s">
        <v>82</v>
      </c>
      <c r="E83" s="196">
        <v>5000</v>
      </c>
      <c r="H83" s="93" t="s">
        <v>88</v>
      </c>
      <c r="I83" s="111">
        <f>$E$83*K83</f>
        <v>25000</v>
      </c>
      <c r="J83">
        <v>1</v>
      </c>
      <c r="K83">
        <v>5</v>
      </c>
      <c r="L83" s="94">
        <f>J83*K83</f>
        <v>5</v>
      </c>
    </row>
    <row r="84" spans="1:12" x14ac:dyDescent="0.2">
      <c r="A84" s="126" t="s">
        <v>92</v>
      </c>
      <c r="B84" s="240">
        <f>K95</f>
        <v>53590</v>
      </c>
      <c r="C84" s="111"/>
      <c r="H84" s="93" t="s">
        <v>91</v>
      </c>
      <c r="I84" s="111">
        <f>$E$83*K84</f>
        <v>5000</v>
      </c>
      <c r="J84">
        <v>35</v>
      </c>
      <c r="K84">
        <v>1</v>
      </c>
      <c r="L84" s="94">
        <f>J84*K84</f>
        <v>35</v>
      </c>
    </row>
    <row r="85" spans="1:12" x14ac:dyDescent="0.2">
      <c r="A85" s="126" t="s">
        <v>64</v>
      </c>
      <c r="B85" s="243">
        <f>SUM(B81:B84)</f>
        <v>360090</v>
      </c>
      <c r="C85" s="242"/>
      <c r="D85" s="87"/>
      <c r="E85" s="88" t="s">
        <v>432</v>
      </c>
      <c r="F85" s="89" t="s">
        <v>102</v>
      </c>
      <c r="H85" s="93" t="s">
        <v>94</v>
      </c>
      <c r="I85" s="111">
        <f>$E$83*K85</f>
        <v>12500</v>
      </c>
      <c r="J85">
        <v>3</v>
      </c>
      <c r="K85">
        <v>2.5</v>
      </c>
      <c r="L85" s="94">
        <f>J85*K85</f>
        <v>7.5</v>
      </c>
    </row>
    <row r="86" spans="1:12" x14ac:dyDescent="0.2">
      <c r="D86" s="93" t="s">
        <v>93</v>
      </c>
      <c r="E86">
        <v>10000</v>
      </c>
      <c r="F86" s="194">
        <v>3</v>
      </c>
      <c r="H86" s="93" t="s">
        <v>96</v>
      </c>
      <c r="I86" s="111">
        <f>$E$83*K86</f>
        <v>5000</v>
      </c>
      <c r="J86">
        <f>I68</f>
        <v>7</v>
      </c>
      <c r="K86">
        <v>1</v>
      </c>
      <c r="L86" s="94">
        <f>J86*K86</f>
        <v>7</v>
      </c>
    </row>
    <row r="87" spans="1:12" x14ac:dyDescent="0.2">
      <c r="D87" s="90" t="s">
        <v>97</v>
      </c>
      <c r="E87" s="91">
        <v>2000</v>
      </c>
      <c r="F87" s="76">
        <v>2</v>
      </c>
      <c r="H87" s="93" t="s">
        <v>64</v>
      </c>
      <c r="I87" t="s">
        <v>66</v>
      </c>
      <c r="J87">
        <f>SUM(J83:J86)</f>
        <v>46</v>
      </c>
      <c r="K87" t="s">
        <v>66</v>
      </c>
      <c r="L87" s="94">
        <f>SUM(L83:L86)</f>
        <v>54.5</v>
      </c>
    </row>
    <row r="88" spans="1:12" x14ac:dyDescent="0.2">
      <c r="H88" s="90" t="s">
        <v>99</v>
      </c>
      <c r="I88" s="191">
        <f>L87*E83</f>
        <v>272500</v>
      </c>
      <c r="J88" s="91"/>
      <c r="K88" s="91"/>
      <c r="L88" s="92"/>
    </row>
    <row r="89" spans="1:12" x14ac:dyDescent="0.2">
      <c r="D89" s="141" t="s">
        <v>101</v>
      </c>
      <c r="E89" s="143"/>
    </row>
    <row r="90" spans="1:12" x14ac:dyDescent="0.2">
      <c r="D90" s="63" t="s">
        <v>104</v>
      </c>
      <c r="E90" s="192">
        <v>165</v>
      </c>
      <c r="H90" s="141" t="s">
        <v>100</v>
      </c>
      <c r="I90" s="142"/>
      <c r="J90" s="142"/>
      <c r="K90" s="143"/>
    </row>
    <row r="91" spans="1:12" x14ac:dyDescent="0.2">
      <c r="D91" s="63" t="s">
        <v>106</v>
      </c>
      <c r="E91" s="192">
        <v>175</v>
      </c>
      <c r="H91" s="93"/>
      <c r="I91" t="s">
        <v>102</v>
      </c>
      <c r="J91" t="s">
        <v>103</v>
      </c>
      <c r="K91" s="94" t="s">
        <v>64</v>
      </c>
    </row>
    <row r="92" spans="1:12" x14ac:dyDescent="0.2">
      <c r="D92" s="63" t="s">
        <v>107</v>
      </c>
      <c r="E92" s="197">
        <v>400</v>
      </c>
      <c r="H92" s="93" t="s">
        <v>105</v>
      </c>
      <c r="I92" s="111">
        <f>E83</f>
        <v>5000</v>
      </c>
      <c r="J92">
        <f>L87</f>
        <v>54.5</v>
      </c>
      <c r="K92" s="192">
        <f>I92*J92</f>
        <v>272500</v>
      </c>
    </row>
    <row r="93" spans="1:12" x14ac:dyDescent="0.2">
      <c r="D93" s="63" t="s">
        <v>108</v>
      </c>
      <c r="E93" s="197">
        <v>280</v>
      </c>
      <c r="H93" s="93" t="s">
        <v>93</v>
      </c>
      <c r="I93" s="111">
        <f>E86</f>
        <v>10000</v>
      </c>
      <c r="J93">
        <f>F86</f>
        <v>3</v>
      </c>
      <c r="K93" s="192">
        <f>E86*J93</f>
        <v>30000</v>
      </c>
    </row>
    <row r="94" spans="1:12" x14ac:dyDescent="0.2">
      <c r="D94" s="63" t="s">
        <v>110</v>
      </c>
      <c r="E94" s="197">
        <v>350</v>
      </c>
      <c r="H94" s="93" t="s">
        <v>97</v>
      </c>
      <c r="I94" s="111">
        <f>E87</f>
        <v>2000</v>
      </c>
      <c r="J94">
        <f>F87</f>
        <v>2</v>
      </c>
      <c r="K94" s="192">
        <f>E87*J94</f>
        <v>4000</v>
      </c>
    </row>
    <row r="95" spans="1:12" x14ac:dyDescent="0.2">
      <c r="D95" s="63" t="s">
        <v>111</v>
      </c>
      <c r="E95" s="197">
        <v>135</v>
      </c>
      <c r="H95" s="93" t="s">
        <v>109</v>
      </c>
      <c r="I95" s="111">
        <f>SUM(E92:E95)</f>
        <v>1165</v>
      </c>
      <c r="J95">
        <f>J87</f>
        <v>46</v>
      </c>
      <c r="K95" s="192">
        <f>I95*J95</f>
        <v>53590</v>
      </c>
    </row>
    <row r="96" spans="1:12" x14ac:dyDescent="0.2">
      <c r="D96" s="66" t="s">
        <v>112</v>
      </c>
      <c r="E96" s="193">
        <v>290</v>
      </c>
      <c r="H96" s="90"/>
      <c r="I96" s="91"/>
      <c r="J96" s="91"/>
      <c r="K96" s="193">
        <f>SUM(K92:K95)</f>
        <v>360090</v>
      </c>
    </row>
    <row r="98" spans="1:21" s="120" customFormat="1" x14ac:dyDescent="0.2"/>
    <row r="99" spans="1:21" x14ac:dyDescent="0.2">
      <c r="A99" s="126" t="s">
        <v>113</v>
      </c>
      <c r="B99" s="126"/>
    </row>
    <row r="100" spans="1:21" x14ac:dyDescent="0.2">
      <c r="A100" s="126" t="s">
        <v>114</v>
      </c>
      <c r="B100" s="126">
        <f>310000</f>
        <v>310000</v>
      </c>
    </row>
    <row r="101" spans="1:21" x14ac:dyDescent="0.2">
      <c r="A101" s="126" t="s">
        <v>115</v>
      </c>
      <c r="B101" s="126">
        <f>2*0.019</f>
        <v>3.7999999999999999E-2</v>
      </c>
    </row>
    <row r="102" spans="1:21" x14ac:dyDescent="0.2">
      <c r="A102" s="126"/>
      <c r="B102" s="126"/>
    </row>
    <row r="103" spans="1:21" x14ac:dyDescent="0.2">
      <c r="A103" s="126"/>
      <c r="B103" s="126"/>
    </row>
    <row r="104" spans="1:21" x14ac:dyDescent="0.2">
      <c r="A104" t="s">
        <v>117</v>
      </c>
      <c r="B104" s="126">
        <f>80000</f>
        <v>80000</v>
      </c>
      <c r="K104" s="134"/>
      <c r="L104" s="134"/>
      <c r="M104" s="134"/>
      <c r="N104" s="134"/>
      <c r="S104" s="134"/>
      <c r="T104" s="134"/>
      <c r="U104" s="134"/>
    </row>
    <row r="105" spans="1:21" x14ac:dyDescent="0.2">
      <c r="K105" s="134"/>
      <c r="L105" s="134"/>
      <c r="M105" s="134"/>
      <c r="N105" s="134"/>
    </row>
    <row r="106" spans="1:21" x14ac:dyDescent="0.2">
      <c r="K106" s="134"/>
      <c r="L106" s="134"/>
      <c r="M106" s="134"/>
    </row>
    <row r="110" spans="1:21" x14ac:dyDescent="0.2">
      <c r="A110" t="s">
        <v>119</v>
      </c>
    </row>
    <row r="111" spans="1:21" x14ac:dyDescent="0.2">
      <c r="A111" t="s">
        <v>60</v>
      </c>
      <c r="B111" s="127">
        <f>IFERROR(VLOOKUP(A111,$A$5:$B$109,2,FALSE),0)</f>
        <v>798556</v>
      </c>
    </row>
    <row r="112" spans="1:21" x14ac:dyDescent="0.2">
      <c r="A112" s="122" t="s">
        <v>120</v>
      </c>
      <c r="B112" s="245">
        <v>423285.9</v>
      </c>
      <c r="C112" s="267"/>
      <c r="D112" s="267" t="s">
        <v>120</v>
      </c>
    </row>
    <row r="113" spans="1:5" x14ac:dyDescent="0.2">
      <c r="A113" t="s">
        <v>123</v>
      </c>
      <c r="B113" s="127">
        <f>B111-B112</f>
        <v>375270.1</v>
      </c>
      <c r="D113" t="s">
        <v>433</v>
      </c>
      <c r="E113" s="111">
        <f>B58*L20</f>
        <v>311108.16000000003</v>
      </c>
    </row>
    <row r="114" spans="1:5" x14ac:dyDescent="0.2">
      <c r="A114" t="s">
        <v>125</v>
      </c>
      <c r="B114" s="127"/>
      <c r="E114" s="135">
        <f>B112/E113</f>
        <v>1.3605747274517004</v>
      </c>
    </row>
    <row r="115" spans="1:5" x14ac:dyDescent="0.2">
      <c r="A115" t="s">
        <v>27</v>
      </c>
      <c r="B115" s="127">
        <v>280000</v>
      </c>
    </row>
    <row r="116" spans="1:5" x14ac:dyDescent="0.2">
      <c r="A116" t="s">
        <v>81</v>
      </c>
      <c r="B116" s="127">
        <f t="shared" ref="B116:B124" si="0">IFERROR(VLOOKUP(A116,$A$5:$B$109,2,FALSE),0)</f>
        <v>272500</v>
      </c>
    </row>
    <row r="117" spans="1:5" x14ac:dyDescent="0.2">
      <c r="A117" t="s">
        <v>87</v>
      </c>
      <c r="B117" s="127">
        <f t="shared" si="0"/>
        <v>30000</v>
      </c>
    </row>
    <row r="118" spans="1:5" x14ac:dyDescent="0.2">
      <c r="A118" t="s">
        <v>92</v>
      </c>
      <c r="B118" s="127">
        <f t="shared" si="0"/>
        <v>53590</v>
      </c>
    </row>
    <row r="119" spans="1:5" x14ac:dyDescent="0.2">
      <c r="A119" t="s">
        <v>89</v>
      </c>
      <c r="B119" s="127">
        <f t="shared" si="0"/>
        <v>4000</v>
      </c>
    </row>
    <row r="120" spans="1:5" x14ac:dyDescent="0.2">
      <c r="A120" t="s">
        <v>131</v>
      </c>
      <c r="B120" s="127">
        <f t="shared" si="0"/>
        <v>0</v>
      </c>
    </row>
    <row r="121" spans="1:5" x14ac:dyDescent="0.2">
      <c r="A121" t="s">
        <v>11</v>
      </c>
      <c r="B121" s="127">
        <f t="shared" si="0"/>
        <v>45000</v>
      </c>
    </row>
    <row r="122" spans="1:5" x14ac:dyDescent="0.2">
      <c r="A122" t="s">
        <v>61</v>
      </c>
      <c r="B122" s="127">
        <f t="shared" si="0"/>
        <v>72902.820000000007</v>
      </c>
    </row>
    <row r="123" spans="1:5" x14ac:dyDescent="0.2">
      <c r="A123" t="s">
        <v>23</v>
      </c>
      <c r="B123" s="127">
        <f t="shared" si="0"/>
        <v>13633.041600000002</v>
      </c>
    </row>
    <row r="124" spans="1:5" x14ac:dyDescent="0.2">
      <c r="A124" t="s">
        <v>117</v>
      </c>
      <c r="B124" s="127">
        <f t="shared" si="0"/>
        <v>80000</v>
      </c>
    </row>
    <row r="125" spans="1:5" x14ac:dyDescent="0.2">
      <c r="A125" s="122" t="s">
        <v>137</v>
      </c>
      <c r="B125" s="245">
        <v>23490</v>
      </c>
    </row>
    <row r="126" spans="1:5" x14ac:dyDescent="0.2">
      <c r="A126" t="s">
        <v>139</v>
      </c>
      <c r="B126" s="127">
        <f>IFERROR(VLOOKUP(A126,$A$5:$B$109,2,FALSE),0)</f>
        <v>0</v>
      </c>
    </row>
    <row r="127" spans="1:5" x14ac:dyDescent="0.2">
      <c r="A127" t="s">
        <v>140</v>
      </c>
      <c r="B127" s="127">
        <f>IFERROR(VLOOKUP(A127,$A$5:$B$109,2,FALSE),0)</f>
        <v>0</v>
      </c>
    </row>
    <row r="128" spans="1:5" x14ac:dyDescent="0.2">
      <c r="A128" t="s">
        <v>141</v>
      </c>
      <c r="B128" s="127">
        <f>IFERROR(VLOOKUP(A128,$A$5:$B$109,2,FALSE),0)</f>
        <v>0</v>
      </c>
    </row>
    <row r="129" spans="1:4" x14ac:dyDescent="0.2">
      <c r="A129" t="s">
        <v>142</v>
      </c>
      <c r="B129" s="127">
        <f>IFERROR(VLOOKUP(A129,$A$5:$B$109,2,FALSE),0)</f>
        <v>0</v>
      </c>
    </row>
    <row r="130" spans="1:4" x14ac:dyDescent="0.2">
      <c r="A130" t="s">
        <v>143</v>
      </c>
      <c r="B130" s="127">
        <f>SUM(B115:B129)</f>
        <v>875115.86160000006</v>
      </c>
    </row>
    <row r="131" spans="1:4" x14ac:dyDescent="0.2">
      <c r="A131" t="s">
        <v>125</v>
      </c>
    </row>
    <row r="132" spans="1:4" x14ac:dyDescent="0.2">
      <c r="A132" t="s">
        <v>144</v>
      </c>
      <c r="B132">
        <v>0</v>
      </c>
    </row>
    <row r="133" spans="1:4" x14ac:dyDescent="0.2">
      <c r="A133" t="s">
        <v>145</v>
      </c>
      <c r="B133">
        <v>0</v>
      </c>
    </row>
    <row r="134" spans="1:4" x14ac:dyDescent="0.2">
      <c r="A134" t="s">
        <v>125</v>
      </c>
    </row>
    <row r="135" spans="1:4" x14ac:dyDescent="0.2">
      <c r="A135" t="s">
        <v>146</v>
      </c>
      <c r="B135" s="127">
        <f>B113-B130</f>
        <v>-499845.76160000009</v>
      </c>
    </row>
    <row r="136" spans="1:4" x14ac:dyDescent="0.2">
      <c r="A136" t="s">
        <v>147</v>
      </c>
      <c r="B136">
        <v>0</v>
      </c>
    </row>
    <row r="137" spans="1:4" x14ac:dyDescent="0.2">
      <c r="A137" t="s">
        <v>148</v>
      </c>
      <c r="B137" s="127">
        <f>B135-B136</f>
        <v>-499845.76160000009</v>
      </c>
    </row>
    <row r="138" spans="1:4" x14ac:dyDescent="0.2">
      <c r="A138" t="s">
        <v>119</v>
      </c>
    </row>
    <row r="139" spans="1:4" x14ac:dyDescent="0.2">
      <c r="A139" t="s">
        <v>149</v>
      </c>
      <c r="B139" s="127">
        <f>'Q1'!B121</f>
        <v>-706786.36</v>
      </c>
    </row>
    <row r="140" spans="1:4" x14ac:dyDescent="0.2">
      <c r="A140" t="s">
        <v>148</v>
      </c>
      <c r="B140" s="127">
        <f>B137+B139</f>
        <v>-1206632.1216000002</v>
      </c>
    </row>
    <row r="141" spans="1:4" x14ac:dyDescent="0.2">
      <c r="A141" t="s">
        <v>150</v>
      </c>
      <c r="B141">
        <v>0</v>
      </c>
    </row>
    <row r="142" spans="1:4" x14ac:dyDescent="0.2">
      <c r="A142" t="s">
        <v>151</v>
      </c>
      <c r="B142" s="127">
        <f>B140+B141</f>
        <v>-1206632.1216000002</v>
      </c>
    </row>
    <row r="144" spans="1:4" x14ac:dyDescent="0.2">
      <c r="B144" s="127"/>
      <c r="C144" s="111"/>
      <c r="D144" s="239"/>
    </row>
  </sheetData>
  <mergeCells count="1">
    <mergeCell ref="D9:F9"/>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1D43044-904B-5344-A6C0-13327D279150}">
          <x14:formula1>
            <xm:f>Reference!$C$1:$C$5</xm:f>
          </x14:formula1>
          <xm:sqref>V13 V20 J18</xm:sqref>
        </x14:dataValidation>
        <x14:dataValidation type="list" allowBlank="1" showInputMessage="1" showErrorMessage="1" xr:uid="{A4A58916-E027-A846-9F49-5A5B6E147E03}">
          <x14:formula1>
            <xm:f>Reference!$A$1:$A$3</xm:f>
          </x14:formula1>
          <xm:sqref>V11 V18 J16</xm:sqref>
        </x14:dataValidation>
        <x14:dataValidation type="list" allowBlank="1" showInputMessage="1" showErrorMessage="1" xr:uid="{DCEB8B90-760B-C749-95DE-15A2AC4C4EDA}">
          <x14:formula1>
            <xm:f>Reference!$D$1:$D$4</xm:f>
          </x14:formula1>
          <xm:sqref>V14 V21 J19</xm:sqref>
        </x14:dataValidation>
        <x14:dataValidation type="list" allowBlank="1" showInputMessage="1" showErrorMessage="1" xr:uid="{7F1D33C6-B9AD-7C41-B20E-9C155C95AE71}">
          <x14:formula1>
            <xm:f>Reference!$B$1:$B$4</xm:f>
          </x14:formula1>
          <xm:sqref>V12 V19 J17</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98B09-0EA2-D948-A92A-39E3B64ABA24}">
  <sheetPr codeName="Sheet25">
    <tabColor theme="2" tint="-9.9978637043366805E-2"/>
  </sheetPr>
  <dimension ref="A2:Y123"/>
  <sheetViews>
    <sheetView topLeftCell="A68" zoomScale="119" workbookViewId="0">
      <selection activeCell="K23" sqref="K23"/>
    </sheetView>
  </sheetViews>
  <sheetFormatPr baseColWidth="10" defaultColWidth="11" defaultRowHeight="16" x14ac:dyDescent="0.2"/>
  <cols>
    <col min="1" max="1" width="34.6640625" bestFit="1" customWidth="1"/>
    <col min="2" max="2" width="13.1640625" bestFit="1" customWidth="1"/>
    <col min="3" max="3" width="15.1640625" customWidth="1"/>
    <col min="4" max="4" width="15.83203125" bestFit="1" customWidth="1"/>
    <col min="5" max="5" width="16.6640625" customWidth="1"/>
    <col min="6" max="6" width="15.33203125" bestFit="1" customWidth="1"/>
    <col min="7" max="7" width="13.6640625" bestFit="1" customWidth="1"/>
    <col min="8" max="8" width="15.1640625" customWidth="1"/>
    <col min="9" max="9" width="14.6640625" bestFit="1" customWidth="1"/>
    <col min="10" max="10" width="12.5" customWidth="1"/>
    <col min="11" max="11" width="12.5" bestFit="1" customWidth="1"/>
    <col min="12" max="12" width="16.83203125" customWidth="1"/>
    <col min="13" max="13" width="14" bestFit="1" customWidth="1"/>
    <col min="14" max="14" width="22.33203125" customWidth="1"/>
    <col min="15" max="15" width="22" customWidth="1"/>
    <col min="16" max="16" width="21.5" customWidth="1"/>
    <col min="17" max="17" width="16.5" customWidth="1"/>
    <col min="18" max="18" width="18.5" customWidth="1"/>
    <col min="19" max="19" width="13.5" customWidth="1"/>
    <col min="20" max="20" width="22.5" customWidth="1"/>
    <col min="21" max="21" width="22.1640625" customWidth="1"/>
    <col min="22" max="22" width="14.6640625" customWidth="1"/>
    <col min="23" max="23" width="22" customWidth="1"/>
    <col min="24" max="24" width="21.33203125" customWidth="1"/>
    <col min="25" max="25" width="15.33203125" bestFit="1" customWidth="1"/>
    <col min="26" max="26" width="12.5" bestFit="1" customWidth="1"/>
    <col min="27" max="27" width="11.5" bestFit="1" customWidth="1"/>
    <col min="28" max="28" width="18.5" bestFit="1" customWidth="1"/>
    <col min="31" max="31" width="19.83203125" bestFit="1" customWidth="1"/>
  </cols>
  <sheetData>
    <row r="2" spans="1:25" x14ac:dyDescent="0.2">
      <c r="C2" s="69" t="s">
        <v>404</v>
      </c>
    </row>
    <row r="4" spans="1:25" s="120" customFormat="1" x14ac:dyDescent="0.2"/>
    <row r="5" spans="1:25" x14ac:dyDescent="0.2">
      <c r="A5" s="126" t="s">
        <v>7</v>
      </c>
      <c r="B5" s="126"/>
    </row>
    <row r="6" spans="1:25" x14ac:dyDescent="0.2">
      <c r="A6" s="126"/>
      <c r="B6" s="126"/>
      <c r="C6" t="s">
        <v>422</v>
      </c>
      <c r="E6" s="111">
        <f>E13*L14</f>
        <v>686268.00000000012</v>
      </c>
    </row>
    <row r="7" spans="1:25" x14ac:dyDescent="0.2">
      <c r="A7" s="126" t="s">
        <v>9</v>
      </c>
      <c r="B7" s="240">
        <f>E12</f>
        <v>1500000</v>
      </c>
      <c r="C7" s="122" t="s">
        <v>10</v>
      </c>
    </row>
    <row r="8" spans="1:25" x14ac:dyDescent="0.2">
      <c r="A8" s="126" t="s">
        <v>11</v>
      </c>
      <c r="B8" s="240">
        <f>E51*F51</f>
        <v>30000</v>
      </c>
    </row>
    <row r="9" spans="1:25" x14ac:dyDescent="0.2">
      <c r="A9" s="126" t="s">
        <v>18</v>
      </c>
      <c r="B9" s="240">
        <f>E6</f>
        <v>686268.00000000012</v>
      </c>
      <c r="D9" s="588" t="s">
        <v>12</v>
      </c>
      <c r="E9" s="588"/>
      <c r="F9" s="588"/>
      <c r="H9" s="71"/>
      <c r="I9" s="72"/>
      <c r="J9" s="72" t="s">
        <v>14</v>
      </c>
      <c r="K9" s="72" t="s">
        <v>15</v>
      </c>
      <c r="L9" s="72" t="s">
        <v>16</v>
      </c>
      <c r="M9" s="73" t="s">
        <v>17</v>
      </c>
    </row>
    <row r="10" spans="1:25" x14ac:dyDescent="0.2">
      <c r="A10" s="126"/>
      <c r="B10" s="240"/>
      <c r="D10" s="74" t="s">
        <v>28</v>
      </c>
      <c r="E10" s="77"/>
      <c r="F10" s="13"/>
      <c r="H10" s="12"/>
      <c r="I10" s="4" t="s">
        <v>21</v>
      </c>
      <c r="J10" s="69" t="s">
        <v>22</v>
      </c>
      <c r="K10" s="4">
        <f>VLOOKUP($J$10,$D$13:E48,2,FALSE)</f>
        <v>36</v>
      </c>
      <c r="L10" s="4">
        <f>K10*$E$14</f>
        <v>36</v>
      </c>
      <c r="M10" s="13">
        <f>L10*$E$13</f>
        <v>43200</v>
      </c>
      <c r="T10" s="195"/>
      <c r="U10" s="161"/>
      <c r="V10" s="161"/>
      <c r="W10" s="161"/>
      <c r="X10" s="161"/>
      <c r="Y10" s="162"/>
    </row>
    <row r="11" spans="1:25" x14ac:dyDescent="0.2">
      <c r="A11" s="126"/>
      <c r="B11" s="240">
        <f>SUM(B7:B9)</f>
        <v>2216268</v>
      </c>
      <c r="D11" s="63" t="s">
        <v>31</v>
      </c>
      <c r="E11" s="101">
        <v>1300000</v>
      </c>
      <c r="F11" s="13"/>
      <c r="H11" s="12" t="s">
        <v>24</v>
      </c>
      <c r="I11" s="19" t="s">
        <v>25</v>
      </c>
      <c r="J11" s="69" t="s">
        <v>26</v>
      </c>
      <c r="K11" s="4">
        <f>VLOOKUP($J$11,$D$14:E49,2,FALSE)</f>
        <v>44.52</v>
      </c>
      <c r="L11" s="4">
        <f>K11*$E$17</f>
        <v>89.04</v>
      </c>
      <c r="M11" s="13">
        <f>L11*$E$13</f>
        <v>106848.00000000001</v>
      </c>
      <c r="T11" s="93"/>
      <c r="Y11" s="94"/>
    </row>
    <row r="12" spans="1:25" x14ac:dyDescent="0.2">
      <c r="A12" s="126"/>
      <c r="B12" s="240"/>
      <c r="D12" s="63" t="s">
        <v>34</v>
      </c>
      <c r="E12" s="101">
        <v>1500000</v>
      </c>
      <c r="F12" s="13"/>
      <c r="H12" s="12"/>
      <c r="I12" s="20" t="s">
        <v>29</v>
      </c>
      <c r="J12" s="69" t="s">
        <v>30</v>
      </c>
      <c r="K12" s="4">
        <f>VLOOKUP($J$12,$D$15:E52,2,FALSE)</f>
        <v>187.20000000000002</v>
      </c>
      <c r="L12" s="4">
        <f>K12*$E$27</f>
        <v>374.40000000000003</v>
      </c>
      <c r="M12" s="13">
        <f>L12*$E$13</f>
        <v>449280.00000000006</v>
      </c>
      <c r="T12" s="93"/>
      <c r="U12" s="175"/>
      <c r="Y12" s="94"/>
    </row>
    <row r="13" spans="1:25" x14ac:dyDescent="0.2">
      <c r="A13" s="126" t="s">
        <v>23</v>
      </c>
      <c r="B13" s="246">
        <f>M15*0.02</f>
        <v>12861.360000000002</v>
      </c>
      <c r="D13" s="75" t="s">
        <v>18</v>
      </c>
      <c r="E13" s="76">
        <v>1200</v>
      </c>
      <c r="F13" s="13" t="s">
        <v>36</v>
      </c>
      <c r="H13" s="12"/>
      <c r="I13" s="70" t="s">
        <v>32</v>
      </c>
      <c r="J13" s="69" t="s">
        <v>33</v>
      </c>
      <c r="K13" s="4">
        <f>VLOOKUP($J$13,$D$10:E49,2,FALSE)</f>
        <v>24.150000000000002</v>
      </c>
      <c r="L13" s="4">
        <f>K13*$E$40</f>
        <v>72.45</v>
      </c>
      <c r="M13" s="13">
        <f>L13*$E$13</f>
        <v>86940</v>
      </c>
      <c r="T13" s="93"/>
      <c r="U13" s="176"/>
      <c r="Y13" s="94"/>
    </row>
    <row r="14" spans="1:25" x14ac:dyDescent="0.2">
      <c r="D14" s="65" t="s">
        <v>21</v>
      </c>
      <c r="E14" s="62">
        <v>1</v>
      </c>
      <c r="F14" s="13" t="s">
        <v>39</v>
      </c>
      <c r="H14" s="71" t="s">
        <v>35</v>
      </c>
      <c r="I14" s="72"/>
      <c r="J14" s="72"/>
      <c r="K14" s="72"/>
      <c r="L14" s="72">
        <f>SUM(L10:L13)</f>
        <v>571.8900000000001</v>
      </c>
      <c r="M14" s="73">
        <f>SUM(M10:M13)</f>
        <v>686268</v>
      </c>
      <c r="T14" s="93"/>
      <c r="U14" s="177"/>
      <c r="Y14" s="94"/>
    </row>
    <row r="15" spans="1:25" x14ac:dyDescent="0.2">
      <c r="D15" s="63" t="s">
        <v>40</v>
      </c>
      <c r="E15" s="101">
        <v>20</v>
      </c>
      <c r="F15" s="13"/>
      <c r="H15" s="90" t="s">
        <v>37</v>
      </c>
      <c r="I15" s="91"/>
      <c r="J15" s="91"/>
      <c r="K15" s="91"/>
      <c r="L15" s="91">
        <f>L14-L10</f>
        <v>535.8900000000001</v>
      </c>
      <c r="M15" s="92">
        <f>L15*E13</f>
        <v>643068.00000000012</v>
      </c>
      <c r="S15" s="195"/>
      <c r="T15" s="161"/>
      <c r="U15" s="161"/>
      <c r="V15" s="161"/>
      <c r="W15" s="161"/>
      <c r="X15" s="162"/>
    </row>
    <row r="16" spans="1:25" x14ac:dyDescent="0.2">
      <c r="D16" s="66" t="s">
        <v>22</v>
      </c>
      <c r="E16" s="102">
        <v>36</v>
      </c>
      <c r="F16" s="178"/>
    </row>
    <row r="17" spans="3:25" x14ac:dyDescent="0.2">
      <c r="D17" s="106" t="s">
        <v>25</v>
      </c>
      <c r="E17" s="105">
        <v>2</v>
      </c>
      <c r="F17" s="103" t="s">
        <v>39</v>
      </c>
      <c r="H17" t="s">
        <v>434</v>
      </c>
      <c r="I17">
        <f>SUMPRODUCT(I20:L20,I23:L23)</f>
        <v>0</v>
      </c>
      <c r="J17" t="s">
        <v>435</v>
      </c>
      <c r="T17" s="195"/>
      <c r="U17" s="161"/>
      <c r="V17" s="161"/>
      <c r="W17" s="161"/>
      <c r="X17" s="161"/>
      <c r="Y17" s="162"/>
    </row>
    <row r="18" spans="3:25" x14ac:dyDescent="0.2">
      <c r="D18" s="63" t="s">
        <v>44</v>
      </c>
      <c r="E18" s="64">
        <f>(1+E20)*E19</f>
        <v>43.2</v>
      </c>
      <c r="F18" s="103"/>
      <c r="T18" s="93"/>
      <c r="Y18" s="94"/>
    </row>
    <row r="19" spans="3:25" x14ac:dyDescent="0.2">
      <c r="D19" s="67" t="s">
        <v>45</v>
      </c>
      <c r="E19" s="13">
        <v>40</v>
      </c>
      <c r="F19" s="103"/>
      <c r="H19" s="141" t="s">
        <v>436</v>
      </c>
      <c r="I19" s="142">
        <v>1</v>
      </c>
      <c r="J19" s="142">
        <v>2</v>
      </c>
      <c r="K19" s="142">
        <v>3</v>
      </c>
      <c r="L19" s="143">
        <v>4</v>
      </c>
      <c r="N19" s="111"/>
      <c r="O19" s="111"/>
      <c r="T19" s="93"/>
      <c r="U19" s="175"/>
      <c r="Y19" s="94"/>
    </row>
    <row r="20" spans="3:25" x14ac:dyDescent="0.2">
      <c r="D20" s="67" t="s">
        <v>46</v>
      </c>
      <c r="E20" s="13">
        <v>0.08</v>
      </c>
      <c r="F20" s="103"/>
      <c r="H20" s="66">
        <v>2</v>
      </c>
      <c r="I20" s="91">
        <v>30</v>
      </c>
      <c r="J20" s="91">
        <v>0</v>
      </c>
      <c r="K20" s="91">
        <v>30</v>
      </c>
      <c r="L20" s="92">
        <v>40</v>
      </c>
      <c r="M20" s="175" t="s">
        <v>427</v>
      </c>
      <c r="T20" s="93"/>
      <c r="U20" s="176"/>
      <c r="Y20" s="94"/>
    </row>
    <row r="21" spans="3:25" x14ac:dyDescent="0.2">
      <c r="D21" s="63" t="s">
        <v>26</v>
      </c>
      <c r="E21" s="64">
        <f>(1+E23)*E22</f>
        <v>44.52</v>
      </c>
      <c r="F21" s="103"/>
      <c r="M21" s="176"/>
      <c r="T21" s="93"/>
      <c r="U21" s="177"/>
      <c r="Y21" s="94"/>
    </row>
    <row r="22" spans="3:25" x14ac:dyDescent="0.2">
      <c r="D22" s="67" t="s">
        <v>45</v>
      </c>
      <c r="E22" s="13">
        <v>42</v>
      </c>
      <c r="F22" s="103"/>
      <c r="H22" s="141" t="s">
        <v>429</v>
      </c>
      <c r="I22" s="142">
        <v>1</v>
      </c>
      <c r="J22" s="142">
        <v>2</v>
      </c>
      <c r="K22" s="142">
        <v>3</v>
      </c>
      <c r="L22" s="143">
        <v>4</v>
      </c>
      <c r="M22" s="177"/>
      <c r="T22" s="195"/>
      <c r="U22" s="161"/>
      <c r="V22" s="161"/>
      <c r="W22" s="161"/>
      <c r="X22" s="161"/>
      <c r="Y22" s="162"/>
    </row>
    <row r="23" spans="3:25" x14ac:dyDescent="0.2">
      <c r="D23" s="67" t="s">
        <v>46</v>
      </c>
      <c r="E23" s="13">
        <v>0.06</v>
      </c>
      <c r="F23" s="103"/>
      <c r="H23" s="90"/>
      <c r="I23" s="91">
        <f>E67</f>
        <v>0</v>
      </c>
      <c r="J23" s="91">
        <f>F67</f>
        <v>0</v>
      </c>
      <c r="K23" s="91">
        <f>G67</f>
        <v>0</v>
      </c>
      <c r="L23" s="92" t="str">
        <f>H67</f>
        <v>Operators</v>
      </c>
      <c r="N23" s="111"/>
      <c r="O23" s="111"/>
    </row>
    <row r="24" spans="3:25" x14ac:dyDescent="0.2">
      <c r="C24" s="17" t="s">
        <v>426</v>
      </c>
      <c r="D24" s="63" t="s">
        <v>51</v>
      </c>
      <c r="E24" s="64">
        <f>(1+E26)*E25</f>
        <v>56.1</v>
      </c>
      <c r="F24" s="103"/>
    </row>
    <row r="25" spans="3:25" x14ac:dyDescent="0.2">
      <c r="D25" s="67" t="s">
        <v>45</v>
      </c>
      <c r="E25" s="13">
        <v>55</v>
      </c>
      <c r="F25" s="103"/>
    </row>
    <row r="26" spans="3:25" x14ac:dyDescent="0.2">
      <c r="D26" s="68" t="s">
        <v>46</v>
      </c>
      <c r="E26" s="16">
        <v>0.02</v>
      </c>
      <c r="F26" s="103"/>
    </row>
    <row r="27" spans="3:25" x14ac:dyDescent="0.2">
      <c r="D27" s="104" t="s">
        <v>52</v>
      </c>
      <c r="E27" s="105">
        <v>2</v>
      </c>
      <c r="F27" s="103" t="s">
        <v>39</v>
      </c>
    </row>
    <row r="28" spans="3:25" x14ac:dyDescent="0.2">
      <c r="D28" s="63" t="s">
        <v>53</v>
      </c>
      <c r="E28" s="64">
        <f>(1+E30)*E29</f>
        <v>117.7</v>
      </c>
      <c r="F28" s="103"/>
    </row>
    <row r="29" spans="3:25" x14ac:dyDescent="0.2">
      <c r="D29" s="67" t="s">
        <v>45</v>
      </c>
      <c r="E29" s="13">
        <v>110</v>
      </c>
      <c r="F29" s="103"/>
    </row>
    <row r="30" spans="3:25" x14ac:dyDescent="0.2">
      <c r="D30" s="67" t="s">
        <v>46</v>
      </c>
      <c r="E30" s="13">
        <v>7.0000000000000007E-2</v>
      </c>
      <c r="F30" s="103"/>
    </row>
    <row r="31" spans="3:25" x14ac:dyDescent="0.2">
      <c r="D31" s="63" t="s">
        <v>54</v>
      </c>
      <c r="E31" s="64">
        <f>(1+E33)*E32</f>
        <v>186.29999999999998</v>
      </c>
      <c r="F31" s="103"/>
    </row>
    <row r="32" spans="3:25" x14ac:dyDescent="0.2">
      <c r="D32" s="67" t="s">
        <v>45</v>
      </c>
      <c r="E32" s="13">
        <v>162</v>
      </c>
      <c r="F32" s="103"/>
    </row>
    <row r="33" spans="1:6" x14ac:dyDescent="0.2">
      <c r="D33" s="67" t="s">
        <v>46</v>
      </c>
      <c r="E33" s="13">
        <v>0.15</v>
      </c>
      <c r="F33" s="103"/>
    </row>
    <row r="34" spans="1:6" x14ac:dyDescent="0.2">
      <c r="D34" s="63" t="s">
        <v>55</v>
      </c>
      <c r="E34" s="64">
        <f>(1+E36)*E35</f>
        <v>193.60000000000002</v>
      </c>
      <c r="F34" s="98"/>
    </row>
    <row r="35" spans="1:6" x14ac:dyDescent="0.2">
      <c r="A35" t="s">
        <v>428</v>
      </c>
      <c r="D35" s="67" t="s">
        <v>45</v>
      </c>
      <c r="E35" s="13">
        <v>176</v>
      </c>
      <c r="F35" s="13"/>
    </row>
    <row r="36" spans="1:6" x14ac:dyDescent="0.2">
      <c r="D36" s="67" t="s">
        <v>46</v>
      </c>
      <c r="E36" s="13">
        <v>0.1</v>
      </c>
      <c r="F36" s="13"/>
    </row>
    <row r="37" spans="1:6" x14ac:dyDescent="0.2">
      <c r="D37" s="63" t="s">
        <v>30</v>
      </c>
      <c r="E37" s="64">
        <f>(1+E39)*E38</f>
        <v>187.20000000000002</v>
      </c>
      <c r="F37" s="13"/>
    </row>
    <row r="38" spans="1:6" x14ac:dyDescent="0.2">
      <c r="D38" s="67" t="s">
        <v>45</v>
      </c>
      <c r="E38" s="13">
        <v>180</v>
      </c>
      <c r="F38" s="13"/>
    </row>
    <row r="39" spans="1:6" x14ac:dyDescent="0.2">
      <c r="D39" s="68" t="s">
        <v>46</v>
      </c>
      <c r="E39" s="16">
        <v>0.04</v>
      </c>
      <c r="F39" s="13"/>
    </row>
    <row r="40" spans="1:6" x14ac:dyDescent="0.2">
      <c r="D40" s="104" t="s">
        <v>56</v>
      </c>
      <c r="E40" s="105">
        <v>3</v>
      </c>
      <c r="F40" s="13" t="s">
        <v>39</v>
      </c>
    </row>
    <row r="41" spans="1:6" x14ac:dyDescent="0.2">
      <c r="D41" s="63" t="s">
        <v>57</v>
      </c>
      <c r="E41" s="64">
        <f>(1+E43)*E42</f>
        <v>21.599999999999998</v>
      </c>
      <c r="F41" s="13"/>
    </row>
    <row r="42" spans="1:6" x14ac:dyDescent="0.2">
      <c r="D42" s="67" t="s">
        <v>45</v>
      </c>
      <c r="E42" s="13">
        <v>18</v>
      </c>
      <c r="F42" s="13"/>
    </row>
    <row r="43" spans="1:6" x14ac:dyDescent="0.2">
      <c r="D43" s="67" t="s">
        <v>46</v>
      </c>
      <c r="E43" s="13">
        <v>0.2</v>
      </c>
      <c r="F43" s="13"/>
    </row>
    <row r="44" spans="1:6" x14ac:dyDescent="0.2">
      <c r="D44" s="63" t="s">
        <v>58</v>
      </c>
      <c r="E44" s="64">
        <f>(1+E46)*E45</f>
        <v>22</v>
      </c>
      <c r="F44" s="13"/>
    </row>
    <row r="45" spans="1:6" x14ac:dyDescent="0.2">
      <c r="D45" s="67" t="s">
        <v>45</v>
      </c>
      <c r="E45" s="13">
        <v>20</v>
      </c>
      <c r="F45" s="13"/>
    </row>
    <row r="46" spans="1:6" x14ac:dyDescent="0.2">
      <c r="D46" s="67" t="s">
        <v>46</v>
      </c>
      <c r="E46" s="13">
        <v>0.1</v>
      </c>
      <c r="F46" s="13"/>
    </row>
    <row r="47" spans="1:6" x14ac:dyDescent="0.2">
      <c r="D47" s="63" t="s">
        <v>33</v>
      </c>
      <c r="E47" s="64">
        <f>(1+E49)*E48</f>
        <v>24.150000000000002</v>
      </c>
      <c r="F47" s="13"/>
    </row>
    <row r="48" spans="1:6" x14ac:dyDescent="0.2">
      <c r="D48" s="67" t="s">
        <v>45</v>
      </c>
      <c r="E48" s="13">
        <v>23</v>
      </c>
      <c r="F48" s="13"/>
    </row>
    <row r="49" spans="1:9" x14ac:dyDescent="0.2">
      <c r="D49" s="68" t="s">
        <v>46</v>
      </c>
      <c r="E49" s="16">
        <v>0.05</v>
      </c>
      <c r="F49" s="16"/>
    </row>
    <row r="50" spans="1:9" x14ac:dyDescent="0.2">
      <c r="D50" s="1"/>
    </row>
    <row r="51" spans="1:9" x14ac:dyDescent="0.2">
      <c r="D51" s="244" t="s">
        <v>19</v>
      </c>
      <c r="E51" s="161">
        <v>15000</v>
      </c>
      <c r="F51" s="196">
        <v>2</v>
      </c>
    </row>
    <row r="53" spans="1:9" s="120" customFormat="1" x14ac:dyDescent="0.2"/>
    <row r="54" spans="1:9" x14ac:dyDescent="0.2">
      <c r="A54" s="126" t="s">
        <v>59</v>
      </c>
      <c r="B54" s="126"/>
    </row>
    <row r="55" spans="1:9" x14ac:dyDescent="0.2">
      <c r="A55" s="126" t="s">
        <v>70</v>
      </c>
      <c r="B55" s="126">
        <v>0</v>
      </c>
    </row>
    <row r="56" spans="1:9" x14ac:dyDescent="0.2">
      <c r="A56" s="126" t="s">
        <v>417</v>
      </c>
      <c r="B56" s="126">
        <v>0</v>
      </c>
      <c r="E56" s="122"/>
    </row>
    <row r="57" spans="1:9" x14ac:dyDescent="0.2">
      <c r="A57" s="126" t="s">
        <v>60</v>
      </c>
      <c r="B57" s="126">
        <v>0</v>
      </c>
      <c r="D57" s="126" t="s">
        <v>68</v>
      </c>
      <c r="E57" s="241">
        <v>0.04</v>
      </c>
    </row>
    <row r="58" spans="1:9" x14ac:dyDescent="0.2">
      <c r="A58" s="126" t="s">
        <v>437</v>
      </c>
      <c r="B58" s="126">
        <v>0</v>
      </c>
    </row>
    <row r="59" spans="1:9" x14ac:dyDescent="0.2">
      <c r="D59" s="141" t="s">
        <v>63</v>
      </c>
      <c r="E59" s="142">
        <v>1</v>
      </c>
      <c r="F59" s="142">
        <v>2</v>
      </c>
      <c r="G59" s="142">
        <v>3</v>
      </c>
      <c r="H59" s="142">
        <v>4</v>
      </c>
      <c r="I59" s="143" t="s">
        <v>64</v>
      </c>
    </row>
    <row r="60" spans="1:9" x14ac:dyDescent="0.2">
      <c r="D60" s="63" t="s">
        <v>73</v>
      </c>
      <c r="E60">
        <v>1</v>
      </c>
      <c r="F60">
        <v>2</v>
      </c>
      <c r="G60">
        <v>0</v>
      </c>
      <c r="H60">
        <v>3</v>
      </c>
      <c r="I60" s="94" t="s">
        <v>66</v>
      </c>
    </row>
    <row r="61" spans="1:9" x14ac:dyDescent="0.2">
      <c r="D61" s="66" t="s">
        <v>75</v>
      </c>
      <c r="E61" s="91">
        <f>E60</f>
        <v>1</v>
      </c>
      <c r="F61" s="91">
        <f>F60</f>
        <v>2</v>
      </c>
      <c r="G61" s="91">
        <f>G60</f>
        <v>0</v>
      </c>
      <c r="H61" s="91">
        <f>H60</f>
        <v>3</v>
      </c>
      <c r="I61" s="92">
        <f>SUM(E61:H61)</f>
        <v>6</v>
      </c>
    </row>
    <row r="62" spans="1:9" s="120" customFormat="1" x14ac:dyDescent="0.2"/>
    <row r="63" spans="1:9" x14ac:dyDescent="0.2">
      <c r="A63" s="126" t="s">
        <v>80</v>
      </c>
      <c r="B63" s="126"/>
      <c r="E63" t="s">
        <v>431</v>
      </c>
      <c r="F63" s="111">
        <f>K79</f>
        <v>343925</v>
      </c>
    </row>
    <row r="64" spans="1:9" ht="17" customHeight="1" x14ac:dyDescent="0.2">
      <c r="A64" s="126" t="s">
        <v>81</v>
      </c>
      <c r="B64" s="243">
        <f>I71</f>
        <v>267500</v>
      </c>
      <c r="C64" s="242"/>
    </row>
    <row r="65" spans="1:12" x14ac:dyDescent="0.2">
      <c r="A65" s="126" t="s">
        <v>87</v>
      </c>
      <c r="B65" s="240">
        <f>K76</f>
        <v>20000</v>
      </c>
      <c r="C65" s="111"/>
      <c r="H65" s="141" t="s">
        <v>82</v>
      </c>
      <c r="I65" s="142" t="s">
        <v>83</v>
      </c>
      <c r="J65" s="142" t="s">
        <v>84</v>
      </c>
      <c r="K65" s="142" t="s">
        <v>85</v>
      </c>
      <c r="L65" s="143" t="s">
        <v>86</v>
      </c>
    </row>
    <row r="66" spans="1:12" x14ac:dyDescent="0.2">
      <c r="A66" s="126" t="s">
        <v>89</v>
      </c>
      <c r="B66" s="240">
        <f>K77</f>
        <v>4000</v>
      </c>
      <c r="C66" s="111"/>
      <c r="D66" s="195" t="s">
        <v>82</v>
      </c>
      <c r="E66" s="196">
        <v>5000</v>
      </c>
      <c r="H66" s="93" t="s">
        <v>88</v>
      </c>
      <c r="I66" s="111">
        <f>$E$66*K66</f>
        <v>25000</v>
      </c>
      <c r="J66">
        <v>1</v>
      </c>
      <c r="K66">
        <v>5</v>
      </c>
      <c r="L66" s="94">
        <f>J66*K66</f>
        <v>5</v>
      </c>
    </row>
    <row r="67" spans="1:12" x14ac:dyDescent="0.2">
      <c r="A67" s="126" t="s">
        <v>92</v>
      </c>
      <c r="B67" s="240">
        <f>K78</f>
        <v>52425</v>
      </c>
      <c r="C67" s="111"/>
      <c r="H67" s="93" t="s">
        <v>91</v>
      </c>
      <c r="I67" s="111">
        <f>$E$66*K67</f>
        <v>5000</v>
      </c>
      <c r="J67">
        <v>35</v>
      </c>
      <c r="K67">
        <v>1</v>
      </c>
      <c r="L67" s="94">
        <f>J67*K67</f>
        <v>35</v>
      </c>
    </row>
    <row r="68" spans="1:12" x14ac:dyDescent="0.2">
      <c r="A68" s="126" t="s">
        <v>64</v>
      </c>
      <c r="B68" s="243">
        <f>SUM(B64:B67)</f>
        <v>343925</v>
      </c>
      <c r="C68" s="242"/>
      <c r="D68" s="87"/>
      <c r="E68" s="88" t="s">
        <v>432</v>
      </c>
      <c r="F68" s="89" t="s">
        <v>102</v>
      </c>
      <c r="H68" s="93" t="s">
        <v>94</v>
      </c>
      <c r="I68" s="111">
        <f>$E$66*K68</f>
        <v>12500</v>
      </c>
      <c r="J68">
        <v>3</v>
      </c>
      <c r="K68">
        <v>2.5</v>
      </c>
      <c r="L68" s="94">
        <f>J68*K68</f>
        <v>7.5</v>
      </c>
    </row>
    <row r="69" spans="1:12" x14ac:dyDescent="0.2">
      <c r="D69" s="93" t="s">
        <v>93</v>
      </c>
      <c r="E69">
        <v>10000</v>
      </c>
      <c r="F69" s="194">
        <v>2</v>
      </c>
      <c r="H69" s="93" t="s">
        <v>96</v>
      </c>
      <c r="I69" s="111">
        <f>$E$66*K69</f>
        <v>5000</v>
      </c>
      <c r="J69">
        <f>I61</f>
        <v>6</v>
      </c>
      <c r="K69">
        <v>1</v>
      </c>
      <c r="L69" s="94">
        <f>J69*K69</f>
        <v>6</v>
      </c>
    </row>
    <row r="70" spans="1:12" x14ac:dyDescent="0.2">
      <c r="D70" s="90" t="s">
        <v>97</v>
      </c>
      <c r="E70" s="91">
        <v>2000</v>
      </c>
      <c r="F70" s="76">
        <v>2</v>
      </c>
      <c r="H70" s="93" t="s">
        <v>64</v>
      </c>
      <c r="I70" t="s">
        <v>66</v>
      </c>
      <c r="J70">
        <f>SUM(J66:J69)</f>
        <v>45</v>
      </c>
      <c r="K70" t="s">
        <v>66</v>
      </c>
      <c r="L70" s="94">
        <f>SUM(L66:L69)</f>
        <v>53.5</v>
      </c>
    </row>
    <row r="71" spans="1:12" x14ac:dyDescent="0.2">
      <c r="H71" s="90" t="s">
        <v>99</v>
      </c>
      <c r="I71" s="191">
        <f>L70*E66</f>
        <v>267500</v>
      </c>
      <c r="J71" s="91"/>
      <c r="K71" s="91"/>
      <c r="L71" s="92"/>
    </row>
    <row r="72" spans="1:12" x14ac:dyDescent="0.2">
      <c r="D72" s="141" t="s">
        <v>101</v>
      </c>
      <c r="E72" s="143"/>
    </row>
    <row r="73" spans="1:12" x14ac:dyDescent="0.2">
      <c r="D73" s="63" t="s">
        <v>104</v>
      </c>
      <c r="E73" s="192">
        <v>165</v>
      </c>
      <c r="H73" s="141" t="s">
        <v>100</v>
      </c>
      <c r="I73" s="142"/>
      <c r="J73" s="142"/>
      <c r="K73" s="143"/>
    </row>
    <row r="74" spans="1:12" x14ac:dyDescent="0.2">
      <c r="D74" s="63" t="s">
        <v>106</v>
      </c>
      <c r="E74" s="192">
        <v>175</v>
      </c>
      <c r="H74" s="93"/>
      <c r="I74" t="s">
        <v>102</v>
      </c>
      <c r="J74" t="s">
        <v>103</v>
      </c>
      <c r="K74" s="94" t="s">
        <v>64</v>
      </c>
    </row>
    <row r="75" spans="1:12" x14ac:dyDescent="0.2">
      <c r="D75" s="63" t="s">
        <v>107</v>
      </c>
      <c r="E75" s="197">
        <v>400</v>
      </c>
      <c r="H75" s="93" t="s">
        <v>105</v>
      </c>
      <c r="I75" s="111">
        <f>E66</f>
        <v>5000</v>
      </c>
      <c r="J75">
        <f>L70</f>
        <v>53.5</v>
      </c>
      <c r="K75" s="192">
        <f>I75*J75</f>
        <v>267500</v>
      </c>
    </row>
    <row r="76" spans="1:12" x14ac:dyDescent="0.2">
      <c r="D76" s="63" t="s">
        <v>108</v>
      </c>
      <c r="E76" s="197">
        <v>280</v>
      </c>
      <c r="H76" s="93" t="s">
        <v>93</v>
      </c>
      <c r="I76" s="111">
        <f>E69</f>
        <v>10000</v>
      </c>
      <c r="J76">
        <f>F69</f>
        <v>2</v>
      </c>
      <c r="K76" s="192">
        <f>E69*J76</f>
        <v>20000</v>
      </c>
    </row>
    <row r="77" spans="1:12" x14ac:dyDescent="0.2">
      <c r="D77" s="63" t="s">
        <v>110</v>
      </c>
      <c r="E77" s="197">
        <v>350</v>
      </c>
      <c r="H77" s="93" t="s">
        <v>97</v>
      </c>
      <c r="I77" s="111">
        <f>E70</f>
        <v>2000</v>
      </c>
      <c r="J77">
        <f>F70</f>
        <v>2</v>
      </c>
      <c r="K77" s="192">
        <f>E70*J77</f>
        <v>4000</v>
      </c>
    </row>
    <row r="78" spans="1:12" x14ac:dyDescent="0.2">
      <c r="D78" s="63" t="s">
        <v>111</v>
      </c>
      <c r="E78" s="197">
        <v>135</v>
      </c>
      <c r="H78" s="93" t="s">
        <v>109</v>
      </c>
      <c r="I78" s="111">
        <f>SUM(E75:E78)</f>
        <v>1165</v>
      </c>
      <c r="J78">
        <f>J70</f>
        <v>45</v>
      </c>
      <c r="K78" s="192">
        <f>I78*J78</f>
        <v>52425</v>
      </c>
    </row>
    <row r="79" spans="1:12" x14ac:dyDescent="0.2">
      <c r="D79" s="66" t="s">
        <v>112</v>
      </c>
      <c r="E79" s="193">
        <v>290</v>
      </c>
      <c r="H79" s="90"/>
      <c r="I79" s="91"/>
      <c r="J79" s="91"/>
      <c r="K79" s="193">
        <f>SUM(K75:K78)</f>
        <v>343925</v>
      </c>
    </row>
    <row r="81" spans="1:21" s="120" customFormat="1" x14ac:dyDescent="0.2"/>
    <row r="82" spans="1:21" x14ac:dyDescent="0.2">
      <c r="A82" s="126" t="s">
        <v>113</v>
      </c>
      <c r="B82" s="126"/>
    </row>
    <row r="83" spans="1:21" x14ac:dyDescent="0.2">
      <c r="A83" t="s">
        <v>117</v>
      </c>
      <c r="B83" s="126">
        <f>40000</f>
        <v>40000</v>
      </c>
      <c r="K83" s="134"/>
      <c r="L83" s="134"/>
      <c r="M83" s="134"/>
      <c r="N83" s="134"/>
      <c r="S83" s="134"/>
      <c r="T83" s="134"/>
      <c r="U83" s="134"/>
    </row>
    <row r="84" spans="1:21" x14ac:dyDescent="0.2">
      <c r="K84" s="134"/>
      <c r="L84" s="134"/>
      <c r="M84" s="134"/>
      <c r="N84" s="134"/>
    </row>
    <row r="85" spans="1:21" x14ac:dyDescent="0.2">
      <c r="K85" s="134"/>
      <c r="L85" s="134"/>
      <c r="M85" s="134"/>
    </row>
    <row r="89" spans="1:21" x14ac:dyDescent="0.2">
      <c r="A89" t="s">
        <v>119</v>
      </c>
    </row>
    <row r="90" spans="1:21" x14ac:dyDescent="0.2">
      <c r="A90" t="s">
        <v>60</v>
      </c>
      <c r="B90" s="127">
        <f>IFERROR(VLOOKUP(A90,$A$5:$B$88,2,FALSE),0)</f>
        <v>0</v>
      </c>
    </row>
    <row r="91" spans="1:21" x14ac:dyDescent="0.2">
      <c r="A91" t="s">
        <v>120</v>
      </c>
      <c r="B91" s="127">
        <f>IFERROR(VLOOKUP(A91,$A$5:$B$88,2,FALSE),0)</f>
        <v>0</v>
      </c>
    </row>
    <row r="92" spans="1:21" x14ac:dyDescent="0.2">
      <c r="A92" t="s">
        <v>123</v>
      </c>
      <c r="B92" s="127">
        <f>B90-B91</f>
        <v>0</v>
      </c>
    </row>
    <row r="93" spans="1:21" x14ac:dyDescent="0.2">
      <c r="A93" t="s">
        <v>125</v>
      </c>
      <c r="B93" s="127"/>
    </row>
    <row r="94" spans="1:21" x14ac:dyDescent="0.2">
      <c r="A94" s="122" t="s">
        <v>27</v>
      </c>
      <c r="B94" s="245">
        <v>280000</v>
      </c>
    </row>
    <row r="95" spans="1:21" x14ac:dyDescent="0.2">
      <c r="A95" t="s">
        <v>81</v>
      </c>
      <c r="B95" s="127">
        <f t="shared" ref="B95:B108" si="0">IFERROR(VLOOKUP(A95,$A$5:$B$88,2,FALSE),0)</f>
        <v>267500</v>
      </c>
    </row>
    <row r="96" spans="1:21" x14ac:dyDescent="0.2">
      <c r="A96" t="s">
        <v>87</v>
      </c>
      <c r="B96" s="127">
        <f t="shared" si="0"/>
        <v>20000</v>
      </c>
    </row>
    <row r="97" spans="1:2" x14ac:dyDescent="0.2">
      <c r="A97" t="s">
        <v>92</v>
      </c>
      <c r="B97" s="127">
        <f t="shared" si="0"/>
        <v>52425</v>
      </c>
    </row>
    <row r="98" spans="1:2" x14ac:dyDescent="0.2">
      <c r="A98" t="s">
        <v>89</v>
      </c>
      <c r="B98" s="127">
        <f t="shared" si="0"/>
        <v>4000</v>
      </c>
    </row>
    <row r="99" spans="1:2" x14ac:dyDescent="0.2">
      <c r="A99" t="s">
        <v>131</v>
      </c>
      <c r="B99" s="127">
        <f t="shared" si="0"/>
        <v>0</v>
      </c>
    </row>
    <row r="100" spans="1:2" x14ac:dyDescent="0.2">
      <c r="A100" t="s">
        <v>11</v>
      </c>
      <c r="B100" s="127">
        <f t="shared" si="0"/>
        <v>30000</v>
      </c>
    </row>
    <row r="101" spans="1:2" x14ac:dyDescent="0.2">
      <c r="A101" t="s">
        <v>61</v>
      </c>
      <c r="B101" s="127">
        <f t="shared" si="0"/>
        <v>0</v>
      </c>
    </row>
    <row r="102" spans="1:2" x14ac:dyDescent="0.2">
      <c r="A102" t="s">
        <v>23</v>
      </c>
      <c r="B102" s="127">
        <f t="shared" si="0"/>
        <v>12861.360000000002</v>
      </c>
    </row>
    <row r="103" spans="1:2" x14ac:dyDescent="0.2">
      <c r="A103" t="s">
        <v>117</v>
      </c>
      <c r="B103" s="127">
        <f t="shared" si="0"/>
        <v>40000</v>
      </c>
    </row>
    <row r="104" spans="1:2" x14ac:dyDescent="0.2">
      <c r="A104" t="s">
        <v>137</v>
      </c>
      <c r="B104" s="127">
        <f t="shared" si="0"/>
        <v>0</v>
      </c>
    </row>
    <row r="105" spans="1:2" x14ac:dyDescent="0.2">
      <c r="A105" t="s">
        <v>139</v>
      </c>
      <c r="B105" s="127">
        <f t="shared" si="0"/>
        <v>0</v>
      </c>
    </row>
    <row r="106" spans="1:2" x14ac:dyDescent="0.2">
      <c r="A106" t="s">
        <v>140</v>
      </c>
      <c r="B106" s="127">
        <f t="shared" si="0"/>
        <v>0</v>
      </c>
    </row>
    <row r="107" spans="1:2" x14ac:dyDescent="0.2">
      <c r="A107" t="s">
        <v>141</v>
      </c>
      <c r="B107" s="127">
        <f t="shared" si="0"/>
        <v>0</v>
      </c>
    </row>
    <row r="108" spans="1:2" x14ac:dyDescent="0.2">
      <c r="A108" t="s">
        <v>142</v>
      </c>
      <c r="B108" s="127">
        <f t="shared" si="0"/>
        <v>0</v>
      </c>
    </row>
    <row r="109" spans="1:2" x14ac:dyDescent="0.2">
      <c r="A109" t="s">
        <v>143</v>
      </c>
      <c r="B109" s="127">
        <f>SUM(B94:B108)</f>
        <v>706786.36</v>
      </c>
    </row>
    <row r="110" spans="1:2" x14ac:dyDescent="0.2">
      <c r="A110" t="s">
        <v>125</v>
      </c>
    </row>
    <row r="111" spans="1:2" x14ac:dyDescent="0.2">
      <c r="A111" t="s">
        <v>144</v>
      </c>
      <c r="B111">
        <v>0</v>
      </c>
    </row>
    <row r="112" spans="1:2" x14ac:dyDescent="0.2">
      <c r="A112" t="s">
        <v>145</v>
      </c>
      <c r="B112">
        <v>0</v>
      </c>
    </row>
    <row r="113" spans="1:4" x14ac:dyDescent="0.2">
      <c r="A113" t="s">
        <v>125</v>
      </c>
    </row>
    <row r="114" spans="1:4" x14ac:dyDescent="0.2">
      <c r="A114" t="s">
        <v>146</v>
      </c>
      <c r="B114" s="127">
        <f>B92-B109</f>
        <v>-706786.36</v>
      </c>
    </row>
    <row r="115" spans="1:4" x14ac:dyDescent="0.2">
      <c r="A115" t="s">
        <v>147</v>
      </c>
      <c r="B115">
        <v>0</v>
      </c>
    </row>
    <row r="116" spans="1:4" x14ac:dyDescent="0.2">
      <c r="A116" t="s">
        <v>148</v>
      </c>
      <c r="B116" s="127">
        <f>B114-B115</f>
        <v>-706786.36</v>
      </c>
    </row>
    <row r="117" spans="1:4" x14ac:dyDescent="0.2">
      <c r="A117" t="s">
        <v>119</v>
      </c>
    </row>
    <row r="118" spans="1:4" x14ac:dyDescent="0.2">
      <c r="A118" t="s">
        <v>149</v>
      </c>
      <c r="B118">
        <v>0</v>
      </c>
    </row>
    <row r="119" spans="1:4" x14ac:dyDescent="0.2">
      <c r="A119" t="s">
        <v>148</v>
      </c>
      <c r="B119" s="127">
        <f>B116+B118</f>
        <v>-706786.36</v>
      </c>
    </row>
    <row r="120" spans="1:4" x14ac:dyDescent="0.2">
      <c r="A120" t="s">
        <v>150</v>
      </c>
      <c r="B120">
        <v>0</v>
      </c>
    </row>
    <row r="121" spans="1:4" x14ac:dyDescent="0.2">
      <c r="A121" t="s">
        <v>151</v>
      </c>
      <c r="B121" s="127">
        <f>B119+B120</f>
        <v>-706786.36</v>
      </c>
    </row>
    <row r="123" spans="1:4" x14ac:dyDescent="0.2">
      <c r="B123" s="127"/>
      <c r="C123" s="111"/>
      <c r="D123" s="239"/>
    </row>
  </sheetData>
  <mergeCells count="1">
    <mergeCell ref="D9:F9"/>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3FECCB0D-C500-4E41-9F7B-3210EEAC037E}">
          <x14:formula1>
            <xm:f>Reference!$B$1:$B$4</xm:f>
          </x14:formula1>
          <xm:sqref>V12 V19 J11</xm:sqref>
        </x14:dataValidation>
        <x14:dataValidation type="list" allowBlank="1" showInputMessage="1" showErrorMessage="1" xr:uid="{CCC4DA36-2B06-F84C-8DC6-EB654A09F775}">
          <x14:formula1>
            <xm:f>Reference!$D$1:$D$4</xm:f>
          </x14:formula1>
          <xm:sqref>V14 V21 J13</xm:sqref>
        </x14:dataValidation>
        <x14:dataValidation type="list" allowBlank="1" showInputMessage="1" showErrorMessage="1" xr:uid="{FFD7963B-B5EA-FC47-AD3B-006D743514AD}">
          <x14:formula1>
            <xm:f>Reference!$A$1:$A$3</xm:f>
          </x14:formula1>
          <xm:sqref>V11 V18 J10</xm:sqref>
        </x14:dataValidation>
        <x14:dataValidation type="list" allowBlank="1" showInputMessage="1" showErrorMessage="1" xr:uid="{1995A6B9-E2BB-F542-B27F-205D5A837717}">
          <x14:formula1>
            <xm:f>Reference!$C$1:$C$5</xm:f>
          </x14:formula1>
          <xm:sqref>V13 V20 J12</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88D9C-B1CF-D84F-9413-B1A03D9C1278}">
  <sheetPr codeName="Sheet31">
    <tabColor theme="2" tint="-9.9978637043366805E-2"/>
  </sheetPr>
  <dimension ref="A2:L31"/>
  <sheetViews>
    <sheetView zoomScale="150" workbookViewId="0">
      <selection activeCell="I17" sqref="I17"/>
    </sheetView>
  </sheetViews>
  <sheetFormatPr baseColWidth="10" defaultColWidth="10.83203125" defaultRowHeight="16" x14ac:dyDescent="0.2"/>
  <cols>
    <col min="1" max="1" width="10.83203125" style="4"/>
    <col min="2" max="2" width="19.5" style="5" bestFit="1" customWidth="1"/>
    <col min="3" max="3" width="10.83203125" style="6"/>
    <col min="4" max="4" width="10.83203125" style="4"/>
    <col min="5" max="5" width="12.33203125" style="4" bestFit="1" customWidth="1"/>
    <col min="6" max="7" width="10.83203125" style="4"/>
    <col min="8" max="8" width="16" style="4" bestFit="1" customWidth="1"/>
    <col min="9" max="10" width="10.83203125" style="4"/>
    <col min="11" max="11" width="17.1640625" style="4" bestFit="1" customWidth="1"/>
    <col min="12" max="16384" width="10.83203125" style="4"/>
  </cols>
  <sheetData>
    <row r="2" spans="2:12" x14ac:dyDescent="0.2">
      <c r="B2" s="5" t="s">
        <v>438</v>
      </c>
      <c r="C2" s="6">
        <v>3200000</v>
      </c>
      <c r="H2" s="4" t="s">
        <v>439</v>
      </c>
    </row>
    <row r="3" spans="2:12" x14ac:dyDescent="0.2">
      <c r="B3" s="5" t="s">
        <v>440</v>
      </c>
      <c r="C3" s="2">
        <v>100</v>
      </c>
    </row>
    <row r="4" spans="2:12" x14ac:dyDescent="0.2">
      <c r="B4" s="5" t="s">
        <v>441</v>
      </c>
      <c r="C4" s="6">
        <f>L8</f>
        <v>39689</v>
      </c>
      <c r="G4" s="9"/>
      <c r="H4" s="10"/>
      <c r="I4" s="10" t="s">
        <v>14</v>
      </c>
      <c r="J4" s="10" t="s">
        <v>129</v>
      </c>
      <c r="K4" s="10" t="s">
        <v>16</v>
      </c>
      <c r="L4" s="11" t="s">
        <v>17</v>
      </c>
    </row>
    <row r="5" spans="2:12" x14ac:dyDescent="0.2">
      <c r="G5" s="12" t="s">
        <v>24</v>
      </c>
      <c r="H5" s="19" t="s">
        <v>25</v>
      </c>
      <c r="I5" s="17" t="s">
        <v>442</v>
      </c>
      <c r="J5" s="4">
        <f>VLOOKUP(I5,C9:D25,2,FALSE)</f>
        <v>44.52</v>
      </c>
      <c r="K5" s="4">
        <f>J5*D8</f>
        <v>89.04</v>
      </c>
      <c r="L5" s="13">
        <f>K5*$C$3</f>
        <v>8904</v>
      </c>
    </row>
    <row r="6" spans="2:12" x14ac:dyDescent="0.2">
      <c r="G6" s="12"/>
      <c r="H6" s="20" t="s">
        <v>29</v>
      </c>
      <c r="I6" s="17" t="s">
        <v>443</v>
      </c>
      <c r="J6" s="4">
        <f>VLOOKUP(I6,C10:D26,2,FALSE)</f>
        <v>117.7</v>
      </c>
      <c r="K6" s="4">
        <f>J6*D15</f>
        <v>235.4</v>
      </c>
      <c r="L6" s="13">
        <f t="shared" ref="L6:L7" si="0">K6*$C$3</f>
        <v>23540</v>
      </c>
    </row>
    <row r="7" spans="2:12" ht="17" thickBot="1" x14ac:dyDescent="0.25">
      <c r="B7" s="5" t="s">
        <v>444</v>
      </c>
      <c r="G7" s="14"/>
      <c r="H7" s="21" t="s">
        <v>32</v>
      </c>
      <c r="I7" s="18" t="s">
        <v>33</v>
      </c>
      <c r="J7" s="15">
        <f>VLOOKUP(I7,C11:D27,2,FALSE)</f>
        <v>24.150000000000002</v>
      </c>
      <c r="K7" s="15">
        <f>J7*D22</f>
        <v>72.45</v>
      </c>
      <c r="L7" s="16">
        <f t="shared" si="0"/>
        <v>7245</v>
      </c>
    </row>
    <row r="8" spans="2:12" ht="17" thickBot="1" x14ac:dyDescent="0.25">
      <c r="B8" s="22" t="s">
        <v>25</v>
      </c>
      <c r="C8" s="23">
        <f>C3*D8</f>
        <v>200</v>
      </c>
      <c r="D8" s="30">
        <v>2</v>
      </c>
      <c r="E8" s="31" t="s">
        <v>445</v>
      </c>
      <c r="K8" s="4">
        <f>SUM(K5:K7)</f>
        <v>396.89</v>
      </c>
      <c r="L8" s="4">
        <f>SUM(L5:L7)</f>
        <v>39689</v>
      </c>
    </row>
    <row r="9" spans="2:12" x14ac:dyDescent="0.2">
      <c r="B9" s="22" t="s">
        <v>446</v>
      </c>
      <c r="C9" s="32" t="s">
        <v>447</v>
      </c>
      <c r="D9" s="33">
        <f xml:space="preserve"> (1+D11)*D10</f>
        <v>43.2</v>
      </c>
      <c r="E9" s="25"/>
      <c r="K9" s="4">
        <f>K8+36</f>
        <v>432.89</v>
      </c>
    </row>
    <row r="10" spans="2:12" x14ac:dyDescent="0.2">
      <c r="B10" s="24"/>
      <c r="C10" s="6" t="s">
        <v>448</v>
      </c>
      <c r="D10" s="25">
        <v>40</v>
      </c>
      <c r="E10" s="25"/>
    </row>
    <row r="11" spans="2:12" ht="17" thickBot="1" x14ac:dyDescent="0.25">
      <c r="B11" s="24"/>
      <c r="C11" s="6" t="s">
        <v>449</v>
      </c>
      <c r="D11" s="35">
        <v>0.08</v>
      </c>
      <c r="E11" s="25"/>
    </row>
    <row r="12" spans="2:12" x14ac:dyDescent="0.2">
      <c r="B12" s="22" t="s">
        <v>450</v>
      </c>
      <c r="C12" s="32" t="s">
        <v>442</v>
      </c>
      <c r="D12" s="33">
        <f xml:space="preserve"> (1+D14)*D13</f>
        <v>44.52</v>
      </c>
      <c r="E12" s="25"/>
      <c r="I12" s="4">
        <v>0.8</v>
      </c>
      <c r="J12" s="4">
        <v>0.91</v>
      </c>
    </row>
    <row r="13" spans="2:12" x14ac:dyDescent="0.2">
      <c r="B13" s="24"/>
      <c r="C13" s="6" t="s">
        <v>448</v>
      </c>
      <c r="D13" s="25">
        <v>42</v>
      </c>
      <c r="E13" s="25"/>
      <c r="G13" s="19"/>
      <c r="H13" s="4">
        <f>I13/$J$12</f>
        <v>1181.5384615384617</v>
      </c>
      <c r="I13" s="4">
        <f>J13*$I$12</f>
        <v>1075.2</v>
      </c>
      <c r="J13" s="4">
        <v>1344</v>
      </c>
    </row>
    <row r="14" spans="2:12" ht="17" thickBot="1" x14ac:dyDescent="0.25">
      <c r="B14" s="26"/>
      <c r="C14" s="27" t="s">
        <v>449</v>
      </c>
      <c r="D14" s="34">
        <v>0.06</v>
      </c>
      <c r="E14" s="28"/>
      <c r="G14" s="20"/>
      <c r="H14" s="4">
        <f t="shared" ref="H14:H16" si="1">I14/$J$12</f>
        <v>801.75824175824175</v>
      </c>
      <c r="I14" s="4">
        <f t="shared" ref="I14:I16" si="2">J14*$I$12</f>
        <v>729.6</v>
      </c>
      <c r="J14" s="4">
        <v>912</v>
      </c>
    </row>
    <row r="15" spans="2:12" ht="17" thickBot="1" x14ac:dyDescent="0.25">
      <c r="B15" s="24" t="s">
        <v>451</v>
      </c>
      <c r="C15" s="8">
        <f>C3*D15</f>
        <v>200</v>
      </c>
      <c r="D15" s="6">
        <v>2</v>
      </c>
      <c r="E15" s="25" t="s">
        <v>445</v>
      </c>
      <c r="G15" s="21"/>
      <c r="H15" s="4">
        <f t="shared" si="1"/>
        <v>886.15384615384619</v>
      </c>
      <c r="I15" s="4">
        <f t="shared" si="2"/>
        <v>806.40000000000009</v>
      </c>
      <c r="J15" s="4">
        <v>1008</v>
      </c>
    </row>
    <row r="16" spans="2:12" x14ac:dyDescent="0.2">
      <c r="B16" s="22" t="s">
        <v>452</v>
      </c>
      <c r="C16" s="32" t="s">
        <v>30</v>
      </c>
      <c r="D16" s="33">
        <f>(1+D18)*D17</f>
        <v>187.20000000000002</v>
      </c>
      <c r="E16" s="25"/>
      <c r="H16" s="4">
        <f t="shared" si="1"/>
        <v>1350.3296703296705</v>
      </c>
      <c r="I16" s="4">
        <f t="shared" si="2"/>
        <v>1228.8000000000002</v>
      </c>
      <c r="J16" s="4">
        <v>1536</v>
      </c>
    </row>
    <row r="17" spans="1:10" x14ac:dyDescent="0.2">
      <c r="B17" s="24"/>
      <c r="C17" s="6" t="s">
        <v>453</v>
      </c>
      <c r="D17" s="25">
        <v>180</v>
      </c>
      <c r="E17" s="25"/>
      <c r="H17" s="4">
        <f t="shared" ref="H17:I17" si="3">SUM(H13:H16)</f>
        <v>4219.7802197802202</v>
      </c>
      <c r="I17" s="4">
        <f t="shared" si="3"/>
        <v>3840.0000000000005</v>
      </c>
      <c r="J17" s="4">
        <f>SUM(J13:J16)</f>
        <v>4800</v>
      </c>
    </row>
    <row r="18" spans="1:10" ht="17" thickBot="1" x14ac:dyDescent="0.25">
      <c r="B18" s="24"/>
      <c r="C18" s="6" t="s">
        <v>449</v>
      </c>
      <c r="D18" s="35">
        <v>0.04</v>
      </c>
      <c r="E18" s="25"/>
    </row>
    <row r="19" spans="1:10" x14ac:dyDescent="0.2">
      <c r="B19" s="22" t="s">
        <v>450</v>
      </c>
      <c r="C19" s="32" t="s">
        <v>443</v>
      </c>
      <c r="D19" s="33">
        <f>(1+D21)*D20</f>
        <v>117.7</v>
      </c>
      <c r="E19" s="25"/>
      <c r="H19" s="4">
        <f>1200*0.88</f>
        <v>1056</v>
      </c>
    </row>
    <row r="20" spans="1:10" x14ac:dyDescent="0.2">
      <c r="B20" s="24"/>
      <c r="C20" s="6" t="s">
        <v>453</v>
      </c>
      <c r="D20" s="25">
        <v>110</v>
      </c>
      <c r="E20" s="25"/>
      <c r="H20" s="4">
        <f>H19-650</f>
        <v>406</v>
      </c>
    </row>
    <row r="21" spans="1:10" ht="17" thickBot="1" x14ac:dyDescent="0.25">
      <c r="B21" s="26"/>
      <c r="C21" s="27" t="s">
        <v>449</v>
      </c>
      <c r="D21" s="34">
        <v>7.0000000000000007E-2</v>
      </c>
      <c r="E21" s="28"/>
      <c r="H21" s="37"/>
    </row>
    <row r="22" spans="1:10" ht="17" thickBot="1" x14ac:dyDescent="0.25">
      <c r="B22" s="24" t="s">
        <v>454</v>
      </c>
      <c r="C22" s="8">
        <f>D22*C3</f>
        <v>300</v>
      </c>
      <c r="D22" s="7">
        <v>3</v>
      </c>
      <c r="E22" s="29" t="s">
        <v>445</v>
      </c>
    </row>
    <row r="23" spans="1:10" x14ac:dyDescent="0.2">
      <c r="B23" s="22"/>
      <c r="C23" s="32" t="s">
        <v>33</v>
      </c>
      <c r="D23" s="33">
        <f>(1+D25)*D24</f>
        <v>24.150000000000002</v>
      </c>
      <c r="E23" s="25"/>
      <c r="H23" s="4">
        <v>1499</v>
      </c>
      <c r="I23" s="4">
        <v>1399</v>
      </c>
    </row>
    <row r="24" spans="1:10" x14ac:dyDescent="0.2">
      <c r="B24" s="24"/>
      <c r="C24" s="6" t="s">
        <v>448</v>
      </c>
      <c r="D24" s="25">
        <v>23</v>
      </c>
      <c r="E24" s="25"/>
      <c r="H24" s="4">
        <v>650</v>
      </c>
      <c r="I24" s="4">
        <v>306</v>
      </c>
    </row>
    <row r="25" spans="1:10" ht="17" thickBot="1" x14ac:dyDescent="0.25">
      <c r="B25" s="26"/>
      <c r="C25" s="27" t="s">
        <v>455</v>
      </c>
      <c r="D25" s="34">
        <v>0.05</v>
      </c>
      <c r="E25" s="28"/>
      <c r="H25" s="4">
        <f>SUMPRODUCT(H23:I23,H24:I24)</f>
        <v>1402444</v>
      </c>
    </row>
    <row r="29" spans="1:10" x14ac:dyDescent="0.2">
      <c r="B29" s="5" t="s">
        <v>456</v>
      </c>
    </row>
    <row r="31" spans="1:10" x14ac:dyDescent="0.2">
      <c r="A31" s="4" t="s">
        <v>457</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B95902D6-96FF-D540-9009-102737A9A0E2}">
          <x14:formula1>
            <xm:f>Reference!$B$1:$B$3</xm:f>
          </x14:formula1>
          <xm:sqref>I5</xm:sqref>
        </x14:dataValidation>
        <x14:dataValidation type="list" allowBlank="1" showInputMessage="1" showErrorMessage="1" xr:uid="{D4638939-1602-6B46-AA08-0EF89BF29783}">
          <x14:formula1>
            <xm:f>Reference!$D$1:$D$2</xm:f>
          </x14:formula1>
          <xm:sqref>I7</xm:sqref>
        </x14:dataValidation>
        <x14:dataValidation type="list" allowBlank="1" showInputMessage="1" showErrorMessage="1" xr:uid="{637BE209-F18F-B647-95B3-8E921A9A3BF9}">
          <x14:formula1>
            <xm:f>Reference!$C$1:$C$2</xm:f>
          </x14:formula1>
          <xm:sqref>I6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F14D7-1327-E547-B031-BE7646482D0F}">
  <sheetPr codeName="Sheet9">
    <tabColor theme="2"/>
  </sheetPr>
  <dimension ref="B3:S67"/>
  <sheetViews>
    <sheetView zoomScale="125" workbookViewId="0">
      <selection activeCell="J28" sqref="J28"/>
    </sheetView>
  </sheetViews>
  <sheetFormatPr baseColWidth="10" defaultColWidth="11" defaultRowHeight="16" x14ac:dyDescent="0.2"/>
  <cols>
    <col min="3" max="3" width="15.83203125" customWidth="1"/>
  </cols>
  <sheetData>
    <row r="3" spans="2:19" x14ac:dyDescent="0.2">
      <c r="B3" t="s">
        <v>458</v>
      </c>
    </row>
    <row r="4" spans="2:19" x14ac:dyDescent="0.2">
      <c r="B4" t="s">
        <v>459</v>
      </c>
    </row>
    <row r="5" spans="2:19" x14ac:dyDescent="0.2">
      <c r="B5" t="s">
        <v>460</v>
      </c>
    </row>
    <row r="6" spans="2:19" x14ac:dyDescent="0.2">
      <c r="B6" t="s">
        <v>461</v>
      </c>
    </row>
    <row r="7" spans="2:19" x14ac:dyDescent="0.2">
      <c r="B7" t="s">
        <v>462</v>
      </c>
    </row>
    <row r="9" spans="2:19" x14ac:dyDescent="0.2">
      <c r="B9" t="s">
        <v>463</v>
      </c>
    </row>
    <row r="11" spans="2:19" x14ac:dyDescent="0.2">
      <c r="N11" s="87" t="s">
        <v>464</v>
      </c>
      <c r="O11" s="89"/>
    </row>
    <row r="12" spans="2:19" x14ac:dyDescent="0.2">
      <c r="B12" t="s">
        <v>465</v>
      </c>
      <c r="N12" s="93" t="s">
        <v>466</v>
      </c>
      <c r="O12" s="94"/>
    </row>
    <row r="13" spans="2:19" x14ac:dyDescent="0.2">
      <c r="B13" t="s">
        <v>467</v>
      </c>
      <c r="N13" s="90" t="s">
        <v>468</v>
      </c>
      <c r="O13" s="92"/>
    </row>
    <row r="14" spans="2:19" x14ac:dyDescent="0.2">
      <c r="B14" t="s">
        <v>469</v>
      </c>
    </row>
    <row r="15" spans="2:19" x14ac:dyDescent="0.2">
      <c r="B15" t="s">
        <v>470</v>
      </c>
      <c r="H15" s="269"/>
      <c r="N15" s="87" t="s">
        <v>471</v>
      </c>
      <c r="O15" s="88"/>
      <c r="P15" s="88"/>
      <c r="Q15" s="88" t="s">
        <v>472</v>
      </c>
      <c r="R15" s="88"/>
      <c r="S15" s="89"/>
    </row>
    <row r="16" spans="2:19" x14ac:dyDescent="0.2">
      <c r="B16" s="81" t="s">
        <v>473</v>
      </c>
      <c r="C16" s="83"/>
      <c r="N16" s="93" t="s">
        <v>474</v>
      </c>
      <c r="Q16" t="s">
        <v>38</v>
      </c>
      <c r="S16" s="94"/>
    </row>
    <row r="17" spans="2:19" x14ac:dyDescent="0.2">
      <c r="B17" s="12" t="s">
        <v>26</v>
      </c>
      <c r="C17" s="13"/>
      <c r="N17" s="93" t="s">
        <v>475</v>
      </c>
      <c r="Q17" t="s">
        <v>476</v>
      </c>
      <c r="S17" s="94"/>
    </row>
    <row r="18" spans="2:19" x14ac:dyDescent="0.2">
      <c r="B18" s="12" t="s">
        <v>477</v>
      </c>
      <c r="C18" s="13"/>
      <c r="N18" s="93" t="s">
        <v>478</v>
      </c>
      <c r="Q18" t="s">
        <v>479</v>
      </c>
      <c r="S18" s="94"/>
    </row>
    <row r="19" spans="2:19" x14ac:dyDescent="0.2">
      <c r="B19" s="12" t="s">
        <v>480</v>
      </c>
      <c r="C19" s="13"/>
      <c r="N19" s="93" t="s">
        <v>481</v>
      </c>
      <c r="S19" s="94"/>
    </row>
    <row r="20" spans="2:19" x14ac:dyDescent="0.2">
      <c r="B20" s="81" t="s">
        <v>482</v>
      </c>
      <c r="C20" s="83"/>
      <c r="N20" s="90" t="s">
        <v>483</v>
      </c>
      <c r="O20" s="91"/>
      <c r="P20" s="91"/>
      <c r="Q20" s="91"/>
      <c r="R20" s="91"/>
      <c r="S20" s="92"/>
    </row>
    <row r="21" spans="2:19" x14ac:dyDescent="0.2">
      <c r="B21" s="12" t="s">
        <v>53</v>
      </c>
      <c r="C21" s="13"/>
    </row>
    <row r="22" spans="2:19" x14ac:dyDescent="0.2">
      <c r="B22" s="12" t="s">
        <v>54</v>
      </c>
      <c r="C22" s="13"/>
      <c r="N22" s="87" t="s">
        <v>484</v>
      </c>
      <c r="O22" s="88"/>
      <c r="P22" s="88"/>
      <c r="Q22" s="88" t="s">
        <v>472</v>
      </c>
      <c r="R22" s="88"/>
      <c r="S22" s="89"/>
    </row>
    <row r="23" spans="2:19" x14ac:dyDescent="0.2">
      <c r="B23" s="12" t="s">
        <v>55</v>
      </c>
      <c r="C23" s="13"/>
      <c r="N23" s="93" t="s">
        <v>485</v>
      </c>
      <c r="Q23" t="s">
        <v>486</v>
      </c>
      <c r="S23" s="94"/>
    </row>
    <row r="24" spans="2:19" x14ac:dyDescent="0.2">
      <c r="B24" s="12" t="s">
        <v>30</v>
      </c>
      <c r="C24" s="13"/>
      <c r="N24" s="93" t="s">
        <v>132</v>
      </c>
      <c r="Q24" t="s">
        <v>487</v>
      </c>
      <c r="S24" s="94"/>
    </row>
    <row r="25" spans="2:19" x14ac:dyDescent="0.2">
      <c r="B25" s="81" t="s">
        <v>488</v>
      </c>
      <c r="C25" s="83"/>
      <c r="N25" s="93" t="s">
        <v>489</v>
      </c>
      <c r="S25" s="94"/>
    </row>
    <row r="26" spans="2:19" x14ac:dyDescent="0.2">
      <c r="B26" s="12" t="s">
        <v>57</v>
      </c>
      <c r="C26" s="13"/>
      <c r="G26" s="175"/>
      <c r="N26" s="93" t="s">
        <v>490</v>
      </c>
      <c r="S26" s="94"/>
    </row>
    <row r="27" spans="2:19" x14ac:dyDescent="0.2">
      <c r="B27" s="12" t="s">
        <v>58</v>
      </c>
      <c r="C27" s="13"/>
      <c r="G27" s="176"/>
      <c r="N27" s="90" t="s">
        <v>491</v>
      </c>
      <c r="O27" s="91"/>
      <c r="P27" s="91"/>
      <c r="Q27" s="91"/>
      <c r="R27" s="91"/>
      <c r="S27" s="92"/>
    </row>
    <row r="28" spans="2:19" x14ac:dyDescent="0.2">
      <c r="B28" s="14" t="s">
        <v>33</v>
      </c>
      <c r="C28" s="16"/>
      <c r="G28" s="177"/>
    </row>
    <row r="29" spans="2:19" x14ac:dyDescent="0.2">
      <c r="B29" s="12" t="s">
        <v>492</v>
      </c>
      <c r="N29" s="87" t="s">
        <v>493</v>
      </c>
      <c r="O29" s="89"/>
    </row>
    <row r="30" spans="2:19" x14ac:dyDescent="0.2">
      <c r="N30" s="93" t="s">
        <v>494</v>
      </c>
      <c r="O30" s="94"/>
    </row>
    <row r="31" spans="2:19" x14ac:dyDescent="0.2">
      <c r="B31" t="s">
        <v>495</v>
      </c>
      <c r="N31" s="93" t="s">
        <v>496</v>
      </c>
      <c r="O31" s="94"/>
    </row>
    <row r="32" spans="2:19" x14ac:dyDescent="0.2">
      <c r="B32" t="s">
        <v>497</v>
      </c>
      <c r="N32" s="90" t="s">
        <v>498</v>
      </c>
      <c r="O32" s="92"/>
    </row>
    <row r="33" spans="2:15" x14ac:dyDescent="0.2">
      <c r="B33" t="s">
        <v>499</v>
      </c>
    </row>
    <row r="34" spans="2:15" x14ac:dyDescent="0.2">
      <c r="N34" s="87" t="s">
        <v>500</v>
      </c>
      <c r="O34" s="89"/>
    </row>
    <row r="35" spans="2:15" x14ac:dyDescent="0.2">
      <c r="B35" t="s">
        <v>501</v>
      </c>
      <c r="N35" s="93" t="s">
        <v>502</v>
      </c>
      <c r="O35" s="94"/>
    </row>
    <row r="36" spans="2:15" x14ac:dyDescent="0.2">
      <c r="B36" t="s">
        <v>503</v>
      </c>
      <c r="N36" s="90" t="s">
        <v>504</v>
      </c>
      <c r="O36" s="92"/>
    </row>
    <row r="37" spans="2:15" x14ac:dyDescent="0.2">
      <c r="B37" t="s">
        <v>505</v>
      </c>
    </row>
    <row r="39" spans="2:15" x14ac:dyDescent="0.2">
      <c r="B39" t="s">
        <v>506</v>
      </c>
      <c r="N39" s="87" t="s">
        <v>507</v>
      </c>
      <c r="O39" s="89"/>
    </row>
    <row r="40" spans="2:15" x14ac:dyDescent="0.2">
      <c r="B40" t="s">
        <v>508</v>
      </c>
      <c r="N40" s="93" t="s">
        <v>509</v>
      </c>
      <c r="O40" s="94"/>
    </row>
    <row r="41" spans="2:15" x14ac:dyDescent="0.2">
      <c r="N41" s="93" t="s">
        <v>510</v>
      </c>
      <c r="O41" s="94"/>
    </row>
    <row r="42" spans="2:15" x14ac:dyDescent="0.2">
      <c r="B42" t="s">
        <v>511</v>
      </c>
      <c r="N42" s="93" t="s">
        <v>173</v>
      </c>
      <c r="O42" s="94"/>
    </row>
    <row r="43" spans="2:15" x14ac:dyDescent="0.2">
      <c r="B43" t="s">
        <v>512</v>
      </c>
      <c r="N43" s="93" t="s">
        <v>513</v>
      </c>
      <c r="O43" s="94"/>
    </row>
    <row r="44" spans="2:15" x14ac:dyDescent="0.2">
      <c r="B44" t="s">
        <v>514</v>
      </c>
      <c r="N44" s="93" t="s">
        <v>515</v>
      </c>
      <c r="O44" s="94"/>
    </row>
    <row r="45" spans="2:15" x14ac:dyDescent="0.2">
      <c r="B45" t="s">
        <v>516</v>
      </c>
      <c r="N45" s="90" t="s">
        <v>517</v>
      </c>
      <c r="O45" s="92"/>
    </row>
    <row r="47" spans="2:15" x14ac:dyDescent="0.2">
      <c r="B47" t="s">
        <v>518</v>
      </c>
    </row>
    <row r="48" spans="2:15" x14ac:dyDescent="0.2">
      <c r="B48" t="s">
        <v>519</v>
      </c>
    </row>
    <row r="50" spans="2:3" x14ac:dyDescent="0.2">
      <c r="B50" t="s">
        <v>520</v>
      </c>
    </row>
    <row r="51" spans="2:3" x14ac:dyDescent="0.2">
      <c r="B51" t="s">
        <v>508</v>
      </c>
    </row>
    <row r="52" spans="2:3" x14ac:dyDescent="0.2">
      <c r="B52" t="s">
        <v>521</v>
      </c>
    </row>
    <row r="53" spans="2:3" x14ac:dyDescent="0.2">
      <c r="B53" t="s">
        <v>522</v>
      </c>
    </row>
    <row r="54" spans="2:3" x14ac:dyDescent="0.2">
      <c r="B54" t="s">
        <v>523</v>
      </c>
    </row>
    <row r="55" spans="2:3" x14ac:dyDescent="0.2">
      <c r="B55" t="s">
        <v>524</v>
      </c>
    </row>
    <row r="57" spans="2:3" x14ac:dyDescent="0.2">
      <c r="B57" t="s">
        <v>525</v>
      </c>
    </row>
    <row r="58" spans="2:3" x14ac:dyDescent="0.2">
      <c r="B58" t="s">
        <v>526</v>
      </c>
    </row>
    <row r="60" spans="2:3" x14ac:dyDescent="0.2">
      <c r="B60" s="195" t="s">
        <v>527</v>
      </c>
      <c r="C60" s="162"/>
    </row>
    <row r="61" spans="2:3" x14ac:dyDescent="0.2">
      <c r="B61" s="63" t="s">
        <v>104</v>
      </c>
      <c r="C61" s="192">
        <v>165</v>
      </c>
    </row>
    <row r="62" spans="2:3" x14ac:dyDescent="0.2">
      <c r="B62" s="63" t="s">
        <v>106</v>
      </c>
      <c r="C62" s="192">
        <v>175</v>
      </c>
    </row>
    <row r="63" spans="2:3" x14ac:dyDescent="0.2">
      <c r="B63" s="63" t="s">
        <v>107</v>
      </c>
      <c r="C63" s="197">
        <v>400</v>
      </c>
    </row>
    <row r="64" spans="2:3" x14ac:dyDescent="0.2">
      <c r="B64" s="63" t="s">
        <v>108</v>
      </c>
      <c r="C64" s="197">
        <v>280</v>
      </c>
    </row>
    <row r="65" spans="2:3" x14ac:dyDescent="0.2">
      <c r="B65" s="63" t="s">
        <v>110</v>
      </c>
      <c r="C65" s="197">
        <v>350</v>
      </c>
    </row>
    <row r="66" spans="2:3" x14ac:dyDescent="0.2">
      <c r="B66" s="63" t="s">
        <v>111</v>
      </c>
      <c r="C66" s="197">
        <v>135</v>
      </c>
    </row>
    <row r="67" spans="2:3" x14ac:dyDescent="0.2">
      <c r="B67" s="66" t="s">
        <v>112</v>
      </c>
      <c r="C67" s="193">
        <v>290</v>
      </c>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CEC66-562A-B84E-AD9C-986A4167C7B2}">
  <sheetPr codeName="Sheet12">
    <tabColor theme="2"/>
  </sheetPr>
  <dimension ref="B3:K32"/>
  <sheetViews>
    <sheetView zoomScale="137" workbookViewId="0">
      <selection activeCell="J28" sqref="J28"/>
    </sheetView>
  </sheetViews>
  <sheetFormatPr baseColWidth="10" defaultColWidth="11" defaultRowHeight="16" x14ac:dyDescent="0.2"/>
  <cols>
    <col min="3" max="3" width="15.83203125" customWidth="1"/>
  </cols>
  <sheetData>
    <row r="3" spans="2:11" x14ac:dyDescent="0.2">
      <c r="B3" t="s">
        <v>458</v>
      </c>
    </row>
    <row r="4" spans="2:11" x14ac:dyDescent="0.2">
      <c r="B4" t="s">
        <v>459</v>
      </c>
    </row>
    <row r="5" spans="2:11" x14ac:dyDescent="0.2">
      <c r="B5" t="s">
        <v>460</v>
      </c>
    </row>
    <row r="6" spans="2:11" x14ac:dyDescent="0.2">
      <c r="B6" t="s">
        <v>461</v>
      </c>
    </row>
    <row r="7" spans="2:11" x14ac:dyDescent="0.2">
      <c r="B7" t="s">
        <v>462</v>
      </c>
    </row>
    <row r="9" spans="2:11" x14ac:dyDescent="0.2">
      <c r="B9" t="s">
        <v>463</v>
      </c>
    </row>
    <row r="12" spans="2:11" x14ac:dyDescent="0.2">
      <c r="B12" t="s">
        <v>465</v>
      </c>
    </row>
    <row r="13" spans="2:11" x14ac:dyDescent="0.2">
      <c r="B13" t="s">
        <v>467</v>
      </c>
    </row>
    <row r="14" spans="2:11" x14ac:dyDescent="0.2">
      <c r="B14" t="s">
        <v>469</v>
      </c>
    </row>
    <row r="15" spans="2:11" ht="20" x14ac:dyDescent="0.2">
      <c r="B15" t="s">
        <v>470</v>
      </c>
      <c r="H15" s="269"/>
      <c r="K15" s="274"/>
    </row>
    <row r="16" spans="2:11" x14ac:dyDescent="0.2">
      <c r="B16" s="81" t="s">
        <v>473</v>
      </c>
      <c r="C16" s="83"/>
    </row>
    <row r="17" spans="2:7" x14ac:dyDescent="0.2">
      <c r="B17" s="12" t="s">
        <v>26</v>
      </c>
      <c r="C17" s="13"/>
    </row>
    <row r="18" spans="2:7" x14ac:dyDescent="0.2">
      <c r="B18" s="12" t="s">
        <v>477</v>
      </c>
      <c r="C18" s="13"/>
    </row>
    <row r="19" spans="2:7" x14ac:dyDescent="0.2">
      <c r="B19" s="12" t="s">
        <v>480</v>
      </c>
      <c r="C19" s="13"/>
    </row>
    <row r="20" spans="2:7" x14ac:dyDescent="0.2">
      <c r="B20" s="81" t="s">
        <v>482</v>
      </c>
      <c r="C20" s="83"/>
    </row>
    <row r="21" spans="2:7" x14ac:dyDescent="0.2">
      <c r="B21" s="12" t="s">
        <v>53</v>
      </c>
      <c r="C21" s="13"/>
    </row>
    <row r="22" spans="2:7" x14ac:dyDescent="0.2">
      <c r="B22" s="12" t="s">
        <v>54</v>
      </c>
      <c r="C22" s="13"/>
    </row>
    <row r="23" spans="2:7" x14ac:dyDescent="0.2">
      <c r="B23" s="12" t="s">
        <v>55</v>
      </c>
      <c r="C23" s="13"/>
    </row>
    <row r="24" spans="2:7" x14ac:dyDescent="0.2">
      <c r="B24" s="12" t="s">
        <v>30</v>
      </c>
      <c r="C24" s="13"/>
    </row>
    <row r="25" spans="2:7" x14ac:dyDescent="0.2">
      <c r="B25" s="81" t="s">
        <v>488</v>
      </c>
      <c r="C25" s="83"/>
    </row>
    <row r="26" spans="2:7" x14ac:dyDescent="0.2">
      <c r="B26" s="12" t="s">
        <v>57</v>
      </c>
      <c r="C26" s="13"/>
      <c r="G26" s="175"/>
    </row>
    <row r="27" spans="2:7" x14ac:dyDescent="0.2">
      <c r="B27" s="12" t="s">
        <v>58</v>
      </c>
      <c r="C27" s="13"/>
      <c r="G27" s="176"/>
    </row>
    <row r="28" spans="2:7" x14ac:dyDescent="0.2">
      <c r="B28" s="14" t="s">
        <v>33</v>
      </c>
      <c r="C28" s="16"/>
      <c r="G28" s="177"/>
    </row>
    <row r="29" spans="2:7" x14ac:dyDescent="0.2">
      <c r="B29" s="12" t="s">
        <v>492</v>
      </c>
    </row>
    <row r="31" spans="2:7" x14ac:dyDescent="0.2">
      <c r="B31" s="4" t="s">
        <v>495</v>
      </c>
    </row>
    <row r="32" spans="2:7" x14ac:dyDescent="0.2">
      <c r="B32" s="4" t="s">
        <v>497</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7F86245F-0A58-2143-83F9-F618D1AE3C41}">
          <x14:formula1>
            <xm:f>Reference!$C$1:$C$5</xm:f>
          </x14:formula1>
          <xm:sqref>H27</xm:sqref>
        </x14:dataValidation>
        <x14:dataValidation type="list" allowBlank="1" showInputMessage="1" showErrorMessage="1" xr:uid="{2A342528-CF4B-B145-9B38-570E019C758F}">
          <x14:formula1>
            <xm:f>Reference!$A$1:$A$3</xm:f>
          </x14:formula1>
          <xm:sqref>H25</xm:sqref>
        </x14:dataValidation>
        <x14:dataValidation type="list" allowBlank="1" showInputMessage="1" showErrorMessage="1" xr:uid="{43A4933F-9F43-2244-B77D-AFDA96A7CCD3}">
          <x14:formula1>
            <xm:f>Reference!$D$1:$D$4</xm:f>
          </x14:formula1>
          <xm:sqref>H28</xm:sqref>
        </x14:dataValidation>
        <x14:dataValidation type="list" allowBlank="1" showInputMessage="1" showErrorMessage="1" xr:uid="{24A8B8A6-5F9F-5849-AE48-F9BC38D4801E}">
          <x14:formula1>
            <xm:f>Reference!$B$1:$B$4</xm:f>
          </x14:formula1>
          <xm:sqref>H26</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6F646-A226-0647-979F-A88690ED80FD}">
  <sheetPr codeName="Sheet27">
    <tabColor theme="2"/>
  </sheetPr>
  <dimension ref="A1:Y191"/>
  <sheetViews>
    <sheetView topLeftCell="A83" workbookViewId="0">
      <selection activeCell="J28" sqref="J28"/>
    </sheetView>
  </sheetViews>
  <sheetFormatPr baseColWidth="10" defaultColWidth="11" defaultRowHeight="16" x14ac:dyDescent="0.2"/>
  <cols>
    <col min="2" max="2" width="23.1640625" customWidth="1"/>
    <col min="3" max="3" width="12.6640625" customWidth="1"/>
    <col min="4" max="4" width="15" bestFit="1" customWidth="1"/>
    <col min="5" max="5" width="15.33203125" bestFit="1" customWidth="1"/>
    <col min="6" max="6" width="13.6640625" bestFit="1" customWidth="1"/>
    <col min="7" max="7" width="15.1640625" customWidth="1"/>
    <col min="8" max="8" width="14.6640625" bestFit="1" customWidth="1"/>
    <col min="11" max="11" width="22" customWidth="1"/>
    <col min="12" max="12" width="14" bestFit="1" customWidth="1"/>
    <col min="13" max="13" width="22.33203125" customWidth="1"/>
    <col min="14" max="14" width="22" customWidth="1"/>
    <col min="15" max="15" width="21.5" customWidth="1"/>
    <col min="16" max="16" width="16.5" customWidth="1"/>
    <col min="17" max="17" width="18.5" customWidth="1"/>
    <col min="18" max="18" width="13.5" customWidth="1"/>
    <col min="19" max="19" width="22.5" customWidth="1"/>
    <col min="20" max="20" width="22.1640625" customWidth="1"/>
    <col min="21" max="21" width="14.6640625" customWidth="1"/>
    <col min="22" max="22" width="22" customWidth="1"/>
    <col min="23" max="23" width="21.33203125" customWidth="1"/>
  </cols>
  <sheetData>
    <row r="1" spans="2:12" x14ac:dyDescent="0.2">
      <c r="B1" t="s">
        <v>528</v>
      </c>
      <c r="D1" t="s">
        <v>529</v>
      </c>
      <c r="F1" t="s">
        <v>530</v>
      </c>
      <c r="H1" t="s">
        <v>531</v>
      </c>
      <c r="I1" t="s">
        <v>532</v>
      </c>
      <c r="K1" t="s">
        <v>533</v>
      </c>
      <c r="L1" t="s">
        <v>534</v>
      </c>
    </row>
    <row r="2" spans="2:12" x14ac:dyDescent="0.2">
      <c r="D2" t="s">
        <v>535</v>
      </c>
      <c r="H2" t="s">
        <v>536</v>
      </c>
      <c r="I2" t="s">
        <v>537</v>
      </c>
    </row>
    <row r="3" spans="2:12" x14ac:dyDescent="0.2">
      <c r="D3" t="s">
        <v>538</v>
      </c>
      <c r="F3" s="132"/>
    </row>
    <row r="4" spans="2:12" x14ac:dyDescent="0.2">
      <c r="D4" t="s">
        <v>539</v>
      </c>
    </row>
    <row r="5" spans="2:12" x14ac:dyDescent="0.2">
      <c r="D5" t="s">
        <v>540</v>
      </c>
      <c r="E5" s="122" t="s">
        <v>541</v>
      </c>
    </row>
    <row r="6" spans="2:12" x14ac:dyDescent="0.2">
      <c r="D6" s="122"/>
      <c r="E6" s="122"/>
    </row>
    <row r="7" spans="2:12" x14ac:dyDescent="0.2">
      <c r="D7" s="122" t="s">
        <v>289</v>
      </c>
      <c r="E7" s="122" t="s">
        <v>542</v>
      </c>
      <c r="F7" t="s">
        <v>543</v>
      </c>
    </row>
    <row r="8" spans="2:12" x14ac:dyDescent="0.2">
      <c r="D8" s="122"/>
      <c r="E8" s="122"/>
    </row>
    <row r="9" spans="2:12" x14ac:dyDescent="0.2">
      <c r="B9" t="s">
        <v>544</v>
      </c>
      <c r="D9" s="122"/>
      <c r="E9" s="122"/>
    </row>
    <row r="10" spans="2:12" x14ac:dyDescent="0.2">
      <c r="D10" s="122" t="s">
        <v>545</v>
      </c>
      <c r="E10" s="122"/>
    </row>
    <row r="11" spans="2:12" x14ac:dyDescent="0.2">
      <c r="D11" s="122"/>
      <c r="E11" s="122"/>
    </row>
    <row r="12" spans="2:12" x14ac:dyDescent="0.2">
      <c r="D12" s="122"/>
      <c r="E12" s="122"/>
    </row>
    <row r="13" spans="2:12" x14ac:dyDescent="0.2">
      <c r="D13" s="122"/>
      <c r="E13" s="122"/>
    </row>
    <row r="14" spans="2:12" x14ac:dyDescent="0.2">
      <c r="D14" s="122"/>
      <c r="E14" s="122"/>
    </row>
    <row r="15" spans="2:12" s="120" customFormat="1" x14ac:dyDescent="0.2">
      <c r="C15" s="123"/>
      <c r="D15" s="123"/>
    </row>
    <row r="16" spans="2:12" x14ac:dyDescent="0.2">
      <c r="B16" s="69" t="s">
        <v>24</v>
      </c>
    </row>
    <row r="17" spans="2:20" x14ac:dyDescent="0.2">
      <c r="B17" s="99" t="s">
        <v>6</v>
      </c>
    </row>
    <row r="18" spans="2:20" ht="17" thickBot="1" x14ac:dyDescent="0.25"/>
    <row r="19" spans="2:20" x14ac:dyDescent="0.2">
      <c r="E19" s="58"/>
      <c r="J19" s="107"/>
      <c r="K19" s="108"/>
      <c r="L19" s="108"/>
      <c r="M19" s="108"/>
      <c r="N19" s="108"/>
      <c r="O19" s="108"/>
      <c r="P19" s="108"/>
      <c r="Q19" s="108"/>
      <c r="R19" s="108"/>
      <c r="S19" s="108"/>
      <c r="T19" s="109"/>
    </row>
    <row r="20" spans="2:20" x14ac:dyDescent="0.2">
      <c r="E20" s="1"/>
      <c r="J20" s="128"/>
      <c r="K20" t="s">
        <v>546</v>
      </c>
      <c r="T20" s="114"/>
    </row>
    <row r="21" spans="2:20" x14ac:dyDescent="0.2">
      <c r="E21" s="1"/>
      <c r="J21" s="128"/>
      <c r="T21" s="114"/>
    </row>
    <row r="22" spans="2:20" x14ac:dyDescent="0.2">
      <c r="E22" s="1"/>
      <c r="J22" s="128"/>
      <c r="K22" t="s">
        <v>547</v>
      </c>
      <c r="T22" s="114"/>
    </row>
    <row r="23" spans="2:20" x14ac:dyDescent="0.2">
      <c r="E23" s="4"/>
      <c r="J23" s="128"/>
      <c r="K23" s="87"/>
      <c r="L23" s="88"/>
      <c r="M23" s="88" t="s">
        <v>548</v>
      </c>
      <c r="N23" s="88" t="s">
        <v>284</v>
      </c>
      <c r="O23" s="88" t="s">
        <v>549</v>
      </c>
      <c r="P23" s="88" t="s">
        <v>38</v>
      </c>
      <c r="Q23" s="88" t="s">
        <v>292</v>
      </c>
      <c r="R23" s="88" t="s">
        <v>550</v>
      </c>
      <c r="S23" s="89"/>
      <c r="T23" s="114"/>
    </row>
    <row r="24" spans="2:20" x14ac:dyDescent="0.2">
      <c r="C24" s="78" t="s">
        <v>551</v>
      </c>
      <c r="D24" s="79"/>
      <c r="E24" s="80"/>
      <c r="J24" s="128"/>
      <c r="K24" s="93" t="s">
        <v>552</v>
      </c>
      <c r="L24">
        <v>0</v>
      </c>
      <c r="M24">
        <v>0</v>
      </c>
      <c r="S24" s="94"/>
      <c r="T24" s="114"/>
    </row>
    <row r="25" spans="2:20" x14ac:dyDescent="0.2">
      <c r="C25" s="81" t="s">
        <v>553</v>
      </c>
      <c r="D25" s="82"/>
      <c r="E25" s="83"/>
      <c r="F25" t="s">
        <v>554</v>
      </c>
      <c r="J25" s="128"/>
      <c r="K25" s="93" t="s">
        <v>258</v>
      </c>
      <c r="L25">
        <v>1</v>
      </c>
      <c r="M25">
        <v>0</v>
      </c>
      <c r="N25">
        <v>1200</v>
      </c>
      <c r="O25">
        <v>0</v>
      </c>
      <c r="Q25">
        <v>0</v>
      </c>
      <c r="S25" s="94"/>
      <c r="T25" s="114"/>
    </row>
    <row r="26" spans="2:20" x14ac:dyDescent="0.2">
      <c r="B26" t="s">
        <v>555</v>
      </c>
      <c r="C26" s="81" t="s">
        <v>433</v>
      </c>
      <c r="D26" s="82" t="s">
        <v>556</v>
      </c>
      <c r="E26" s="83" t="s">
        <v>445</v>
      </c>
      <c r="J26" s="128"/>
      <c r="K26" s="93" t="s">
        <v>257</v>
      </c>
      <c r="L26">
        <v>2</v>
      </c>
      <c r="M26">
        <v>0</v>
      </c>
      <c r="N26">
        <v>1200</v>
      </c>
      <c r="O26">
        <v>1128</v>
      </c>
      <c r="P26">
        <f>O26/N25</f>
        <v>0.94</v>
      </c>
      <c r="Q26">
        <v>544</v>
      </c>
      <c r="R26">
        <f>O26-Q26</f>
        <v>584</v>
      </c>
      <c r="S26" s="94"/>
      <c r="T26" s="114"/>
    </row>
    <row r="27" spans="2:20" x14ac:dyDescent="0.2">
      <c r="C27" s="12" t="s">
        <v>25</v>
      </c>
      <c r="D27" s="148">
        <v>2544</v>
      </c>
      <c r="E27" s="149">
        <f>D27/D46</f>
        <v>1272</v>
      </c>
      <c r="J27" s="128"/>
      <c r="K27" s="90" t="s">
        <v>265</v>
      </c>
      <c r="L27" s="91">
        <v>3</v>
      </c>
      <c r="M27" s="91">
        <f>O26-Q26</f>
        <v>584</v>
      </c>
      <c r="N27" s="95"/>
      <c r="O27" s="100">
        <f>P27*N26</f>
        <v>1128</v>
      </c>
      <c r="P27" s="100">
        <v>0.94</v>
      </c>
      <c r="Q27" s="100"/>
      <c r="R27" s="91">
        <f>M27+O27-Q27</f>
        <v>1712</v>
      </c>
      <c r="S27" s="92"/>
      <c r="T27" s="114"/>
    </row>
    <row r="28" spans="2:20" x14ac:dyDescent="0.2">
      <c r="C28" s="12" t="s">
        <v>52</v>
      </c>
      <c r="D28" s="148">
        <v>2544</v>
      </c>
      <c r="E28" s="149">
        <f>D28/D56</f>
        <v>1272</v>
      </c>
      <c r="J28" s="128"/>
      <c r="T28" s="114"/>
    </row>
    <row r="29" spans="2:20" x14ac:dyDescent="0.2">
      <c r="C29" s="14" t="s">
        <v>557</v>
      </c>
      <c r="D29" s="150">
        <v>3816</v>
      </c>
      <c r="E29" s="151">
        <f>D29/D69</f>
        <v>1272</v>
      </c>
      <c r="J29" s="128"/>
      <c r="K29" t="s">
        <v>257</v>
      </c>
      <c r="L29" s="122" t="s">
        <v>120</v>
      </c>
      <c r="M29" t="s">
        <v>510</v>
      </c>
      <c r="T29" s="114"/>
    </row>
    <row r="30" spans="2:20" ht="17" thickBot="1" x14ac:dyDescent="0.25">
      <c r="C30" s="81" t="s">
        <v>288</v>
      </c>
      <c r="D30" s="82"/>
      <c r="E30" s="83"/>
      <c r="J30" s="117"/>
      <c r="K30" s="129"/>
      <c r="L30" s="129">
        <v>423285.9</v>
      </c>
      <c r="M30" s="129"/>
      <c r="N30" s="130"/>
      <c r="O30" s="129"/>
      <c r="P30" s="130"/>
      <c r="Q30" s="129"/>
      <c r="R30" s="129"/>
      <c r="S30" s="129"/>
      <c r="T30" s="131"/>
    </row>
    <row r="31" spans="2:20" x14ac:dyDescent="0.2">
      <c r="C31" s="71"/>
      <c r="D31" s="72"/>
      <c r="E31" s="73">
        <f>R26</f>
        <v>584</v>
      </c>
    </row>
    <row r="32" spans="2:20" x14ac:dyDescent="0.2">
      <c r="B32" t="s">
        <v>558</v>
      </c>
    </row>
    <row r="37" spans="3:24" s="120" customFormat="1" x14ac:dyDescent="0.2"/>
    <row r="38" spans="3:24" x14ac:dyDescent="0.2">
      <c r="C38" s="588" t="s">
        <v>12</v>
      </c>
      <c r="D38" s="589"/>
      <c r="E38" s="590"/>
      <c r="G38" s="71"/>
      <c r="H38" s="72"/>
      <c r="I38" s="72" t="s">
        <v>14</v>
      </c>
      <c r="J38" s="72" t="s">
        <v>129</v>
      </c>
      <c r="K38" s="72" t="s">
        <v>16</v>
      </c>
      <c r="L38" s="73" t="s">
        <v>17</v>
      </c>
      <c r="M38" s="4"/>
      <c r="P38" s="120"/>
    </row>
    <row r="39" spans="3:24" x14ac:dyDescent="0.2">
      <c r="C39" s="74" t="s">
        <v>28</v>
      </c>
      <c r="D39" s="77"/>
      <c r="E39" s="13"/>
      <c r="G39" s="12"/>
      <c r="H39" s="4" t="s">
        <v>21</v>
      </c>
      <c r="I39" s="69" t="s">
        <v>22</v>
      </c>
      <c r="J39" s="4">
        <f>VLOOKUP($I$39,$C$42:D77,2,FALSE)</f>
        <v>36</v>
      </c>
      <c r="K39" s="4">
        <f>J39*$D$43</f>
        <v>36</v>
      </c>
      <c r="L39" s="13">
        <f>K39*$D$42</f>
        <v>43200</v>
      </c>
      <c r="M39" s="4"/>
      <c r="P39" s="120" t="s">
        <v>559</v>
      </c>
      <c r="R39" t="s">
        <v>258</v>
      </c>
      <c r="S39" s="71">
        <v>1200</v>
      </c>
      <c r="T39" s="72"/>
      <c r="U39" s="72" t="s">
        <v>14</v>
      </c>
      <c r="V39" s="72" t="s">
        <v>129</v>
      </c>
      <c r="W39" s="72" t="s">
        <v>16</v>
      </c>
      <c r="X39" s="73" t="s">
        <v>17</v>
      </c>
    </row>
    <row r="40" spans="3:24" x14ac:dyDescent="0.2">
      <c r="C40" s="63" t="s">
        <v>31</v>
      </c>
      <c r="D40" s="101">
        <v>1300000</v>
      </c>
      <c r="E40" s="13"/>
      <c r="G40" s="12" t="s">
        <v>24</v>
      </c>
      <c r="H40" s="19" t="s">
        <v>25</v>
      </c>
      <c r="I40" s="69" t="s">
        <v>51</v>
      </c>
      <c r="J40" s="4">
        <f>VLOOKUP($I$40,$C$43:D78,2,FALSE)</f>
        <v>56.1</v>
      </c>
      <c r="K40" s="4">
        <f>J40*$D$46</f>
        <v>112.2</v>
      </c>
      <c r="L40" s="13">
        <f>K40*$D$42</f>
        <v>134640</v>
      </c>
      <c r="M40" s="4"/>
      <c r="P40" s="120"/>
      <c r="S40" s="12"/>
      <c r="T40" s="4" t="s">
        <v>21</v>
      </c>
      <c r="U40" s="69" t="s">
        <v>22</v>
      </c>
      <c r="V40" s="4">
        <f>VLOOKUP($I$39,$C$42:P78,2,FALSE)</f>
        <v>36</v>
      </c>
      <c r="W40" s="4">
        <f>V40*$D$43</f>
        <v>36</v>
      </c>
      <c r="X40" s="13">
        <f>$S$39*W40</f>
        <v>43200</v>
      </c>
    </row>
    <row r="41" spans="3:24" x14ac:dyDescent="0.2">
      <c r="C41" s="63" t="s">
        <v>34</v>
      </c>
      <c r="D41" s="101">
        <v>1500000</v>
      </c>
      <c r="E41" s="13"/>
      <c r="G41" s="12"/>
      <c r="H41" s="20" t="s">
        <v>29</v>
      </c>
      <c r="I41" s="69" t="s">
        <v>30</v>
      </c>
      <c r="J41" s="4">
        <f>VLOOKUP($I$41,$C$44:D79,2,FALSE)</f>
        <v>187.20000000000002</v>
      </c>
      <c r="K41" s="4">
        <f>J41*$D$56</f>
        <v>374.40000000000003</v>
      </c>
      <c r="L41" s="13">
        <f t="shared" ref="L41:L42" si="0">K41*$D$42</f>
        <v>449280.00000000006</v>
      </c>
      <c r="M41" s="4"/>
      <c r="P41" s="120"/>
      <c r="S41" s="12" t="s">
        <v>24</v>
      </c>
      <c r="T41" s="19" t="s">
        <v>25</v>
      </c>
      <c r="U41" s="69" t="s">
        <v>26</v>
      </c>
      <c r="V41" s="4">
        <f>VLOOKUP($I$40,$C$43:P79,2,FALSE)</f>
        <v>56.1</v>
      </c>
      <c r="W41" s="4">
        <f>V41*$D$46</f>
        <v>112.2</v>
      </c>
      <c r="X41" s="13">
        <f t="shared" ref="X41:X43" si="1">$S$39*W41</f>
        <v>134640</v>
      </c>
    </row>
    <row r="42" spans="3:24" x14ac:dyDescent="0.2">
      <c r="C42" s="75" t="s">
        <v>18</v>
      </c>
      <c r="D42" s="76">
        <v>1200</v>
      </c>
      <c r="E42" s="13" t="s">
        <v>36</v>
      </c>
      <c r="G42" s="12"/>
      <c r="H42" s="70" t="s">
        <v>32</v>
      </c>
      <c r="I42" s="69" t="s">
        <v>33</v>
      </c>
      <c r="J42" s="4">
        <f>VLOOKUP($I$42,$C$39:D78,2,FALSE)</f>
        <v>24.150000000000002</v>
      </c>
      <c r="K42" s="4">
        <f>J42*$D$69</f>
        <v>72.45</v>
      </c>
      <c r="L42" s="13">
        <f t="shared" si="0"/>
        <v>86940</v>
      </c>
      <c r="M42" s="4"/>
      <c r="P42" s="120"/>
      <c r="S42" s="12"/>
      <c r="T42" s="20" t="s">
        <v>29</v>
      </c>
      <c r="U42" s="69" t="s">
        <v>30</v>
      </c>
      <c r="V42" s="4">
        <f>VLOOKUP($I$41,$C$44:P80,2,FALSE)</f>
        <v>187.20000000000002</v>
      </c>
      <c r="W42" s="4">
        <f>V42*$D$56</f>
        <v>374.40000000000003</v>
      </c>
      <c r="X42" s="13">
        <f t="shared" si="1"/>
        <v>449280.00000000006</v>
      </c>
    </row>
    <row r="43" spans="3:24" x14ac:dyDescent="0.2">
      <c r="C43" s="65" t="s">
        <v>21</v>
      </c>
      <c r="D43" s="62">
        <v>1</v>
      </c>
      <c r="E43" s="13" t="s">
        <v>39</v>
      </c>
      <c r="G43" s="71" t="s">
        <v>64</v>
      </c>
      <c r="H43" s="72"/>
      <c r="I43" s="72"/>
      <c r="J43" s="72"/>
      <c r="K43" s="72">
        <f>SUM(K39:K42)</f>
        <v>595.05000000000007</v>
      </c>
      <c r="L43" s="73">
        <f>SUM(L39:L42)</f>
        <v>714060</v>
      </c>
      <c r="M43" s="4"/>
      <c r="P43" s="120"/>
      <c r="S43" s="12"/>
      <c r="T43" s="70" t="s">
        <v>32</v>
      </c>
      <c r="U43" s="69" t="s">
        <v>33</v>
      </c>
      <c r="V43" s="4">
        <f>VLOOKUP($I$42,$C$45:P81,2,FALSE)</f>
        <v>24.150000000000002</v>
      </c>
      <c r="W43" s="4">
        <f>V43*$D$69</f>
        <v>72.45</v>
      </c>
      <c r="X43" s="13">
        <f t="shared" si="1"/>
        <v>86940</v>
      </c>
    </row>
    <row r="44" spans="3:24" x14ac:dyDescent="0.2">
      <c r="C44" s="63" t="s">
        <v>40</v>
      </c>
      <c r="D44" s="101">
        <v>20</v>
      </c>
      <c r="E44" s="13"/>
      <c r="G44" s="4"/>
      <c r="H44" s="4"/>
      <c r="I44" s="4"/>
      <c r="J44" s="4"/>
      <c r="K44" s="4">
        <v>4</v>
      </c>
      <c r="L44" s="4"/>
      <c r="M44" s="4"/>
      <c r="P44" s="120"/>
      <c r="S44" s="71" t="s">
        <v>64</v>
      </c>
      <c r="T44" s="72"/>
      <c r="U44" s="72"/>
      <c r="V44" s="72"/>
      <c r="W44" s="72">
        <f>SUM(W40:W43)</f>
        <v>595.05000000000007</v>
      </c>
      <c r="X44" s="73">
        <f>SUM(X40:X43)</f>
        <v>714060</v>
      </c>
    </row>
    <row r="45" spans="3:24" x14ac:dyDescent="0.2">
      <c r="C45" s="66" t="s">
        <v>22</v>
      </c>
      <c r="D45" s="102">
        <v>36</v>
      </c>
      <c r="E45" s="13"/>
      <c r="K45">
        <f>K44*K43</f>
        <v>2380.2000000000003</v>
      </c>
      <c r="L45">
        <v>3416</v>
      </c>
      <c r="M45">
        <f>L45/K45</f>
        <v>1.4351735148306863</v>
      </c>
      <c r="P45" s="120"/>
      <c r="W45">
        <f>W44*544</f>
        <v>323707.2</v>
      </c>
    </row>
    <row r="46" spans="3:24" ht="17" thickBot="1" x14ac:dyDescent="0.25">
      <c r="C46" s="106" t="s">
        <v>25</v>
      </c>
      <c r="D46" s="105">
        <v>2</v>
      </c>
      <c r="E46" s="13" t="s">
        <v>39</v>
      </c>
      <c r="P46" s="120"/>
      <c r="R46" t="s">
        <v>257</v>
      </c>
      <c r="S46" s="71">
        <v>1200</v>
      </c>
      <c r="T46" s="72"/>
      <c r="U46" s="72" t="s">
        <v>14</v>
      </c>
      <c r="V46" s="72" t="s">
        <v>129</v>
      </c>
      <c r="W46" s="72" t="s">
        <v>16</v>
      </c>
      <c r="X46" s="73" t="s">
        <v>17</v>
      </c>
    </row>
    <row r="47" spans="3:24" x14ac:dyDescent="0.2">
      <c r="C47" s="63" t="s">
        <v>44</v>
      </c>
      <c r="D47" s="64">
        <f>(1+D49)*D48</f>
        <v>43.2</v>
      </c>
      <c r="E47" s="13"/>
      <c r="I47" t="s">
        <v>265</v>
      </c>
      <c r="L47" s="107"/>
      <c r="M47" s="108" t="s">
        <v>560</v>
      </c>
      <c r="N47" s="109" t="s">
        <v>561</v>
      </c>
      <c r="P47" s="120"/>
      <c r="S47" s="12"/>
      <c r="T47" s="4" t="s">
        <v>21</v>
      </c>
      <c r="U47" s="69" t="s">
        <v>22</v>
      </c>
      <c r="V47" s="4">
        <f>VLOOKUP($I$39,$C$42:O85,2,FALSE)</f>
        <v>36</v>
      </c>
      <c r="W47" s="4">
        <f>V47*$D$43</f>
        <v>36</v>
      </c>
      <c r="X47" s="13">
        <f>W47*$S$46</f>
        <v>43200</v>
      </c>
    </row>
    <row r="48" spans="3:24" x14ac:dyDescent="0.2">
      <c r="C48" s="67" t="s">
        <v>45</v>
      </c>
      <c r="D48" s="13">
        <v>40</v>
      </c>
      <c r="E48" s="13"/>
      <c r="G48" s="9"/>
      <c r="H48" s="418" t="s">
        <v>341</v>
      </c>
      <c r="I48" s="419"/>
      <c r="J48" s="420"/>
      <c r="L48" s="110" t="s">
        <v>21</v>
      </c>
      <c r="M48" s="111">
        <f>MAX($D44:$D45)</f>
        <v>36</v>
      </c>
      <c r="N48" s="112">
        <f>MIN($D44:$D45)</f>
        <v>20</v>
      </c>
      <c r="P48" s="120"/>
      <c r="S48" s="12" t="s">
        <v>24</v>
      </c>
      <c r="T48" s="19" t="s">
        <v>25</v>
      </c>
      <c r="U48" s="69" t="s">
        <v>26</v>
      </c>
      <c r="V48" s="4">
        <f>VLOOKUP($I$40,$C$43:O86,2,FALSE)</f>
        <v>56.1</v>
      </c>
      <c r="W48" s="4">
        <f>V48*$D$46</f>
        <v>112.2</v>
      </c>
      <c r="X48" s="13">
        <f t="shared" ref="X48:X50" si="2">W48*$S$46</f>
        <v>134640</v>
      </c>
    </row>
    <row r="49" spans="2:24" x14ac:dyDescent="0.2">
      <c r="C49" s="67" t="s">
        <v>46</v>
      </c>
      <c r="D49" s="13">
        <v>0.08</v>
      </c>
      <c r="E49" s="13"/>
      <c r="G49" s="12"/>
      <c r="H49" s="421" t="s">
        <v>342</v>
      </c>
      <c r="I49" s="421">
        <f>K43</f>
        <v>595.05000000000007</v>
      </c>
      <c r="J49" s="422"/>
      <c r="L49" s="113" t="s">
        <v>25</v>
      </c>
      <c r="M49">
        <f>MAX($D47,$D50,$D53)*2</f>
        <v>112.2</v>
      </c>
      <c r="N49" s="114">
        <f>MIN($D47,$D50,$D53)*2</f>
        <v>86.4</v>
      </c>
      <c r="P49" s="120"/>
      <c r="S49" s="12"/>
      <c r="T49" s="20" t="s">
        <v>29</v>
      </c>
      <c r="U49" s="69" t="s">
        <v>30</v>
      </c>
      <c r="V49" s="4">
        <f>VLOOKUP($I$41,$C$44:O87,2,FALSE)</f>
        <v>187.20000000000002</v>
      </c>
      <c r="W49" s="4">
        <f>V49*$D$56</f>
        <v>374.40000000000003</v>
      </c>
      <c r="X49" s="13">
        <f t="shared" si="2"/>
        <v>449280.00000000006</v>
      </c>
    </row>
    <row r="50" spans="2:24" x14ac:dyDescent="0.2">
      <c r="C50" s="63" t="s">
        <v>26</v>
      </c>
      <c r="D50" s="64">
        <f>(1+D52)*D51</f>
        <v>44.52</v>
      </c>
      <c r="E50" s="13"/>
      <c r="G50" s="12"/>
      <c r="H50" s="421" t="s">
        <v>562</v>
      </c>
      <c r="I50" s="423"/>
      <c r="J50" s="422"/>
      <c r="L50" s="115" t="s">
        <v>29</v>
      </c>
      <c r="M50">
        <f>MAX($D57,$D60,$D63,$D66)*2</f>
        <v>387.20000000000005</v>
      </c>
      <c r="N50" s="114">
        <f>MIN($D57,$D60,$D63,$D66)*2</f>
        <v>235.4</v>
      </c>
      <c r="P50" s="120"/>
      <c r="S50" s="12"/>
      <c r="T50" s="70" t="s">
        <v>32</v>
      </c>
      <c r="U50" s="69" t="s">
        <v>33</v>
      </c>
      <c r="V50" s="4">
        <f>VLOOKUP($I$42,$C$45:O88,2,FALSE)</f>
        <v>24.150000000000002</v>
      </c>
      <c r="W50" s="4">
        <f>V50*$D$69</f>
        <v>72.45</v>
      </c>
      <c r="X50" s="13">
        <f t="shared" si="2"/>
        <v>86940</v>
      </c>
    </row>
    <row r="51" spans="2:24" x14ac:dyDescent="0.2">
      <c r="C51" s="67" t="s">
        <v>45</v>
      </c>
      <c r="D51" s="13">
        <v>42</v>
      </c>
      <c r="E51" s="13"/>
      <c r="G51" s="12"/>
      <c r="H51" s="421" t="s">
        <v>563</v>
      </c>
      <c r="I51" s="103">
        <f>SUM(I48:I50)</f>
        <v>595.05000000000007</v>
      </c>
      <c r="J51" s="13"/>
      <c r="L51" s="116" t="s">
        <v>32</v>
      </c>
      <c r="M51">
        <f>MAX($D70,$D73,$D76)*3</f>
        <v>72.45</v>
      </c>
      <c r="N51" s="114">
        <f>MIN($D70,$D73,$D76)*3</f>
        <v>64.8</v>
      </c>
      <c r="P51" s="120"/>
      <c r="S51" s="71" t="s">
        <v>64</v>
      </c>
      <c r="T51" s="72"/>
      <c r="U51" s="72"/>
      <c r="V51" s="72"/>
      <c r="W51" s="72">
        <f>SUM(W47:W50)</f>
        <v>595.05000000000007</v>
      </c>
      <c r="X51" s="73">
        <f>SUM(X47:X50)</f>
        <v>714060</v>
      </c>
    </row>
    <row r="52" spans="2:24" ht="17" thickBot="1" x14ac:dyDescent="0.25">
      <c r="C52" s="67" t="s">
        <v>46</v>
      </c>
      <c r="D52" s="13">
        <v>0.06</v>
      </c>
      <c r="E52" s="13"/>
      <c r="G52" s="96">
        <v>0.2</v>
      </c>
      <c r="H52" s="421" t="s">
        <v>564</v>
      </c>
      <c r="I52" s="103">
        <f>(1+G52)*I51</f>
        <v>714.06000000000006</v>
      </c>
      <c r="J52" s="13"/>
      <c r="L52" s="117"/>
      <c r="M52" s="118">
        <f>SUM(M48:M51)</f>
        <v>607.85000000000014</v>
      </c>
      <c r="N52" s="119">
        <f>SUM(N48:N51)</f>
        <v>406.6</v>
      </c>
      <c r="P52" s="120"/>
    </row>
    <row r="53" spans="2:24" x14ac:dyDescent="0.2">
      <c r="B53" s="17" t="s">
        <v>426</v>
      </c>
      <c r="C53" s="63" t="s">
        <v>51</v>
      </c>
      <c r="D53" s="64">
        <f>(1+D55)*D54</f>
        <v>56.1</v>
      </c>
      <c r="E53" s="13"/>
      <c r="G53" s="97">
        <v>0.125</v>
      </c>
      <c r="H53" s="98" t="s">
        <v>565</v>
      </c>
      <c r="I53" s="98">
        <f>(1+G53)*I52</f>
        <v>803.31750000000011</v>
      </c>
      <c r="J53" s="16"/>
      <c r="P53" s="120"/>
    </row>
    <row r="54" spans="2:24" x14ac:dyDescent="0.2">
      <c r="C54" s="67" t="s">
        <v>45</v>
      </c>
      <c r="D54" s="13">
        <v>55</v>
      </c>
      <c r="E54" s="13"/>
      <c r="P54" s="120"/>
    </row>
    <row r="55" spans="2:24" x14ac:dyDescent="0.2">
      <c r="C55" s="68" t="s">
        <v>46</v>
      </c>
      <c r="D55" s="16">
        <v>0.02</v>
      </c>
      <c r="E55" s="13"/>
      <c r="P55" s="120"/>
    </row>
    <row r="56" spans="2:24" x14ac:dyDescent="0.2">
      <c r="C56" s="104" t="s">
        <v>52</v>
      </c>
      <c r="D56" s="105">
        <v>2</v>
      </c>
      <c r="E56" s="13" t="s">
        <v>39</v>
      </c>
      <c r="G56" t="s">
        <v>566</v>
      </c>
      <c r="P56" s="120"/>
    </row>
    <row r="57" spans="2:24" x14ac:dyDescent="0.2">
      <c r="C57" s="63" t="s">
        <v>53</v>
      </c>
      <c r="D57" s="64">
        <f>(1+D59)*D58</f>
        <v>117.7</v>
      </c>
      <c r="E57" s="13"/>
      <c r="F57" t="s">
        <v>257</v>
      </c>
      <c r="P57" s="120"/>
    </row>
    <row r="58" spans="2:24" x14ac:dyDescent="0.2">
      <c r="C58" s="67" t="s">
        <v>45</v>
      </c>
      <c r="D58" s="13">
        <v>110</v>
      </c>
      <c r="E58" s="13"/>
      <c r="P58" s="120"/>
    </row>
    <row r="59" spans="2:24" x14ac:dyDescent="0.2">
      <c r="C59" s="67" t="s">
        <v>46</v>
      </c>
      <c r="D59" s="13">
        <v>7.0000000000000007E-2</v>
      </c>
      <c r="E59" s="13"/>
      <c r="P59" s="120"/>
    </row>
    <row r="60" spans="2:24" x14ac:dyDescent="0.2">
      <c r="C60" s="63" t="s">
        <v>54</v>
      </c>
      <c r="D60" s="64">
        <f>(1+D62)*D61</f>
        <v>186.29999999999998</v>
      </c>
      <c r="E60" s="13"/>
      <c r="P60" s="120"/>
    </row>
    <row r="61" spans="2:24" x14ac:dyDescent="0.2">
      <c r="C61" s="67" t="s">
        <v>45</v>
      </c>
      <c r="D61" s="13">
        <v>162</v>
      </c>
      <c r="E61" s="13"/>
      <c r="P61" s="120"/>
    </row>
    <row r="62" spans="2:24" x14ac:dyDescent="0.2">
      <c r="C62" s="67" t="s">
        <v>46</v>
      </c>
      <c r="D62" s="13">
        <v>0.15</v>
      </c>
      <c r="E62" s="13"/>
      <c r="G62" t="s">
        <v>434</v>
      </c>
      <c r="H62">
        <v>23490</v>
      </c>
      <c r="I62" t="s">
        <v>435</v>
      </c>
      <c r="P62" s="120"/>
    </row>
    <row r="63" spans="2:24" x14ac:dyDescent="0.2">
      <c r="C63" s="63" t="s">
        <v>55</v>
      </c>
      <c r="D63" s="64">
        <f>(1+D65)*D64</f>
        <v>193.60000000000002</v>
      </c>
      <c r="E63" s="13"/>
      <c r="P63" s="120"/>
    </row>
    <row r="64" spans="2:24" x14ac:dyDescent="0.2">
      <c r="C64" s="67" t="s">
        <v>45</v>
      </c>
      <c r="D64" s="13">
        <v>176</v>
      </c>
      <c r="E64" s="13"/>
      <c r="G64" t="s">
        <v>436</v>
      </c>
      <c r="H64">
        <v>1</v>
      </c>
      <c r="I64">
        <v>2</v>
      </c>
      <c r="J64">
        <v>3</v>
      </c>
      <c r="K64">
        <v>4</v>
      </c>
      <c r="P64" s="120"/>
    </row>
    <row r="65" spans="3:16" x14ac:dyDescent="0.2">
      <c r="C65" s="67" t="s">
        <v>46</v>
      </c>
      <c r="D65" s="13">
        <v>0.1</v>
      </c>
      <c r="E65" s="13"/>
      <c r="G65" s="124">
        <v>2</v>
      </c>
      <c r="H65" s="124">
        <v>30</v>
      </c>
      <c r="I65" s="124">
        <v>0</v>
      </c>
      <c r="J65" s="124">
        <v>30</v>
      </c>
      <c r="K65" s="124">
        <v>40</v>
      </c>
      <c r="P65" s="120"/>
    </row>
    <row r="66" spans="3:16" x14ac:dyDescent="0.2">
      <c r="C66" s="63" t="s">
        <v>30</v>
      </c>
      <c r="D66" s="64">
        <f>(1+D68)*D67</f>
        <v>187.20000000000002</v>
      </c>
      <c r="E66" s="13"/>
      <c r="P66" s="120"/>
    </row>
    <row r="67" spans="3:16" x14ac:dyDescent="0.2">
      <c r="C67" s="67" t="s">
        <v>45</v>
      </c>
      <c r="D67" s="13">
        <v>180</v>
      </c>
      <c r="E67" s="13"/>
      <c r="G67" t="s">
        <v>567</v>
      </c>
      <c r="H67">
        <v>1</v>
      </c>
      <c r="I67">
        <v>2</v>
      </c>
      <c r="J67">
        <v>3</v>
      </c>
      <c r="K67">
        <v>4</v>
      </c>
      <c r="P67" s="120"/>
    </row>
    <row r="68" spans="3:16" x14ac:dyDescent="0.2">
      <c r="C68" s="68" t="s">
        <v>46</v>
      </c>
      <c r="D68" s="16">
        <v>0.04</v>
      </c>
      <c r="E68" s="13"/>
      <c r="H68">
        <f>C89</f>
        <v>50</v>
      </c>
      <c r="I68">
        <f>D89</f>
        <v>103</v>
      </c>
      <c r="J68">
        <f>E89</f>
        <v>66</v>
      </c>
      <c r="K68">
        <f>F89</f>
        <v>325</v>
      </c>
      <c r="P68" s="120"/>
    </row>
    <row r="69" spans="3:16" x14ac:dyDescent="0.2">
      <c r="C69" s="104" t="s">
        <v>56</v>
      </c>
      <c r="D69" s="105">
        <v>3</v>
      </c>
      <c r="E69" s="13" t="s">
        <v>39</v>
      </c>
      <c r="G69" t="s">
        <v>70</v>
      </c>
      <c r="H69">
        <f>C88</f>
        <v>100</v>
      </c>
      <c r="I69">
        <f>D88</f>
        <v>206</v>
      </c>
      <c r="J69">
        <f>E88</f>
        <v>100</v>
      </c>
      <c r="K69">
        <f>F88</f>
        <v>650</v>
      </c>
      <c r="P69" s="120"/>
    </row>
    <row r="70" spans="3:16" x14ac:dyDescent="0.2">
      <c r="C70" s="63" t="s">
        <v>57</v>
      </c>
      <c r="D70" s="64">
        <f>(1+D72)*D71</f>
        <v>21.599999999999998</v>
      </c>
      <c r="E70" s="13"/>
      <c r="P70" s="120"/>
    </row>
    <row r="71" spans="3:16" x14ac:dyDescent="0.2">
      <c r="C71" s="67" t="s">
        <v>45</v>
      </c>
      <c r="D71" s="13">
        <v>18</v>
      </c>
      <c r="E71" s="13"/>
      <c r="P71" s="120"/>
    </row>
    <row r="72" spans="3:16" x14ac:dyDescent="0.2">
      <c r="C72" s="67" t="s">
        <v>46</v>
      </c>
      <c r="D72" s="13">
        <v>0.2</v>
      </c>
      <c r="E72" s="13"/>
      <c r="P72" s="120"/>
    </row>
    <row r="73" spans="3:16" x14ac:dyDescent="0.2">
      <c r="C73" s="63" t="s">
        <v>58</v>
      </c>
      <c r="D73" s="64">
        <f>(1+D75)*D74</f>
        <v>22</v>
      </c>
      <c r="E73" s="13"/>
      <c r="P73" s="120"/>
    </row>
    <row r="74" spans="3:16" x14ac:dyDescent="0.2">
      <c r="C74" s="67" t="s">
        <v>45</v>
      </c>
      <c r="D74" s="13">
        <v>20</v>
      </c>
      <c r="E74" s="13"/>
      <c r="P74" s="120"/>
    </row>
    <row r="75" spans="3:16" x14ac:dyDescent="0.2">
      <c r="C75" s="67" t="s">
        <v>46</v>
      </c>
      <c r="D75" s="13">
        <v>0.1</v>
      </c>
      <c r="E75" s="13"/>
      <c r="P75" s="120"/>
    </row>
    <row r="76" spans="3:16" x14ac:dyDescent="0.2">
      <c r="C76" s="63" t="s">
        <v>33</v>
      </c>
      <c r="D76" s="64">
        <f>(1+D78)*D77</f>
        <v>24.150000000000002</v>
      </c>
      <c r="E76" s="13"/>
      <c r="P76" s="120"/>
    </row>
    <row r="77" spans="3:16" x14ac:dyDescent="0.2">
      <c r="C77" s="67" t="s">
        <v>45</v>
      </c>
      <c r="D77" s="13">
        <v>23</v>
      </c>
      <c r="E77" s="13"/>
      <c r="P77" s="120"/>
    </row>
    <row r="78" spans="3:16" x14ac:dyDescent="0.2">
      <c r="C78" s="68" t="s">
        <v>46</v>
      </c>
      <c r="D78" s="16">
        <v>0.05</v>
      </c>
      <c r="E78" s="16"/>
      <c r="P78" s="120"/>
    </row>
    <row r="79" spans="3:16" x14ac:dyDescent="0.2">
      <c r="C79" s="4"/>
      <c r="D79" s="4"/>
      <c r="P79" s="120"/>
    </row>
    <row r="80" spans="3:16" s="120" customFormat="1" x14ac:dyDescent="0.2"/>
    <row r="81" spans="1:9" x14ac:dyDescent="0.2">
      <c r="B81" s="133" t="s">
        <v>568</v>
      </c>
      <c r="H81" t="s">
        <v>68</v>
      </c>
      <c r="I81" s="60">
        <v>0.04</v>
      </c>
    </row>
    <row r="82" spans="1:9" x14ac:dyDescent="0.2">
      <c r="H82" t="s">
        <v>494</v>
      </c>
      <c r="I82">
        <v>5000</v>
      </c>
    </row>
    <row r="83" spans="1:9" x14ac:dyDescent="0.2">
      <c r="B83" t="s">
        <v>263</v>
      </c>
      <c r="C83" t="s">
        <v>102</v>
      </c>
      <c r="D83" t="s">
        <v>60</v>
      </c>
      <c r="E83" t="s">
        <v>569</v>
      </c>
      <c r="F83" t="s">
        <v>570</v>
      </c>
      <c r="H83" t="s">
        <v>498</v>
      </c>
      <c r="I83">
        <v>1165</v>
      </c>
    </row>
    <row r="84" spans="1:9" x14ac:dyDescent="0.2">
      <c r="B84" t="s">
        <v>257</v>
      </c>
      <c r="C84">
        <f>$Q$26</f>
        <v>544</v>
      </c>
      <c r="D84">
        <v>798556</v>
      </c>
      <c r="E84" s="125">
        <v>375.00000000000011</v>
      </c>
      <c r="F84" s="126">
        <f>C84-E84</f>
        <v>168.99999999999989</v>
      </c>
      <c r="G84">
        <f>1499*E84+1399*(C84-E84)</f>
        <v>798556</v>
      </c>
    </row>
    <row r="86" spans="1:9" x14ac:dyDescent="0.2">
      <c r="A86" t="s">
        <v>257</v>
      </c>
      <c r="B86" s="141" t="s">
        <v>63</v>
      </c>
      <c r="C86" s="142">
        <v>1</v>
      </c>
      <c r="D86" s="142">
        <v>2</v>
      </c>
      <c r="E86" s="142">
        <v>3</v>
      </c>
      <c r="F86" s="142">
        <v>4</v>
      </c>
      <c r="G86" s="143" t="s">
        <v>64</v>
      </c>
    </row>
    <row r="87" spans="1:9" x14ac:dyDescent="0.2">
      <c r="B87" s="63" t="s">
        <v>65</v>
      </c>
      <c r="C87" s="111">
        <v>1499</v>
      </c>
      <c r="D87" s="145">
        <v>1399</v>
      </c>
      <c r="E87" s="145">
        <v>1399</v>
      </c>
      <c r="F87" s="111">
        <v>1499</v>
      </c>
      <c r="G87" s="94" t="s">
        <v>66</v>
      </c>
      <c r="I87" t="s">
        <v>571</v>
      </c>
    </row>
    <row r="88" spans="1:9" x14ac:dyDescent="0.2">
      <c r="B88" s="63" t="s">
        <v>67</v>
      </c>
      <c r="C88">
        <v>100</v>
      </c>
      <c r="D88">
        <v>206</v>
      </c>
      <c r="E88">
        <v>100</v>
      </c>
      <c r="F88">
        <v>650</v>
      </c>
      <c r="G88" s="94">
        <f>SUM(C88:F88)</f>
        <v>1056</v>
      </c>
      <c r="I88" t="s">
        <v>572</v>
      </c>
    </row>
    <row r="89" spans="1:9" x14ac:dyDescent="0.2">
      <c r="B89" s="63" t="s">
        <v>430</v>
      </c>
      <c r="C89">
        <v>50</v>
      </c>
      <c r="D89">
        <v>103</v>
      </c>
      <c r="E89">
        <v>66</v>
      </c>
      <c r="F89">
        <v>325</v>
      </c>
      <c r="G89" s="94">
        <f>SUM(C89:F89)</f>
        <v>544</v>
      </c>
      <c r="I89" t="s">
        <v>573</v>
      </c>
    </row>
    <row r="90" spans="1:9" x14ac:dyDescent="0.2">
      <c r="B90" s="63" t="s">
        <v>69</v>
      </c>
      <c r="C90">
        <v>2</v>
      </c>
      <c r="D90">
        <v>3</v>
      </c>
      <c r="E90">
        <v>2</v>
      </c>
      <c r="F90">
        <v>6</v>
      </c>
      <c r="G90" s="94"/>
    </row>
    <row r="91" spans="1:9" x14ac:dyDescent="0.2">
      <c r="B91" s="63" t="s">
        <v>71</v>
      </c>
      <c r="C91" s="111">
        <f>C87*C90*C88/100</f>
        <v>2998</v>
      </c>
      <c r="D91" s="111">
        <f>D90*D87*D88/100</f>
        <v>8645.82</v>
      </c>
      <c r="E91" s="111">
        <f t="shared" ref="E91:F91" si="3">E90*E87*E88/100</f>
        <v>2798</v>
      </c>
      <c r="F91" s="111">
        <f t="shared" si="3"/>
        <v>58461</v>
      </c>
      <c r="G91" s="94" t="s">
        <v>66</v>
      </c>
      <c r="H91" s="122"/>
      <c r="I91" t="s">
        <v>574</v>
      </c>
    </row>
    <row r="92" spans="1:9" x14ac:dyDescent="0.2">
      <c r="B92" s="63" t="s">
        <v>73</v>
      </c>
      <c r="C92">
        <v>0</v>
      </c>
      <c r="D92">
        <v>0</v>
      </c>
      <c r="E92">
        <v>1</v>
      </c>
      <c r="F92">
        <v>0</v>
      </c>
      <c r="G92" s="94" t="s">
        <v>66</v>
      </c>
      <c r="I92" t="s">
        <v>575</v>
      </c>
    </row>
    <row r="93" spans="1:9" x14ac:dyDescent="0.2">
      <c r="B93" s="66" t="s">
        <v>75</v>
      </c>
      <c r="C93" s="91">
        <v>1</v>
      </c>
      <c r="D93" s="91">
        <v>2</v>
      </c>
      <c r="E93" s="91">
        <v>1</v>
      </c>
      <c r="F93" s="91">
        <v>3</v>
      </c>
      <c r="G93" s="92">
        <f>SUM(C93:F93)</f>
        <v>7</v>
      </c>
      <c r="I93" t="s">
        <v>576</v>
      </c>
    </row>
    <row r="94" spans="1:9" x14ac:dyDescent="0.2">
      <c r="B94" s="63" t="s">
        <v>577</v>
      </c>
      <c r="C94">
        <f>C89/C93</f>
        <v>50</v>
      </c>
      <c r="D94">
        <f t="shared" ref="D94:F94" si="4">D89/D93</f>
        <v>51.5</v>
      </c>
      <c r="E94">
        <f t="shared" si="4"/>
        <v>66</v>
      </c>
      <c r="F94">
        <f t="shared" si="4"/>
        <v>108.33333333333333</v>
      </c>
    </row>
    <row r="95" spans="1:9" x14ac:dyDescent="0.2">
      <c r="B95" s="124" t="s">
        <v>578</v>
      </c>
      <c r="C95" s="111">
        <f>C87*C89</f>
        <v>74950</v>
      </c>
      <c r="D95" s="111">
        <f t="shared" ref="D95:F95" si="5">D87*D89</f>
        <v>144097</v>
      </c>
      <c r="E95" s="111">
        <f t="shared" si="5"/>
        <v>92334</v>
      </c>
      <c r="F95" s="111">
        <f t="shared" si="5"/>
        <v>487175</v>
      </c>
    </row>
    <row r="96" spans="1:9" x14ac:dyDescent="0.2">
      <c r="B96" t="s">
        <v>579</v>
      </c>
      <c r="C96" s="111">
        <f>C95/C93</f>
        <v>74950</v>
      </c>
      <c r="D96" s="111">
        <f t="shared" ref="D96:F96" si="6">D95/D93</f>
        <v>72048.5</v>
      </c>
      <c r="E96" s="111">
        <f t="shared" si="6"/>
        <v>92334</v>
      </c>
      <c r="F96" s="111">
        <f t="shared" si="6"/>
        <v>162391.66666666666</v>
      </c>
    </row>
    <row r="97" spans="1:13" x14ac:dyDescent="0.2">
      <c r="B97" s="124" t="s">
        <v>76</v>
      </c>
      <c r="C97">
        <v>1344</v>
      </c>
      <c r="D97">
        <v>912</v>
      </c>
      <c r="E97">
        <v>1008</v>
      </c>
      <c r="F97">
        <v>1536</v>
      </c>
    </row>
    <row r="98" spans="1:13" x14ac:dyDescent="0.2">
      <c r="B98" s="124" t="s">
        <v>78</v>
      </c>
      <c r="C98" s="135">
        <f>C89/C97</f>
        <v>3.7202380952380952E-2</v>
      </c>
      <c r="D98" s="135">
        <f>D89/D97</f>
        <v>0.11293859649122807</v>
      </c>
      <c r="E98" s="135">
        <f t="shared" ref="E98:F98" si="7">E89/E97</f>
        <v>6.5476190476190479E-2</v>
      </c>
      <c r="F98" s="135">
        <f t="shared" si="7"/>
        <v>0.21158854166666666</v>
      </c>
    </row>
    <row r="99" spans="1:13" x14ac:dyDescent="0.2">
      <c r="B99" s="147"/>
      <c r="C99" s="170"/>
      <c r="D99" s="170"/>
      <c r="E99" s="170"/>
      <c r="F99" s="170"/>
    </row>
    <row r="100" spans="1:13" x14ac:dyDescent="0.2">
      <c r="B100" s="147"/>
      <c r="C100" s="170"/>
      <c r="D100" s="170"/>
      <c r="E100" s="170"/>
      <c r="F100" s="170"/>
    </row>
    <row r="101" spans="1:13" x14ac:dyDescent="0.2">
      <c r="B101" s="147"/>
      <c r="C101" s="170"/>
      <c r="D101" s="170"/>
      <c r="E101" s="170"/>
      <c r="F101" s="170"/>
    </row>
    <row r="102" spans="1:13" x14ac:dyDescent="0.2">
      <c r="B102" s="147"/>
      <c r="C102" s="170"/>
      <c r="D102" s="170"/>
      <c r="E102" s="170"/>
      <c r="F102" s="170"/>
    </row>
    <row r="103" spans="1:13" x14ac:dyDescent="0.2">
      <c r="B103" s="172" t="s">
        <v>580</v>
      </c>
      <c r="C103" s="170"/>
      <c r="D103" s="111" t="s">
        <v>581</v>
      </c>
      <c r="E103" s="170"/>
      <c r="F103" s="170"/>
      <c r="I103" t="s">
        <v>582</v>
      </c>
    </row>
    <row r="104" spans="1:13" x14ac:dyDescent="0.2">
      <c r="B104" s="147"/>
      <c r="C104" s="170"/>
      <c r="D104" s="111" t="s">
        <v>583</v>
      </c>
      <c r="E104" s="170"/>
      <c r="F104" s="170"/>
      <c r="I104" t="s">
        <v>584</v>
      </c>
    </row>
    <row r="105" spans="1:13" x14ac:dyDescent="0.2">
      <c r="B105" s="147"/>
      <c r="C105" s="170"/>
      <c r="D105" s="172" t="s">
        <v>585</v>
      </c>
      <c r="E105" s="147"/>
      <c r="F105" s="147"/>
      <c r="I105" t="s">
        <v>586</v>
      </c>
    </row>
    <row r="106" spans="1:13" x14ac:dyDescent="0.2">
      <c r="B106" s="147"/>
      <c r="C106" s="171"/>
      <c r="D106" s="147"/>
      <c r="E106" s="147"/>
      <c r="F106" s="147"/>
    </row>
    <row r="107" spans="1:13" x14ac:dyDescent="0.2">
      <c r="B107" t="s">
        <v>587</v>
      </c>
      <c r="C107" s="111"/>
    </row>
    <row r="108" spans="1:13" x14ac:dyDescent="0.2">
      <c r="B108" t="s">
        <v>588</v>
      </c>
      <c r="C108" s="111"/>
    </row>
    <row r="109" spans="1:13" x14ac:dyDescent="0.2">
      <c r="C109" s="111"/>
    </row>
    <row r="111" spans="1:13" s="120" customFormat="1" x14ac:dyDescent="0.2"/>
    <row r="112" spans="1:13" x14ac:dyDescent="0.2">
      <c r="A112" t="s">
        <v>265</v>
      </c>
      <c r="B112" t="s">
        <v>589</v>
      </c>
      <c r="L112" t="s">
        <v>257</v>
      </c>
      <c r="M112" t="s">
        <v>589</v>
      </c>
    </row>
    <row r="113" spans="2:20" x14ac:dyDescent="0.2">
      <c r="B113" t="s">
        <v>590</v>
      </c>
      <c r="D113" s="122" t="s">
        <v>591</v>
      </c>
      <c r="H113" t="s">
        <v>101</v>
      </c>
      <c r="M113" t="s">
        <v>590</v>
      </c>
      <c r="O113" s="122" t="s">
        <v>591</v>
      </c>
      <c r="S113" t="s">
        <v>101</v>
      </c>
    </row>
    <row r="114" spans="2:20" x14ac:dyDescent="0.2">
      <c r="B114" t="s">
        <v>88</v>
      </c>
      <c r="C114">
        <v>1</v>
      </c>
      <c r="D114">
        <v>5</v>
      </c>
      <c r="E114">
        <f>C114*D114</f>
        <v>5</v>
      </c>
      <c r="H114" t="s">
        <v>104</v>
      </c>
      <c r="I114">
        <v>165</v>
      </c>
      <c r="M114" t="s">
        <v>88</v>
      </c>
      <c r="N114">
        <v>1</v>
      </c>
      <c r="O114">
        <v>5</v>
      </c>
      <c r="P114">
        <f>N114*O114</f>
        <v>5</v>
      </c>
      <c r="S114" t="s">
        <v>104</v>
      </c>
      <c r="T114">
        <v>165</v>
      </c>
    </row>
    <row r="115" spans="2:20" x14ac:dyDescent="0.2">
      <c r="B115" t="s">
        <v>91</v>
      </c>
      <c r="C115">
        <v>35</v>
      </c>
      <c r="D115">
        <v>1</v>
      </c>
      <c r="E115">
        <f t="shared" ref="E115:E117" si="8">C115*D115</f>
        <v>35</v>
      </c>
      <c r="H115" t="s">
        <v>106</v>
      </c>
      <c r="I115">
        <v>175</v>
      </c>
      <c r="M115" t="s">
        <v>91</v>
      </c>
      <c r="N115">
        <v>35</v>
      </c>
      <c r="O115">
        <v>1</v>
      </c>
      <c r="P115">
        <f t="shared" ref="P115:P117" si="9">N115*O115</f>
        <v>35</v>
      </c>
      <c r="S115" t="s">
        <v>106</v>
      </c>
      <c r="T115">
        <v>175</v>
      </c>
    </row>
    <row r="116" spans="2:20" x14ac:dyDescent="0.2">
      <c r="B116" t="s">
        <v>94</v>
      </c>
      <c r="C116">
        <v>3</v>
      </c>
      <c r="D116">
        <v>2.5</v>
      </c>
      <c r="E116">
        <f t="shared" si="8"/>
        <v>7.5</v>
      </c>
      <c r="H116" s="121" t="s">
        <v>107</v>
      </c>
      <c r="I116">
        <v>400</v>
      </c>
      <c r="M116" t="s">
        <v>94</v>
      </c>
      <c r="N116">
        <v>3</v>
      </c>
      <c r="O116">
        <v>2.5</v>
      </c>
      <c r="P116">
        <f t="shared" si="9"/>
        <v>7.5</v>
      </c>
      <c r="S116" s="121" t="s">
        <v>107</v>
      </c>
      <c r="T116">
        <v>400</v>
      </c>
    </row>
    <row r="117" spans="2:20" x14ac:dyDescent="0.2">
      <c r="B117" t="s">
        <v>96</v>
      </c>
      <c r="C117" s="174">
        <v>7</v>
      </c>
      <c r="D117">
        <v>1</v>
      </c>
      <c r="E117">
        <f t="shared" si="8"/>
        <v>7</v>
      </c>
      <c r="H117" s="121" t="s">
        <v>108</v>
      </c>
      <c r="I117">
        <v>280</v>
      </c>
      <c r="M117" t="s">
        <v>96</v>
      </c>
      <c r="N117">
        <v>7</v>
      </c>
      <c r="O117">
        <v>1</v>
      </c>
      <c r="P117">
        <f t="shared" si="9"/>
        <v>7</v>
      </c>
      <c r="S117" s="121" t="s">
        <v>108</v>
      </c>
      <c r="T117">
        <v>280</v>
      </c>
    </row>
    <row r="118" spans="2:20" x14ac:dyDescent="0.2">
      <c r="B118" t="s">
        <v>64</v>
      </c>
      <c r="C118">
        <f>SUM(C114:C117)</f>
        <v>46</v>
      </c>
      <c r="E118">
        <f>SUM(E114:E117)</f>
        <v>54.5</v>
      </c>
      <c r="H118" s="121" t="s">
        <v>110</v>
      </c>
      <c r="I118">
        <v>350</v>
      </c>
      <c r="M118" t="s">
        <v>64</v>
      </c>
      <c r="N118">
        <f>SUM(N114:N117)</f>
        <v>46</v>
      </c>
      <c r="P118">
        <f>SUM(P114:P117)</f>
        <v>54.5</v>
      </c>
      <c r="S118" s="121" t="s">
        <v>110</v>
      </c>
      <c r="T118">
        <v>350</v>
      </c>
    </row>
    <row r="119" spans="2:20" x14ac:dyDescent="0.2">
      <c r="B119" t="s">
        <v>592</v>
      </c>
      <c r="H119" s="121" t="s">
        <v>111</v>
      </c>
      <c r="I119">
        <v>135</v>
      </c>
      <c r="M119" t="s">
        <v>592</v>
      </c>
      <c r="S119" s="121" t="s">
        <v>111</v>
      </c>
      <c r="T119">
        <v>135</v>
      </c>
    </row>
    <row r="120" spans="2:20" x14ac:dyDescent="0.2">
      <c r="C120" t="s">
        <v>102</v>
      </c>
      <c r="D120" t="s">
        <v>103</v>
      </c>
      <c r="E120" t="s">
        <v>64</v>
      </c>
      <c r="H120" t="s">
        <v>112</v>
      </c>
      <c r="I120">
        <v>290</v>
      </c>
      <c r="N120" t="s">
        <v>102</v>
      </c>
      <c r="O120" t="s">
        <v>103</v>
      </c>
      <c r="P120" t="s">
        <v>64</v>
      </c>
      <c r="S120" t="s">
        <v>112</v>
      </c>
    </row>
    <row r="121" spans="2:20" x14ac:dyDescent="0.2">
      <c r="B121" t="s">
        <v>105</v>
      </c>
      <c r="C121" s="174">
        <v>5500</v>
      </c>
      <c r="D121">
        <f>$E$118</f>
        <v>54.5</v>
      </c>
      <c r="E121">
        <f>C121*D121</f>
        <v>299750</v>
      </c>
      <c r="M121" t="s">
        <v>105</v>
      </c>
      <c r="N121">
        <v>5000</v>
      </c>
      <c r="O121">
        <f>$E$118</f>
        <v>54.5</v>
      </c>
      <c r="P121">
        <f>N121*O121</f>
        <v>272500</v>
      </c>
    </row>
    <row r="122" spans="2:20" x14ac:dyDescent="0.2">
      <c r="B122" t="s">
        <v>93</v>
      </c>
      <c r="C122">
        <v>10000</v>
      </c>
      <c r="D122">
        <v>3</v>
      </c>
      <c r="E122">
        <f t="shared" ref="E122:E124" si="10">C122*D122</f>
        <v>30000</v>
      </c>
      <c r="F122" s="173"/>
      <c r="G122" s="173"/>
      <c r="H122" s="173"/>
      <c r="M122" t="s">
        <v>93</v>
      </c>
      <c r="N122">
        <v>10000</v>
      </c>
      <c r="O122">
        <v>3</v>
      </c>
      <c r="P122">
        <f t="shared" ref="P122:P123" si="11">N122*O122</f>
        <v>30000</v>
      </c>
      <c r="Q122" s="173"/>
      <c r="R122" s="173"/>
      <c r="S122" s="173"/>
    </row>
    <row r="123" spans="2:20" x14ac:dyDescent="0.2">
      <c r="B123" t="s">
        <v>97</v>
      </c>
      <c r="C123">
        <v>2000</v>
      </c>
      <c r="D123">
        <v>2</v>
      </c>
      <c r="E123">
        <f t="shared" si="10"/>
        <v>4000</v>
      </c>
      <c r="M123" t="s">
        <v>97</v>
      </c>
      <c r="N123">
        <v>2000</v>
      </c>
      <c r="O123">
        <v>2</v>
      </c>
      <c r="P123">
        <f t="shared" si="11"/>
        <v>4000</v>
      </c>
    </row>
    <row r="124" spans="2:20" x14ac:dyDescent="0.2">
      <c r="B124" t="s">
        <v>109</v>
      </c>
      <c r="C124">
        <f>I116+I117+I118+I119</f>
        <v>1165</v>
      </c>
      <c r="D124">
        <f>C118</f>
        <v>46</v>
      </c>
      <c r="E124">
        <f t="shared" si="10"/>
        <v>53590</v>
      </c>
      <c r="M124" t="s">
        <v>109</v>
      </c>
      <c r="N124">
        <f>T116+T117+T118+T119</f>
        <v>1165</v>
      </c>
      <c r="O124">
        <f>N118</f>
        <v>46</v>
      </c>
      <c r="P124">
        <f>N124*O124</f>
        <v>53590</v>
      </c>
    </row>
    <row r="125" spans="2:20" x14ac:dyDescent="0.2">
      <c r="E125">
        <f>SUM(E121:E124)</f>
        <v>387340</v>
      </c>
      <c r="P125">
        <f>SUM(P121:P124)</f>
        <v>360090</v>
      </c>
    </row>
    <row r="126" spans="2:20" x14ac:dyDescent="0.2">
      <c r="M126" t="s">
        <v>406</v>
      </c>
    </row>
    <row r="127" spans="2:20" x14ac:dyDescent="0.2">
      <c r="N127" t="s">
        <v>105</v>
      </c>
      <c r="O127" t="s">
        <v>593</v>
      </c>
      <c r="P127" t="s">
        <v>594</v>
      </c>
      <c r="Q127" t="s">
        <v>64</v>
      </c>
    </row>
    <row r="128" spans="2:20" x14ac:dyDescent="0.2">
      <c r="M128" t="s">
        <v>88</v>
      </c>
      <c r="N128">
        <f>$N$121*O114</f>
        <v>25000</v>
      </c>
      <c r="O128">
        <f>$N$124</f>
        <v>1165</v>
      </c>
      <c r="P128" s="146">
        <f>($P$122+$P$123)*O114/$P$118</f>
        <v>3119.2660550458718</v>
      </c>
      <c r="Q128" s="146">
        <f>SUM(N128:P128)</f>
        <v>29284.266055045871</v>
      </c>
    </row>
    <row r="129" spans="2:17" x14ac:dyDescent="0.2">
      <c r="M129" t="s">
        <v>91</v>
      </c>
      <c r="N129">
        <f t="shared" ref="N129:N131" si="12">$N$121*O115</f>
        <v>5000</v>
      </c>
      <c r="O129">
        <f t="shared" ref="O129:O131" si="13">$N$124</f>
        <v>1165</v>
      </c>
      <c r="P129" s="146">
        <f t="shared" ref="P129:P131" si="14">($P$122+$P$123)*O115/$P$118</f>
        <v>623.85321100917429</v>
      </c>
      <c r="Q129" s="146">
        <f t="shared" ref="Q129:Q131" si="15">SUM(N129:P129)</f>
        <v>6788.8532110091746</v>
      </c>
    </row>
    <row r="130" spans="2:17" x14ac:dyDescent="0.2">
      <c r="M130" t="s">
        <v>94</v>
      </c>
      <c r="N130">
        <f t="shared" si="12"/>
        <v>12500</v>
      </c>
      <c r="O130">
        <f t="shared" si="13"/>
        <v>1165</v>
      </c>
      <c r="P130" s="146">
        <f t="shared" si="14"/>
        <v>1559.6330275229359</v>
      </c>
      <c r="Q130" s="146">
        <f t="shared" si="15"/>
        <v>15224.633027522936</v>
      </c>
    </row>
    <row r="131" spans="2:17" x14ac:dyDescent="0.2">
      <c r="M131" t="s">
        <v>96</v>
      </c>
      <c r="N131">
        <f t="shared" si="12"/>
        <v>5000</v>
      </c>
      <c r="O131">
        <f t="shared" si="13"/>
        <v>1165</v>
      </c>
      <c r="P131" s="146">
        <f t="shared" si="14"/>
        <v>623.85321100917429</v>
      </c>
      <c r="Q131" s="146">
        <f t="shared" si="15"/>
        <v>6788.8532110091746</v>
      </c>
    </row>
    <row r="138" spans="2:17" s="120" customFormat="1" x14ac:dyDescent="0.2"/>
    <row r="139" spans="2:17" x14ac:dyDescent="0.2">
      <c r="B139" t="s">
        <v>500</v>
      </c>
    </row>
    <row r="140" spans="2:17" x14ac:dyDescent="0.2">
      <c r="B140" s="17" t="s">
        <v>595</v>
      </c>
      <c r="C140" s="17"/>
    </row>
    <row r="142" spans="2:17" x14ac:dyDescent="0.2">
      <c r="B142" t="s">
        <v>439</v>
      </c>
    </row>
    <row r="148" spans="2:8" x14ac:dyDescent="0.2">
      <c r="B148" t="s">
        <v>596</v>
      </c>
      <c r="E148" t="s">
        <v>597</v>
      </c>
    </row>
    <row r="149" spans="2:8" x14ac:dyDescent="0.2">
      <c r="B149" t="s">
        <v>598</v>
      </c>
      <c r="E149" t="s">
        <v>599</v>
      </c>
    </row>
    <row r="150" spans="2:8" x14ac:dyDescent="0.2">
      <c r="E150" t="s">
        <v>600</v>
      </c>
      <c r="H150">
        <f>1200*K43</f>
        <v>714060.00000000012</v>
      </c>
    </row>
    <row r="151" spans="2:8" x14ac:dyDescent="0.2">
      <c r="B151" t="s">
        <v>601</v>
      </c>
      <c r="E151" t="s">
        <v>602</v>
      </c>
    </row>
    <row r="152" spans="2:8" x14ac:dyDescent="0.2">
      <c r="E152" t="s">
        <v>603</v>
      </c>
    </row>
    <row r="153" spans="2:8" x14ac:dyDescent="0.2">
      <c r="E153" t="s">
        <v>604</v>
      </c>
    </row>
    <row r="155" spans="2:8" x14ac:dyDescent="0.2">
      <c r="B155" t="s">
        <v>605</v>
      </c>
      <c r="E155" t="s">
        <v>606</v>
      </c>
      <c r="G155" s="127">
        <v>423285.9</v>
      </c>
    </row>
    <row r="156" spans="2:8" x14ac:dyDescent="0.2">
      <c r="E156" s="17" t="s">
        <v>607</v>
      </c>
      <c r="F156" s="17"/>
    </row>
    <row r="157" spans="2:8" x14ac:dyDescent="0.2">
      <c r="B157" t="s">
        <v>608</v>
      </c>
    </row>
    <row r="160" spans="2:8" x14ac:dyDescent="0.2">
      <c r="B160" t="s">
        <v>609</v>
      </c>
    </row>
    <row r="161" spans="2:25" x14ac:dyDescent="0.2">
      <c r="B161" t="s">
        <v>610</v>
      </c>
    </row>
    <row r="162" spans="2:25" x14ac:dyDescent="0.2">
      <c r="B162" t="s">
        <v>611</v>
      </c>
    </row>
    <row r="163" spans="2:25" ht="17" thickBot="1" x14ac:dyDescent="0.25"/>
    <row r="164" spans="2:25" x14ac:dyDescent="0.2">
      <c r="B164" t="s">
        <v>612</v>
      </c>
      <c r="J164" s="107"/>
      <c r="K164" s="108"/>
      <c r="L164" s="108"/>
      <c r="M164" s="108"/>
      <c r="N164" s="108"/>
      <c r="O164" s="108"/>
      <c r="P164" s="108"/>
      <c r="Q164" s="108"/>
      <c r="R164" s="108"/>
      <c r="S164" s="108"/>
      <c r="T164" s="108"/>
      <c r="U164" s="108"/>
      <c r="V164" s="108"/>
      <c r="W164" s="108"/>
      <c r="X164" s="108"/>
      <c r="Y164" s="109"/>
    </row>
    <row r="165" spans="2:25" x14ac:dyDescent="0.2">
      <c r="B165" t="s">
        <v>613</v>
      </c>
      <c r="J165" s="128"/>
      <c r="K165" t="s">
        <v>546</v>
      </c>
      <c r="Y165" s="114"/>
    </row>
    <row r="166" spans="2:25" x14ac:dyDescent="0.2">
      <c r="J166" s="128"/>
      <c r="Y166" s="114"/>
    </row>
    <row r="167" spans="2:25" x14ac:dyDescent="0.2">
      <c r="B167" s="87"/>
      <c r="C167" s="137" t="s">
        <v>614</v>
      </c>
      <c r="D167" s="137" t="s">
        <v>277</v>
      </c>
      <c r="E167" s="137" t="s">
        <v>278</v>
      </c>
      <c r="F167" s="138" t="s">
        <v>279</v>
      </c>
      <c r="J167" s="128"/>
      <c r="K167" t="s">
        <v>615</v>
      </c>
      <c r="L167" s="122"/>
      <c r="T167" t="s">
        <v>616</v>
      </c>
      <c r="Y167" s="114"/>
    </row>
    <row r="168" spans="2:25" x14ac:dyDescent="0.2">
      <c r="B168" s="93" t="s">
        <v>128</v>
      </c>
      <c r="C168">
        <f t="shared" ref="C168:F169" si="16">H68</f>
        <v>50</v>
      </c>
      <c r="D168">
        <f t="shared" si="16"/>
        <v>103</v>
      </c>
      <c r="E168">
        <f t="shared" si="16"/>
        <v>66</v>
      </c>
      <c r="F168" s="94">
        <f t="shared" si="16"/>
        <v>325</v>
      </c>
      <c r="J168" s="128"/>
      <c r="K168" s="84" t="s">
        <v>617</v>
      </c>
      <c r="L168" s="157" t="s">
        <v>618</v>
      </c>
      <c r="M168" s="85" t="s">
        <v>619</v>
      </c>
      <c r="N168" s="156" t="s">
        <v>620</v>
      </c>
      <c r="O168" s="86" t="s">
        <v>621</v>
      </c>
      <c r="P168" s="85" t="s">
        <v>622</v>
      </c>
      <c r="Q168" s="157" t="s">
        <v>623</v>
      </c>
      <c r="R168" s="85" t="s">
        <v>549</v>
      </c>
      <c r="S168" s="86" t="s">
        <v>624</v>
      </c>
      <c r="T168" s="84" t="s">
        <v>617</v>
      </c>
      <c r="U168" s="157" t="s">
        <v>618</v>
      </c>
      <c r="V168" s="85" t="s">
        <v>619</v>
      </c>
      <c r="W168" s="156" t="s">
        <v>625</v>
      </c>
      <c r="Y168" s="114"/>
    </row>
    <row r="169" spans="2:25" x14ac:dyDescent="0.2">
      <c r="B169" s="93" t="s">
        <v>626</v>
      </c>
      <c r="C169">
        <f t="shared" si="16"/>
        <v>100</v>
      </c>
      <c r="D169">
        <f t="shared" si="16"/>
        <v>206</v>
      </c>
      <c r="E169">
        <f t="shared" si="16"/>
        <v>100</v>
      </c>
      <c r="F169" s="94">
        <f t="shared" si="16"/>
        <v>650</v>
      </c>
      <c r="J169" s="163" t="s">
        <v>258</v>
      </c>
      <c r="K169" s="155">
        <v>0</v>
      </c>
      <c r="L169" s="152">
        <v>0</v>
      </c>
      <c r="M169" s="152">
        <v>0</v>
      </c>
      <c r="N169" s="158">
        <v>0</v>
      </c>
      <c r="O169" s="152">
        <v>0</v>
      </c>
      <c r="P169" s="154">
        <v>1200</v>
      </c>
      <c r="Q169" s="152">
        <v>0</v>
      </c>
      <c r="R169" s="154">
        <v>0</v>
      </c>
      <c r="S169" s="91">
        <v>0</v>
      </c>
      <c r="T169" s="152"/>
      <c r="U169" s="91"/>
      <c r="V169" s="91"/>
      <c r="W169" s="92">
        <v>0</v>
      </c>
      <c r="X169" s="91"/>
      <c r="Y169" s="164"/>
    </row>
    <row r="170" spans="2:25" x14ac:dyDescent="0.2">
      <c r="B170" s="90"/>
      <c r="C170" s="139">
        <f>C168/C169</f>
        <v>0.5</v>
      </c>
      <c r="D170" s="139">
        <f>D168/D169</f>
        <v>0.5</v>
      </c>
      <c r="E170" s="139">
        <f>E168/E169</f>
        <v>0.66</v>
      </c>
      <c r="F170" s="140">
        <f>F168/F169</f>
        <v>0.5</v>
      </c>
      <c r="J170" s="165" t="s">
        <v>257</v>
      </c>
      <c r="K170" s="84">
        <f>2400</f>
        <v>2400</v>
      </c>
      <c r="L170" s="85">
        <f>2400</f>
        <v>2400</v>
      </c>
      <c r="M170" s="85">
        <f>3600</f>
        <v>3600</v>
      </c>
      <c r="N170" s="157">
        <v>1200</v>
      </c>
      <c r="O170" s="85">
        <v>0</v>
      </c>
      <c r="P170" s="153">
        <v>1200</v>
      </c>
      <c r="Q170" s="85">
        <f>R170/P169</f>
        <v>0.94</v>
      </c>
      <c r="R170" s="153">
        <v>1128</v>
      </c>
      <c r="S170" s="161">
        <v>544</v>
      </c>
      <c r="T170" s="86">
        <f>K171</f>
        <v>2544</v>
      </c>
      <c r="U170" s="134">
        <f t="shared" ref="U170:V170" si="17">L171</f>
        <v>2544</v>
      </c>
      <c r="V170" s="134">
        <f t="shared" si="17"/>
        <v>3816</v>
      </c>
      <c r="W170" s="156">
        <f>R170-S170</f>
        <v>584</v>
      </c>
      <c r="X170" s="161"/>
      <c r="Y170" s="166"/>
    </row>
    <row r="171" spans="2:25" x14ac:dyDescent="0.2">
      <c r="B171" t="s">
        <v>627</v>
      </c>
      <c r="J171" s="167" t="s">
        <v>265</v>
      </c>
      <c r="K171" s="84">
        <f>2544</f>
        <v>2544</v>
      </c>
      <c r="L171" s="85">
        <f>2544</f>
        <v>2544</v>
      </c>
      <c r="M171" s="85">
        <f>3816</f>
        <v>3816</v>
      </c>
      <c r="N171" s="157">
        <v>1272</v>
      </c>
      <c r="O171" s="85">
        <f>R170-S170</f>
        <v>584</v>
      </c>
      <c r="P171" s="159">
        <f>(P170-O171)/0.94</f>
        <v>655.31914893617022</v>
      </c>
      <c r="Q171" s="85">
        <v>0.94</v>
      </c>
      <c r="R171" s="153"/>
      <c r="S171" s="169"/>
      <c r="T171" s="160"/>
      <c r="U171" s="160"/>
      <c r="V171" s="160"/>
      <c r="W171" s="162">
        <f>O171+R171-S171</f>
        <v>584</v>
      </c>
      <c r="X171" s="88"/>
      <c r="Y171" s="168"/>
    </row>
    <row r="172" spans="2:25" x14ac:dyDescent="0.2">
      <c r="J172" s="128"/>
      <c r="K172" s="134"/>
      <c r="L172" s="134"/>
      <c r="M172" s="134"/>
      <c r="Y172" s="114"/>
    </row>
    <row r="173" spans="2:25" x14ac:dyDescent="0.2">
      <c r="B173" t="s">
        <v>628</v>
      </c>
      <c r="C173" s="136">
        <f>SUM(C168:F168)/SUM(C169:F169)</f>
        <v>0.51515151515151514</v>
      </c>
      <c r="D173" t="s">
        <v>629</v>
      </c>
      <c r="J173" s="128"/>
      <c r="K173" t="s">
        <v>257</v>
      </c>
      <c r="L173" s="122" t="s">
        <v>120</v>
      </c>
      <c r="M173" t="s">
        <v>510</v>
      </c>
      <c r="Q173">
        <v>0.6</v>
      </c>
      <c r="R173">
        <f>P171+O171</f>
        <v>1239.3191489361702</v>
      </c>
      <c r="Y173" s="114"/>
    </row>
    <row r="174" spans="2:25" x14ac:dyDescent="0.2">
      <c r="B174" t="s">
        <v>292</v>
      </c>
      <c r="C174">
        <v>1056</v>
      </c>
      <c r="D174" t="s">
        <v>630</v>
      </c>
      <c r="J174" s="128"/>
      <c r="L174">
        <v>423285.9</v>
      </c>
      <c r="R174">
        <f>Q173*R173</f>
        <v>743.59148936170209</v>
      </c>
      <c r="Y174" s="114"/>
    </row>
    <row r="175" spans="2:25" x14ac:dyDescent="0.2">
      <c r="B175" t="s">
        <v>290</v>
      </c>
      <c r="C175">
        <v>1200</v>
      </c>
      <c r="D175" t="s">
        <v>631</v>
      </c>
      <c r="J175" s="128"/>
      <c r="R175">
        <f>R173-R174</f>
        <v>495.72765957446813</v>
      </c>
      <c r="Y175" s="114"/>
    </row>
    <row r="176" spans="2:25" x14ac:dyDescent="0.2">
      <c r="J176" s="128"/>
      <c r="K176" t="s">
        <v>342</v>
      </c>
      <c r="L176" t="s">
        <v>18</v>
      </c>
      <c r="Y176" s="114"/>
    </row>
    <row r="177" spans="2:25" x14ac:dyDescent="0.2">
      <c r="B177" t="s">
        <v>632</v>
      </c>
      <c r="C177">
        <v>544</v>
      </c>
      <c r="D177" s="144">
        <f>C177/C173</f>
        <v>1056</v>
      </c>
      <c r="E177" t="s">
        <v>633</v>
      </c>
      <c r="J177" s="128"/>
      <c r="Y177" s="114"/>
    </row>
    <row r="178" spans="2:25" ht="17" thickBot="1" x14ac:dyDescent="0.25">
      <c r="B178" t="s">
        <v>634</v>
      </c>
      <c r="J178" s="117"/>
      <c r="K178" s="129"/>
      <c r="L178" s="129"/>
      <c r="M178" s="129"/>
      <c r="N178" s="129"/>
      <c r="O178" s="129"/>
      <c r="P178" s="129"/>
      <c r="Q178" s="129"/>
      <c r="R178" s="129"/>
      <c r="S178" s="129"/>
      <c r="T178" s="129"/>
      <c r="U178" s="129"/>
      <c r="V178" s="129"/>
      <c r="W178" s="129"/>
      <c r="X178" s="129"/>
      <c r="Y178" s="131"/>
    </row>
    <row r="179" spans="2:25" x14ac:dyDescent="0.2">
      <c r="B179" t="s">
        <v>635</v>
      </c>
      <c r="C179" s="144">
        <f>C182/0.94</f>
        <v>502.12765957446811</v>
      </c>
      <c r="L179" s="122"/>
    </row>
    <row r="180" spans="2:25" x14ac:dyDescent="0.2">
      <c r="L180" s="122"/>
    </row>
    <row r="181" spans="2:25" x14ac:dyDescent="0.2">
      <c r="B181" t="s">
        <v>636</v>
      </c>
      <c r="C181">
        <v>584</v>
      </c>
      <c r="L181" s="122"/>
    </row>
    <row r="182" spans="2:25" x14ac:dyDescent="0.2">
      <c r="B182" t="s">
        <v>637</v>
      </c>
      <c r="C182">
        <f>D177-C181</f>
        <v>472</v>
      </c>
      <c r="J182" t="s">
        <v>638</v>
      </c>
      <c r="K182">
        <v>100</v>
      </c>
    </row>
    <row r="183" spans="2:25" x14ac:dyDescent="0.2">
      <c r="J183" t="s">
        <v>639</v>
      </c>
      <c r="K183">
        <v>200</v>
      </c>
    </row>
    <row r="184" spans="2:25" x14ac:dyDescent="0.2">
      <c r="J184" t="s">
        <v>640</v>
      </c>
      <c r="K184">
        <v>200</v>
      </c>
    </row>
    <row r="185" spans="2:25" x14ac:dyDescent="0.2">
      <c r="B185" s="134" t="s">
        <v>641</v>
      </c>
      <c r="C185">
        <v>1200</v>
      </c>
      <c r="J185" t="s">
        <v>642</v>
      </c>
      <c r="K185">
        <v>700</v>
      </c>
    </row>
    <row r="186" spans="2:25" x14ac:dyDescent="0.2">
      <c r="B186" t="s">
        <v>643</v>
      </c>
      <c r="C186">
        <v>584</v>
      </c>
    </row>
    <row r="187" spans="2:25" x14ac:dyDescent="0.2">
      <c r="C187" s="169">
        <f>C185-C186</f>
        <v>616</v>
      </c>
    </row>
    <row r="189" spans="2:25" x14ac:dyDescent="0.2">
      <c r="J189" s="134"/>
      <c r="K189" s="134"/>
      <c r="L189" s="134"/>
      <c r="M189" s="134"/>
      <c r="R189" s="134"/>
      <c r="S189" s="134"/>
      <c r="T189" s="134"/>
    </row>
    <row r="190" spans="2:25" x14ac:dyDescent="0.2">
      <c r="J190" s="134"/>
      <c r="K190" s="134"/>
      <c r="L190" s="134"/>
      <c r="M190" s="134"/>
    </row>
    <row r="191" spans="2:25" x14ac:dyDescent="0.2">
      <c r="J191" s="134"/>
      <c r="K191" s="134"/>
      <c r="L191" s="134"/>
    </row>
  </sheetData>
  <mergeCells count="1">
    <mergeCell ref="C38:E38"/>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CB90FA37-D5A5-9B4A-BE1B-6EB0DD2C4828}">
          <x14:formula1>
            <xm:f>Reference!$B$1:$B$4</xm:f>
          </x14:formula1>
          <xm:sqref>I40 U41 U48</xm:sqref>
        </x14:dataValidation>
        <x14:dataValidation type="list" allowBlank="1" showInputMessage="1" showErrorMessage="1" xr:uid="{085B8ED9-BC42-6C4A-BC56-AA81843CA19B}">
          <x14:formula1>
            <xm:f>Reference!$D$1:$D$4</xm:f>
          </x14:formula1>
          <xm:sqref>I42 U43 U50</xm:sqref>
        </x14:dataValidation>
        <x14:dataValidation type="list" allowBlank="1" showInputMessage="1" showErrorMessage="1" xr:uid="{ADCEF0D4-CD86-7544-AF2D-4172BC05EC4A}">
          <x14:formula1>
            <xm:f>Reference!$A$1:$A$3</xm:f>
          </x14:formula1>
          <xm:sqref>I39 U40 U47</xm:sqref>
        </x14:dataValidation>
        <x14:dataValidation type="list" allowBlank="1" showInputMessage="1" showErrorMessage="1" xr:uid="{515C437D-D632-9842-A8FB-0A377A0F1F1E}">
          <x14:formula1>
            <xm:f>Reference!$C$1:$C$5</xm:f>
          </x14:formula1>
          <xm:sqref>I41 U42 U49</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A7953-E79B-FC4C-9E43-83DC1FCB6648}">
  <sheetPr codeName="Sheet30"/>
  <dimension ref="A1:L44"/>
  <sheetViews>
    <sheetView topLeftCell="A7" zoomScale="110" workbookViewId="0">
      <selection activeCell="J28" sqref="J28"/>
    </sheetView>
  </sheetViews>
  <sheetFormatPr baseColWidth="10" defaultColWidth="10.83203125" defaultRowHeight="16" x14ac:dyDescent="0.2"/>
  <cols>
    <col min="1" max="1" width="10.83203125" style="4"/>
    <col min="2" max="2" width="19.5" style="5" bestFit="1" customWidth="1"/>
    <col min="3" max="3" width="10.83203125" style="6"/>
    <col min="4" max="4" width="10.83203125" style="4"/>
    <col min="5" max="5" width="12.33203125" style="4" bestFit="1" customWidth="1"/>
    <col min="6" max="7" width="10.83203125" style="4"/>
    <col min="8" max="8" width="16" style="4" bestFit="1" customWidth="1"/>
    <col min="9" max="10" width="10.83203125" style="4"/>
    <col min="11" max="11" width="17.1640625" style="4" bestFit="1" customWidth="1"/>
    <col min="12" max="16384" width="10.83203125" style="4"/>
  </cols>
  <sheetData>
    <row r="1" spans="1:12" x14ac:dyDescent="0.2">
      <c r="A1" s="5"/>
      <c r="B1" s="5" t="s">
        <v>644</v>
      </c>
      <c r="C1" s="6">
        <v>3200000</v>
      </c>
    </row>
    <row r="2" spans="1:12" x14ac:dyDescent="0.2">
      <c r="A2" s="5" t="s">
        <v>258</v>
      </c>
      <c r="B2" s="42" t="s">
        <v>551</v>
      </c>
    </row>
    <row r="3" spans="1:12" x14ac:dyDescent="0.2">
      <c r="B3" s="5" t="s">
        <v>484</v>
      </c>
    </row>
    <row r="4" spans="1:12" x14ac:dyDescent="0.2">
      <c r="B4" s="5" t="s">
        <v>645</v>
      </c>
    </row>
    <row r="5" spans="1:12" x14ac:dyDescent="0.2">
      <c r="B5" s="5" t="s">
        <v>500</v>
      </c>
    </row>
    <row r="9" spans="1:12" x14ac:dyDescent="0.2">
      <c r="B9" s="4"/>
      <c r="C9" s="4"/>
      <c r="H9" s="4" t="s">
        <v>439</v>
      </c>
    </row>
    <row r="10" spans="1:12" x14ac:dyDescent="0.2">
      <c r="A10" s="4" t="s">
        <v>551</v>
      </c>
      <c r="B10" s="5" t="s">
        <v>440</v>
      </c>
      <c r="C10" s="2">
        <v>100</v>
      </c>
    </row>
    <row r="11" spans="1:12" x14ac:dyDescent="0.2">
      <c r="B11" s="5" t="s">
        <v>441</v>
      </c>
      <c r="C11" s="6">
        <f>L15</f>
        <v>39425</v>
      </c>
      <c r="G11" s="9"/>
      <c r="H11" s="10"/>
      <c r="I11" s="10" t="s">
        <v>14</v>
      </c>
      <c r="J11" s="10" t="s">
        <v>129</v>
      </c>
      <c r="K11" s="10" t="s">
        <v>16</v>
      </c>
      <c r="L11" s="11" t="s">
        <v>17</v>
      </c>
    </row>
    <row r="12" spans="1:12" x14ac:dyDescent="0.2">
      <c r="G12" s="12" t="s">
        <v>24</v>
      </c>
      <c r="H12" s="19" t="s">
        <v>25</v>
      </c>
      <c r="I12" s="17" t="s">
        <v>447</v>
      </c>
      <c r="J12" s="4">
        <f>VLOOKUP(I12,C16:D32,2,FALSE)</f>
        <v>43.2</v>
      </c>
      <c r="K12" s="4">
        <f>J12*D15</f>
        <v>86.4</v>
      </c>
      <c r="L12" s="13">
        <f>K12*$C$10</f>
        <v>8640</v>
      </c>
    </row>
    <row r="13" spans="1:12" x14ac:dyDescent="0.2">
      <c r="G13" s="12"/>
      <c r="H13" s="20" t="s">
        <v>29</v>
      </c>
      <c r="I13" s="17" t="s">
        <v>443</v>
      </c>
      <c r="J13" s="4">
        <f>VLOOKUP(I13,C17:D33,2,FALSE)</f>
        <v>117.7</v>
      </c>
      <c r="K13" s="4">
        <f>J13*D22</f>
        <v>235.4</v>
      </c>
      <c r="L13" s="13">
        <f t="shared" ref="L13:L14" si="0">K13*$C$10</f>
        <v>23540</v>
      </c>
    </row>
    <row r="14" spans="1:12" ht="17" thickBot="1" x14ac:dyDescent="0.25">
      <c r="B14" s="5" t="s">
        <v>444</v>
      </c>
      <c r="G14" s="14"/>
      <c r="H14" s="21" t="s">
        <v>32</v>
      </c>
      <c r="I14" s="18" t="s">
        <v>33</v>
      </c>
      <c r="J14" s="15">
        <f>VLOOKUP(I14,C18:D34,2,FALSE)</f>
        <v>24.150000000000002</v>
      </c>
      <c r="K14" s="15">
        <f>J14*D29</f>
        <v>72.45</v>
      </c>
      <c r="L14" s="16">
        <f t="shared" si="0"/>
        <v>7245</v>
      </c>
    </row>
    <row r="15" spans="1:12" ht="17" thickBot="1" x14ac:dyDescent="0.25">
      <c r="B15" s="55" t="s">
        <v>25</v>
      </c>
      <c r="C15" s="23">
        <f>C10*D15</f>
        <v>200</v>
      </c>
      <c r="D15" s="30">
        <v>2</v>
      </c>
      <c r="E15" s="31" t="s">
        <v>445</v>
      </c>
      <c r="G15" s="4" t="s">
        <v>646</v>
      </c>
      <c r="K15" s="4">
        <f>SUM(K12:K14)</f>
        <v>394.25</v>
      </c>
      <c r="L15" s="4">
        <f>SUM(L12:L14)</f>
        <v>39425</v>
      </c>
    </row>
    <row r="16" spans="1:12" x14ac:dyDescent="0.2">
      <c r="B16" s="43" t="s">
        <v>446</v>
      </c>
      <c r="C16" s="56" t="s">
        <v>447</v>
      </c>
      <c r="D16" s="57">
        <f xml:space="preserve"> (1+D18)*D17</f>
        <v>43.2</v>
      </c>
      <c r="E16" s="44"/>
      <c r="G16" s="4" t="s">
        <v>647</v>
      </c>
      <c r="K16" s="4">
        <f>K15+20</f>
        <v>414.25</v>
      </c>
    </row>
    <row r="17" spans="2:10" x14ac:dyDescent="0.2">
      <c r="B17" s="45"/>
      <c r="C17" s="46" t="s">
        <v>448</v>
      </c>
      <c r="D17" s="47">
        <v>40</v>
      </c>
      <c r="E17" s="44"/>
    </row>
    <row r="18" spans="2:10" ht="17" thickBot="1" x14ac:dyDescent="0.25">
      <c r="B18" s="45"/>
      <c r="C18" s="46" t="s">
        <v>449</v>
      </c>
      <c r="D18" s="48">
        <v>0.08</v>
      </c>
      <c r="E18" s="44"/>
    </row>
    <row r="19" spans="2:10" x14ac:dyDescent="0.2">
      <c r="B19" s="43" t="s">
        <v>450</v>
      </c>
      <c r="C19" s="56" t="s">
        <v>442</v>
      </c>
      <c r="D19" s="57">
        <f xml:space="preserve"> (1+D21)*D20</f>
        <v>44.52</v>
      </c>
      <c r="E19" s="44"/>
      <c r="I19" s="4">
        <v>0.8</v>
      </c>
      <c r="J19" s="4">
        <v>0.91</v>
      </c>
    </row>
    <row r="20" spans="2:10" x14ac:dyDescent="0.2">
      <c r="B20" s="45"/>
      <c r="C20" s="46" t="s">
        <v>448</v>
      </c>
      <c r="D20" s="47">
        <v>42</v>
      </c>
      <c r="E20" s="44"/>
      <c r="G20" s="19"/>
      <c r="H20" s="4">
        <f>I20/$J$19</f>
        <v>1181.5384615384617</v>
      </c>
      <c r="I20" s="4">
        <f>J20*$I$19</f>
        <v>1075.2</v>
      </c>
      <c r="J20" s="4">
        <v>1344</v>
      </c>
    </row>
    <row r="21" spans="2:10" ht="17" thickBot="1" x14ac:dyDescent="0.25">
      <c r="B21" s="49"/>
      <c r="C21" s="50" t="s">
        <v>449</v>
      </c>
      <c r="D21" s="51">
        <v>0.06</v>
      </c>
      <c r="E21" s="52"/>
      <c r="G21" s="20"/>
      <c r="H21" s="4">
        <f t="shared" ref="H21:H23" si="1">I21/$J$19</f>
        <v>801.75824175824175</v>
      </c>
      <c r="I21" s="4">
        <f t="shared" ref="I21:I23" si="2">J21*$I$19</f>
        <v>729.6</v>
      </c>
      <c r="J21" s="4">
        <v>912</v>
      </c>
    </row>
    <row r="22" spans="2:10" ht="17" thickBot="1" x14ac:dyDescent="0.25">
      <c r="B22" s="45" t="s">
        <v>451</v>
      </c>
      <c r="C22" s="53">
        <f>C10*D22</f>
        <v>200</v>
      </c>
      <c r="D22" s="54">
        <v>2</v>
      </c>
      <c r="E22" s="44" t="s">
        <v>445</v>
      </c>
      <c r="G22" s="21"/>
      <c r="H22" s="4">
        <f t="shared" si="1"/>
        <v>886.15384615384619</v>
      </c>
      <c r="I22" s="4">
        <f t="shared" si="2"/>
        <v>806.40000000000009</v>
      </c>
      <c r="J22" s="4">
        <v>1008</v>
      </c>
    </row>
    <row r="23" spans="2:10" x14ac:dyDescent="0.2">
      <c r="B23" s="43" t="s">
        <v>452</v>
      </c>
      <c r="C23" s="56" t="s">
        <v>30</v>
      </c>
      <c r="D23" s="57">
        <f>(1+D25)*D24</f>
        <v>187.20000000000002</v>
      </c>
      <c r="E23" s="44"/>
      <c r="H23" s="4">
        <f t="shared" si="1"/>
        <v>1350.3296703296705</v>
      </c>
      <c r="I23" s="4">
        <f t="shared" si="2"/>
        <v>1228.8000000000002</v>
      </c>
      <c r="J23" s="4">
        <v>1536</v>
      </c>
    </row>
    <row r="24" spans="2:10" x14ac:dyDescent="0.2">
      <c r="B24" s="45"/>
      <c r="C24" s="46" t="s">
        <v>453</v>
      </c>
      <c r="D24" s="47">
        <v>180</v>
      </c>
      <c r="E24" s="44"/>
      <c r="H24" s="4">
        <f t="shared" ref="H24:I24" si="3">SUM(H20:H23)</f>
        <v>4219.7802197802202</v>
      </c>
      <c r="I24" s="4">
        <f t="shared" si="3"/>
        <v>3840.0000000000005</v>
      </c>
      <c r="J24" s="4">
        <f>SUM(J20:J23)</f>
        <v>4800</v>
      </c>
    </row>
    <row r="25" spans="2:10" ht="17" thickBot="1" x14ac:dyDescent="0.25">
      <c r="B25" s="45"/>
      <c r="C25" s="46" t="s">
        <v>449</v>
      </c>
      <c r="D25" s="48">
        <v>0.04</v>
      </c>
      <c r="E25" s="44"/>
    </row>
    <row r="26" spans="2:10" x14ac:dyDescent="0.2">
      <c r="B26" s="43" t="s">
        <v>450</v>
      </c>
      <c r="C26" s="56" t="s">
        <v>443</v>
      </c>
      <c r="D26" s="57">
        <f>(1+D28)*D27</f>
        <v>117.7</v>
      </c>
      <c r="E26" s="44"/>
      <c r="H26" s="4">
        <f>1200*0.88</f>
        <v>1056</v>
      </c>
    </row>
    <row r="27" spans="2:10" x14ac:dyDescent="0.2">
      <c r="B27" s="45"/>
      <c r="C27" s="46" t="s">
        <v>453</v>
      </c>
      <c r="D27" s="47">
        <v>110</v>
      </c>
      <c r="E27" s="44"/>
      <c r="H27" s="4">
        <f>H26-650</f>
        <v>406</v>
      </c>
    </row>
    <row r="28" spans="2:10" ht="17" thickBot="1" x14ac:dyDescent="0.25">
      <c r="B28" s="49"/>
      <c r="C28" s="50" t="s">
        <v>449</v>
      </c>
      <c r="D28" s="51">
        <v>7.0000000000000007E-2</v>
      </c>
      <c r="E28" s="52"/>
      <c r="H28" s="37"/>
    </row>
    <row r="29" spans="2:10" ht="17" thickBot="1" x14ac:dyDescent="0.25">
      <c r="B29" s="45" t="s">
        <v>454</v>
      </c>
      <c r="C29" s="53">
        <f>D29*C10</f>
        <v>300</v>
      </c>
      <c r="D29" s="54">
        <v>3</v>
      </c>
      <c r="E29" s="44" t="s">
        <v>445</v>
      </c>
    </row>
    <row r="30" spans="2:10" x14ac:dyDescent="0.2">
      <c r="B30" s="43"/>
      <c r="C30" s="56" t="s">
        <v>33</v>
      </c>
      <c r="D30" s="57">
        <f>(1+D32)*D31</f>
        <v>24.150000000000002</v>
      </c>
      <c r="E30" s="44"/>
      <c r="H30" s="4">
        <v>1499</v>
      </c>
      <c r="I30" s="4">
        <v>1399</v>
      </c>
    </row>
    <row r="31" spans="2:10" x14ac:dyDescent="0.2">
      <c r="B31" s="45"/>
      <c r="C31" s="46" t="s">
        <v>448</v>
      </c>
      <c r="D31" s="47">
        <v>23</v>
      </c>
      <c r="E31" s="44"/>
      <c r="H31" s="4">
        <v>650</v>
      </c>
      <c r="I31" s="4">
        <v>306</v>
      </c>
    </row>
    <row r="32" spans="2:10" ht="17" thickBot="1" x14ac:dyDescent="0.25">
      <c r="B32" s="49"/>
      <c r="C32" s="50" t="s">
        <v>455</v>
      </c>
      <c r="D32" s="51">
        <v>0.05</v>
      </c>
      <c r="E32" s="52"/>
      <c r="H32" s="4">
        <f>SUMPRODUCT(H30:I30,H31:I31)</f>
        <v>1402444</v>
      </c>
    </row>
    <row r="33" spans="1:3" x14ac:dyDescent="0.2">
      <c r="B33" s="5" t="s">
        <v>646</v>
      </c>
    </row>
    <row r="34" spans="1:3" x14ac:dyDescent="0.2">
      <c r="B34" s="5" t="s">
        <v>452</v>
      </c>
      <c r="C34" s="6" t="s">
        <v>648</v>
      </c>
    </row>
    <row r="42" spans="1:3" x14ac:dyDescent="0.2">
      <c r="B42" s="5" t="s">
        <v>456</v>
      </c>
    </row>
    <row r="44" spans="1:3" x14ac:dyDescent="0.2">
      <c r="A44" s="4" t="s">
        <v>457</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8D3B7FB9-2C93-B648-B411-1F2C3C09E811}">
          <x14:formula1>
            <xm:f>Reference!$D$1:$D$2</xm:f>
          </x14:formula1>
          <xm:sqref>I14</xm:sqref>
        </x14:dataValidation>
        <x14:dataValidation type="list" allowBlank="1" showInputMessage="1" showErrorMessage="1" xr:uid="{9E1C1818-A0EA-2D4B-AA4D-9326AC6553B4}">
          <x14:formula1>
            <xm:f>Reference!$B$1:$B$3</xm:f>
          </x14:formula1>
          <xm:sqref>I12</xm:sqref>
        </x14:dataValidation>
        <x14:dataValidation type="list" allowBlank="1" showInputMessage="1" showErrorMessage="1" xr:uid="{AF5CDCE7-F043-D04F-848F-3E5E1C484379}">
          <x14:formula1>
            <xm:f>Reference!$C$1:$C$2</xm:f>
          </x14:formula1>
          <xm:sqref>I13</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57A3A-46F4-A741-B2C5-D077D7258926}">
  <sheetPr codeName="Sheet7">
    <tabColor theme="2"/>
  </sheetPr>
  <dimension ref="A2:D43"/>
  <sheetViews>
    <sheetView zoomScale="138" workbookViewId="0">
      <selection activeCell="J28" sqref="J28"/>
    </sheetView>
  </sheetViews>
  <sheetFormatPr baseColWidth="10" defaultColWidth="8.83203125" defaultRowHeight="16" x14ac:dyDescent="0.2"/>
  <cols>
    <col min="1" max="1" width="16" customWidth="1"/>
  </cols>
  <sheetData>
    <row r="2" spans="1:4" x14ac:dyDescent="0.2">
      <c r="A2" t="s">
        <v>263</v>
      </c>
    </row>
    <row r="3" spans="1:4" x14ac:dyDescent="0.2">
      <c r="A3" s="122" t="s">
        <v>649</v>
      </c>
    </row>
    <row r="5" spans="1:4" x14ac:dyDescent="0.2">
      <c r="A5" t="s">
        <v>650</v>
      </c>
    </row>
    <row r="7" spans="1:4" x14ac:dyDescent="0.2">
      <c r="A7" t="s">
        <v>276</v>
      </c>
      <c r="B7" t="s">
        <v>257</v>
      </c>
      <c r="C7" t="s">
        <v>265</v>
      </c>
      <c r="D7" t="s">
        <v>266</v>
      </c>
    </row>
    <row r="8" spans="1:4" x14ac:dyDescent="0.2">
      <c r="A8" t="s">
        <v>132</v>
      </c>
      <c r="B8">
        <f>B13/B9</f>
        <v>1499</v>
      </c>
      <c r="C8">
        <f>C13/C9</f>
        <v>1699</v>
      </c>
      <c r="D8">
        <f>D13/D9</f>
        <v>1890</v>
      </c>
    </row>
    <row r="9" spans="1:4" x14ac:dyDescent="0.2">
      <c r="A9" t="s">
        <v>651</v>
      </c>
      <c r="B9">
        <v>50</v>
      </c>
      <c r="C9">
        <v>99</v>
      </c>
      <c r="D9">
        <v>210</v>
      </c>
    </row>
    <row r="10" spans="1:4" x14ac:dyDescent="0.2">
      <c r="A10" t="s">
        <v>652</v>
      </c>
    </row>
    <row r="11" spans="1:4" x14ac:dyDescent="0.2">
      <c r="A11" t="s">
        <v>653</v>
      </c>
    </row>
    <row r="12" spans="1:4" x14ac:dyDescent="0.2">
      <c r="A12" t="s">
        <v>654</v>
      </c>
    </row>
    <row r="13" spans="1:4" x14ac:dyDescent="0.2">
      <c r="A13" t="s">
        <v>173</v>
      </c>
      <c r="B13">
        <v>74950</v>
      </c>
      <c r="C13">
        <v>168201</v>
      </c>
      <c r="D13">
        <v>396900</v>
      </c>
    </row>
    <row r="14" spans="1:4" x14ac:dyDescent="0.2">
      <c r="A14" t="s">
        <v>453</v>
      </c>
    </row>
    <row r="17" spans="1:4" x14ac:dyDescent="0.2">
      <c r="A17" t="s">
        <v>277</v>
      </c>
      <c r="B17" t="s">
        <v>257</v>
      </c>
      <c r="C17" t="s">
        <v>265</v>
      </c>
      <c r="D17" t="s">
        <v>266</v>
      </c>
    </row>
    <row r="18" spans="1:4" x14ac:dyDescent="0.2">
      <c r="A18" t="s">
        <v>132</v>
      </c>
      <c r="B18">
        <f>B23/B19</f>
        <v>1399</v>
      </c>
      <c r="C18">
        <f>C23/C19</f>
        <v>1699</v>
      </c>
      <c r="D18">
        <f>D23/D19</f>
        <v>1890</v>
      </c>
    </row>
    <row r="19" spans="1:4" x14ac:dyDescent="0.2">
      <c r="A19" t="s">
        <v>651</v>
      </c>
      <c r="B19">
        <v>103</v>
      </c>
      <c r="C19">
        <v>216</v>
      </c>
      <c r="D19">
        <v>79</v>
      </c>
    </row>
    <row r="20" spans="1:4" x14ac:dyDescent="0.2">
      <c r="A20" t="s">
        <v>652</v>
      </c>
    </row>
    <row r="21" spans="1:4" x14ac:dyDescent="0.2">
      <c r="A21" t="s">
        <v>653</v>
      </c>
    </row>
    <row r="22" spans="1:4" x14ac:dyDescent="0.2">
      <c r="A22" t="s">
        <v>654</v>
      </c>
    </row>
    <row r="23" spans="1:4" x14ac:dyDescent="0.2">
      <c r="A23" t="s">
        <v>173</v>
      </c>
      <c r="B23">
        <v>144097</v>
      </c>
      <c r="C23">
        <v>366984</v>
      </c>
      <c r="D23">
        <v>149310</v>
      </c>
    </row>
    <row r="24" spans="1:4" x14ac:dyDescent="0.2">
      <c r="A24" t="s">
        <v>453</v>
      </c>
    </row>
    <row r="26" spans="1:4" x14ac:dyDescent="0.2">
      <c r="A26" s="173" t="s">
        <v>278</v>
      </c>
      <c r="B26" s="173" t="s">
        <v>257</v>
      </c>
      <c r="C26" s="173" t="s">
        <v>265</v>
      </c>
      <c r="D26" s="173" t="s">
        <v>266</v>
      </c>
    </row>
    <row r="27" spans="1:4" x14ac:dyDescent="0.2">
      <c r="A27" s="173" t="s">
        <v>132</v>
      </c>
      <c r="B27" s="173">
        <f>B32/B28</f>
        <v>1399</v>
      </c>
      <c r="C27" s="173">
        <f>C32/C28</f>
        <v>1649</v>
      </c>
      <c r="D27" s="173">
        <f>D32/D28</f>
        <v>1845</v>
      </c>
    </row>
    <row r="28" spans="1:4" x14ac:dyDescent="0.2">
      <c r="A28" s="173" t="s">
        <v>651</v>
      </c>
      <c r="B28" s="173">
        <v>66</v>
      </c>
      <c r="C28" s="173">
        <v>207</v>
      </c>
      <c r="D28" s="173">
        <v>121</v>
      </c>
    </row>
    <row r="29" spans="1:4" x14ac:dyDescent="0.2">
      <c r="A29" s="173" t="s">
        <v>652</v>
      </c>
    </row>
    <row r="30" spans="1:4" x14ac:dyDescent="0.2">
      <c r="A30" s="173" t="s">
        <v>653</v>
      </c>
      <c r="B30" s="173"/>
      <c r="C30" s="173"/>
      <c r="D30" s="173"/>
    </row>
    <row r="31" spans="1:4" x14ac:dyDescent="0.2">
      <c r="A31" s="173" t="s">
        <v>654</v>
      </c>
      <c r="B31" s="173"/>
      <c r="C31" s="173"/>
      <c r="D31" s="173"/>
    </row>
    <row r="32" spans="1:4" x14ac:dyDescent="0.2">
      <c r="A32" s="173" t="s">
        <v>173</v>
      </c>
      <c r="B32" s="173">
        <v>92334</v>
      </c>
      <c r="C32" s="173">
        <v>341343</v>
      </c>
      <c r="D32" s="173">
        <v>223245</v>
      </c>
    </row>
    <row r="33" spans="1:4" x14ac:dyDescent="0.2">
      <c r="A33" s="173" t="s">
        <v>453</v>
      </c>
    </row>
    <row r="34" spans="1:4" x14ac:dyDescent="0.2">
      <c r="A34" s="173"/>
      <c r="B34" s="173"/>
      <c r="C34" s="173"/>
      <c r="D34" s="173"/>
    </row>
    <row r="35" spans="1:4" x14ac:dyDescent="0.2">
      <c r="A35" s="173" t="s">
        <v>279</v>
      </c>
      <c r="B35" s="173" t="s">
        <v>257</v>
      </c>
      <c r="C35" s="173" t="s">
        <v>265</v>
      </c>
      <c r="D35" s="173" t="s">
        <v>266</v>
      </c>
    </row>
    <row r="36" spans="1:4" x14ac:dyDescent="0.2">
      <c r="A36" s="173" t="s">
        <v>132</v>
      </c>
      <c r="B36" s="173">
        <f>B41/B37</f>
        <v>1499</v>
      </c>
      <c r="C36" s="173">
        <f>C41/C37</f>
        <v>1699</v>
      </c>
      <c r="D36" s="173">
        <f>D41/D37</f>
        <v>1890</v>
      </c>
    </row>
    <row r="37" spans="1:4" x14ac:dyDescent="0.2">
      <c r="A37" s="173" t="s">
        <v>651</v>
      </c>
      <c r="B37" s="173">
        <v>325</v>
      </c>
      <c r="C37" s="173">
        <v>616</v>
      </c>
      <c r="D37" s="173">
        <v>485</v>
      </c>
    </row>
    <row r="38" spans="1:4" x14ac:dyDescent="0.2">
      <c r="A38" s="173" t="s">
        <v>652</v>
      </c>
    </row>
    <row r="39" spans="1:4" x14ac:dyDescent="0.2">
      <c r="A39" s="173" t="s">
        <v>653</v>
      </c>
      <c r="B39" s="173"/>
      <c r="C39" s="173"/>
      <c r="D39" s="173"/>
    </row>
    <row r="40" spans="1:4" x14ac:dyDescent="0.2">
      <c r="A40" s="173" t="s">
        <v>654</v>
      </c>
      <c r="B40" s="173"/>
      <c r="C40" s="173"/>
      <c r="D40" s="173"/>
    </row>
    <row r="41" spans="1:4" x14ac:dyDescent="0.2">
      <c r="A41" s="173" t="s">
        <v>173</v>
      </c>
      <c r="B41" s="173">
        <v>487175</v>
      </c>
      <c r="C41" s="173">
        <v>1046584</v>
      </c>
      <c r="D41" s="173">
        <v>916650</v>
      </c>
    </row>
    <row r="42" spans="1:4" x14ac:dyDescent="0.2">
      <c r="A42" s="173" t="s">
        <v>453</v>
      </c>
      <c r="B42" s="173"/>
      <c r="C42" s="173"/>
      <c r="D42" s="173"/>
    </row>
    <row r="43" spans="1:4" x14ac:dyDescent="0.2">
      <c r="A43" s="173"/>
      <c r="B43" s="173"/>
      <c r="C43" s="173"/>
      <c r="D43" s="173"/>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0C1D7-91F7-A649-88C6-CA08853F616C}">
  <sheetPr codeName="Sheet21">
    <tabColor theme="2"/>
  </sheetPr>
  <dimension ref="A2:AH177"/>
  <sheetViews>
    <sheetView zoomScale="113" workbookViewId="0">
      <selection activeCell="J28" sqref="J28"/>
    </sheetView>
  </sheetViews>
  <sheetFormatPr baseColWidth="10" defaultColWidth="11" defaultRowHeight="16" x14ac:dyDescent="0.2"/>
  <cols>
    <col min="2" max="2" width="23.1640625" customWidth="1"/>
    <col min="3" max="3" width="12.6640625" customWidth="1"/>
    <col min="4" max="4" width="16.6640625" customWidth="1"/>
    <col min="5" max="5" width="15.33203125" bestFit="1" customWidth="1"/>
    <col min="6" max="6" width="13.6640625" bestFit="1" customWidth="1"/>
    <col min="7" max="7" width="15.1640625" customWidth="1"/>
    <col min="8" max="8" width="14.6640625" bestFit="1" customWidth="1"/>
    <col min="9" max="9" width="21.5" customWidth="1"/>
    <col min="10" max="10" width="12.5" bestFit="1" customWidth="1"/>
    <col min="11" max="11" width="16.83203125" customWidth="1"/>
    <col min="12" max="12" width="14" bestFit="1" customWidth="1"/>
    <col min="13" max="13" width="22.33203125" customWidth="1"/>
    <col min="14" max="14" width="22" customWidth="1"/>
    <col min="15" max="15" width="21.5" customWidth="1"/>
    <col min="16" max="16" width="16.5" customWidth="1"/>
    <col min="17" max="17" width="18.5" customWidth="1"/>
    <col min="18" max="18" width="13.5" customWidth="1"/>
    <col min="19" max="19" width="22.5" customWidth="1"/>
    <col min="20" max="20" width="22.1640625" customWidth="1"/>
    <col min="21" max="21" width="14.6640625" customWidth="1"/>
    <col min="22" max="22" width="22" customWidth="1"/>
    <col min="23" max="23" width="21.33203125" customWidth="1"/>
    <col min="24" max="24" width="15.33203125" bestFit="1" customWidth="1"/>
    <col min="25" max="25" width="12.5" bestFit="1" customWidth="1"/>
    <col min="26" max="26" width="11.5" bestFit="1" customWidth="1"/>
    <col min="27" max="27" width="18.5" bestFit="1" customWidth="1"/>
    <col min="30" max="30" width="19.83203125" bestFit="1" customWidth="1"/>
  </cols>
  <sheetData>
    <row r="2" spans="2:20" x14ac:dyDescent="0.2">
      <c r="B2" s="69" t="s">
        <v>404</v>
      </c>
    </row>
    <row r="4" spans="2:20" s="120" customFormat="1" x14ac:dyDescent="0.2"/>
    <row r="6" spans="2:20" x14ac:dyDescent="0.2">
      <c r="B6" t="s">
        <v>422</v>
      </c>
      <c r="D6" s="111">
        <f>D13*K14</f>
        <v>714060.00000000012</v>
      </c>
    </row>
    <row r="7" spans="2:20" x14ac:dyDescent="0.2">
      <c r="B7" s="122" t="s">
        <v>10</v>
      </c>
    </row>
    <row r="9" spans="2:20" x14ac:dyDescent="0.2">
      <c r="C9" s="588" t="s">
        <v>12</v>
      </c>
      <c r="D9" s="589"/>
      <c r="E9" s="590"/>
      <c r="G9" s="71"/>
      <c r="H9" s="72"/>
      <c r="I9" s="72" t="s">
        <v>14</v>
      </c>
      <c r="J9" s="72" t="s">
        <v>129</v>
      </c>
      <c r="K9" s="72" t="s">
        <v>16</v>
      </c>
      <c r="L9" s="73" t="s">
        <v>17</v>
      </c>
    </row>
    <row r="10" spans="2:20" x14ac:dyDescent="0.2">
      <c r="C10" s="74" t="s">
        <v>28</v>
      </c>
      <c r="D10" s="77"/>
      <c r="E10" s="13"/>
      <c r="G10" s="12"/>
      <c r="H10" s="4" t="s">
        <v>21</v>
      </c>
      <c r="I10" s="69" t="s">
        <v>22</v>
      </c>
      <c r="J10" s="4">
        <f>VLOOKUP($I$10,$C$13:D48,2,FALSE)</f>
        <v>36</v>
      </c>
      <c r="K10" s="4">
        <f>J10*$D$14</f>
        <v>36</v>
      </c>
      <c r="L10" s="13">
        <f>K10*$D$13</f>
        <v>43200</v>
      </c>
    </row>
    <row r="11" spans="2:20" x14ac:dyDescent="0.2">
      <c r="C11" s="63" t="s">
        <v>31</v>
      </c>
      <c r="D11" s="101">
        <v>1300000</v>
      </c>
      <c r="E11" s="13"/>
      <c r="G11" s="12" t="s">
        <v>24</v>
      </c>
      <c r="H11" s="19" t="s">
        <v>25</v>
      </c>
      <c r="I11" s="69" t="s">
        <v>51</v>
      </c>
      <c r="J11" s="4">
        <f>VLOOKUP($I$11,$C$14:D49,2,FALSE)</f>
        <v>56.1</v>
      </c>
      <c r="K11" s="4">
        <f>J11*$D$17</f>
        <v>112.2</v>
      </c>
      <c r="L11" s="13">
        <f>K11*$D$13</f>
        <v>134640</v>
      </c>
    </row>
    <row r="12" spans="2:20" x14ac:dyDescent="0.2">
      <c r="C12" s="63" t="s">
        <v>34</v>
      </c>
      <c r="D12" s="101">
        <v>1500000</v>
      </c>
      <c r="E12" s="13"/>
      <c r="G12" s="12"/>
      <c r="H12" s="20" t="s">
        <v>29</v>
      </c>
      <c r="I12" s="69" t="s">
        <v>30</v>
      </c>
      <c r="J12" s="4">
        <f>VLOOKUP($I$12,$C$15:D50,2,FALSE)</f>
        <v>187.20000000000002</v>
      </c>
      <c r="K12" s="4">
        <f>J12*$D$27</f>
        <v>374.40000000000003</v>
      </c>
      <c r="L12" s="13">
        <f t="shared" ref="L12:L13" si="0">K12*$D$13</f>
        <v>449280.00000000006</v>
      </c>
      <c r="T12" s="175"/>
    </row>
    <row r="13" spans="2:20" x14ac:dyDescent="0.2">
      <c r="C13" s="75" t="s">
        <v>18</v>
      </c>
      <c r="D13" s="76">
        <v>1200</v>
      </c>
      <c r="E13" s="13" t="s">
        <v>36</v>
      </c>
      <c r="G13" s="12"/>
      <c r="H13" s="70" t="s">
        <v>32</v>
      </c>
      <c r="I13" s="69" t="s">
        <v>33</v>
      </c>
      <c r="J13" s="4">
        <f>VLOOKUP($I$13,$C$10:D49,2,FALSE)</f>
        <v>24.150000000000002</v>
      </c>
      <c r="K13" s="4">
        <f>J13*$D$40</f>
        <v>72.45</v>
      </c>
      <c r="L13" s="13">
        <f t="shared" si="0"/>
        <v>86940</v>
      </c>
      <c r="T13" s="176"/>
    </row>
    <row r="14" spans="2:20" x14ac:dyDescent="0.2">
      <c r="C14" s="65" t="s">
        <v>21</v>
      </c>
      <c r="D14" s="62">
        <v>1</v>
      </c>
      <c r="E14" s="13" t="s">
        <v>39</v>
      </c>
      <c r="G14" s="71" t="s">
        <v>35</v>
      </c>
      <c r="H14" s="72"/>
      <c r="I14" s="72"/>
      <c r="J14" s="72"/>
      <c r="K14" s="72">
        <f>SUM(K10:K13)</f>
        <v>595.05000000000007</v>
      </c>
      <c r="L14" s="73">
        <f>SUM(L10:L13)</f>
        <v>714060</v>
      </c>
      <c r="T14" s="177"/>
    </row>
    <row r="15" spans="2:20" x14ac:dyDescent="0.2">
      <c r="C15" s="63" t="s">
        <v>40</v>
      </c>
      <c r="D15" s="101">
        <v>20</v>
      </c>
      <c r="E15" s="13"/>
    </row>
    <row r="16" spans="2:20" x14ac:dyDescent="0.2">
      <c r="C16" s="66" t="s">
        <v>22</v>
      </c>
      <c r="D16" s="102">
        <v>36</v>
      </c>
      <c r="E16" s="178"/>
    </row>
    <row r="17" spans="2:20" x14ac:dyDescent="0.2">
      <c r="C17" s="106" t="s">
        <v>25</v>
      </c>
      <c r="D17" s="105">
        <v>2</v>
      </c>
      <c r="E17" s="103" t="s">
        <v>39</v>
      </c>
      <c r="G17" t="s">
        <v>434</v>
      </c>
      <c r="H17">
        <f>SUMPRODUCT(H20:K20,H23:K23)</f>
        <v>16480</v>
      </c>
      <c r="I17" t="s">
        <v>435</v>
      </c>
    </row>
    <row r="18" spans="2:20" x14ac:dyDescent="0.2">
      <c r="C18" s="63" t="s">
        <v>44</v>
      </c>
      <c r="D18" s="64">
        <f>(1+D20)*D19</f>
        <v>43.2</v>
      </c>
      <c r="E18" s="103"/>
    </row>
    <row r="19" spans="2:20" x14ac:dyDescent="0.2">
      <c r="C19" s="67" t="s">
        <v>45</v>
      </c>
      <c r="D19" s="13">
        <v>40</v>
      </c>
      <c r="E19" s="103"/>
      <c r="G19" s="141" t="s">
        <v>436</v>
      </c>
      <c r="H19" s="142">
        <v>1</v>
      </c>
      <c r="I19" s="142">
        <v>2</v>
      </c>
      <c r="J19" s="142">
        <v>3</v>
      </c>
      <c r="K19" s="143">
        <v>4</v>
      </c>
      <c r="M19" s="111"/>
      <c r="N19" s="111"/>
      <c r="T19" s="175"/>
    </row>
    <row r="20" spans="2:20" x14ac:dyDescent="0.2">
      <c r="C20" s="67" t="s">
        <v>46</v>
      </c>
      <c r="D20" s="13">
        <v>0.08</v>
      </c>
      <c r="E20" s="103"/>
      <c r="G20" s="66">
        <v>2</v>
      </c>
      <c r="H20" s="91">
        <v>30</v>
      </c>
      <c r="I20" s="91">
        <v>0</v>
      </c>
      <c r="J20" s="91">
        <v>30</v>
      </c>
      <c r="K20" s="92">
        <v>40</v>
      </c>
      <c r="L20" s="175" t="s">
        <v>427</v>
      </c>
      <c r="T20" s="176"/>
    </row>
    <row r="21" spans="2:20" x14ac:dyDescent="0.2">
      <c r="C21" s="63" t="s">
        <v>26</v>
      </c>
      <c r="D21" s="64">
        <f>(1+D23)*D22</f>
        <v>44.52</v>
      </c>
      <c r="E21" s="103"/>
      <c r="L21" s="176"/>
      <c r="T21" s="177"/>
    </row>
    <row r="22" spans="2:20" x14ac:dyDescent="0.2">
      <c r="C22" s="67" t="s">
        <v>45</v>
      </c>
      <c r="D22" s="13">
        <v>42</v>
      </c>
      <c r="E22" s="103"/>
      <c r="G22" s="141" t="s">
        <v>429</v>
      </c>
      <c r="H22" s="142">
        <v>1</v>
      </c>
      <c r="I22" s="142">
        <v>2</v>
      </c>
      <c r="J22" s="142">
        <v>3</v>
      </c>
      <c r="K22" s="143">
        <v>4</v>
      </c>
      <c r="L22" s="177"/>
    </row>
    <row r="23" spans="2:20" x14ac:dyDescent="0.2">
      <c r="C23" s="67" t="s">
        <v>46</v>
      </c>
      <c r="D23" s="13">
        <v>0.06</v>
      </c>
      <c r="E23" s="103"/>
      <c r="G23" s="90"/>
      <c r="H23" s="91">
        <f>C80</f>
        <v>50</v>
      </c>
      <c r="I23" s="91">
        <f>D80</f>
        <v>103</v>
      </c>
      <c r="J23" s="91">
        <f>E80</f>
        <v>66</v>
      </c>
      <c r="K23" s="92">
        <f>F80</f>
        <v>325</v>
      </c>
      <c r="M23" s="111"/>
      <c r="N23" s="111"/>
    </row>
    <row r="24" spans="2:20" x14ac:dyDescent="0.2">
      <c r="B24" s="17" t="s">
        <v>426</v>
      </c>
      <c r="C24" s="63" t="s">
        <v>51</v>
      </c>
      <c r="D24" s="64">
        <f>(1+D26)*D25</f>
        <v>56.1</v>
      </c>
      <c r="E24" s="103"/>
    </row>
    <row r="25" spans="2:20" x14ac:dyDescent="0.2">
      <c r="C25" s="67" t="s">
        <v>45</v>
      </c>
      <c r="D25" s="13">
        <v>55</v>
      </c>
      <c r="E25" s="103"/>
    </row>
    <row r="26" spans="2:20" x14ac:dyDescent="0.2">
      <c r="C26" s="68" t="s">
        <v>46</v>
      </c>
      <c r="D26" s="16">
        <v>0.02</v>
      </c>
      <c r="E26" s="103"/>
    </row>
    <row r="27" spans="2:20" x14ac:dyDescent="0.2">
      <c r="C27" s="104" t="s">
        <v>52</v>
      </c>
      <c r="D27" s="105">
        <v>2</v>
      </c>
      <c r="E27" s="103" t="s">
        <v>39</v>
      </c>
    </row>
    <row r="28" spans="2:20" x14ac:dyDescent="0.2">
      <c r="C28" s="63" t="s">
        <v>53</v>
      </c>
      <c r="D28" s="64">
        <f>(1+D30)*D29</f>
        <v>117.7</v>
      </c>
      <c r="E28" s="103"/>
    </row>
    <row r="29" spans="2:20" x14ac:dyDescent="0.2">
      <c r="C29" s="67" t="s">
        <v>45</v>
      </c>
      <c r="D29" s="13">
        <v>110</v>
      </c>
      <c r="E29" s="103"/>
    </row>
    <row r="30" spans="2:20" x14ac:dyDescent="0.2">
      <c r="C30" s="67" t="s">
        <v>46</v>
      </c>
      <c r="D30" s="13">
        <v>7.0000000000000007E-2</v>
      </c>
      <c r="E30" s="103"/>
    </row>
    <row r="31" spans="2:20" x14ac:dyDescent="0.2">
      <c r="C31" s="63" t="s">
        <v>54</v>
      </c>
      <c r="D31" s="64">
        <f>(1+D33)*D32</f>
        <v>186.29999999999998</v>
      </c>
      <c r="E31" s="103"/>
    </row>
    <row r="32" spans="2:20" x14ac:dyDescent="0.2">
      <c r="C32" s="67" t="s">
        <v>45</v>
      </c>
      <c r="D32" s="13">
        <v>162</v>
      </c>
      <c r="E32" s="103"/>
    </row>
    <row r="33" spans="3:5" x14ac:dyDescent="0.2">
      <c r="C33" s="67" t="s">
        <v>46</v>
      </c>
      <c r="D33" s="13">
        <v>0.15</v>
      </c>
      <c r="E33" s="103"/>
    </row>
    <row r="34" spans="3:5" x14ac:dyDescent="0.2">
      <c r="C34" s="63" t="s">
        <v>55</v>
      </c>
      <c r="D34" s="64">
        <f>(1+D36)*D35</f>
        <v>193.60000000000002</v>
      </c>
      <c r="E34" s="98"/>
    </row>
    <row r="35" spans="3:5" x14ac:dyDescent="0.2">
      <c r="C35" s="67" t="s">
        <v>45</v>
      </c>
      <c r="D35" s="13">
        <v>176</v>
      </c>
      <c r="E35" s="13"/>
    </row>
    <row r="36" spans="3:5" x14ac:dyDescent="0.2">
      <c r="C36" s="67" t="s">
        <v>46</v>
      </c>
      <c r="D36" s="13">
        <v>0.1</v>
      </c>
      <c r="E36" s="13"/>
    </row>
    <row r="37" spans="3:5" x14ac:dyDescent="0.2">
      <c r="C37" s="63" t="s">
        <v>30</v>
      </c>
      <c r="D37" s="64">
        <f>(1+D39)*D38</f>
        <v>187.20000000000002</v>
      </c>
      <c r="E37" s="13"/>
    </row>
    <row r="38" spans="3:5" x14ac:dyDescent="0.2">
      <c r="C38" s="67" t="s">
        <v>45</v>
      </c>
      <c r="D38" s="13">
        <v>180</v>
      </c>
      <c r="E38" s="13"/>
    </row>
    <row r="39" spans="3:5" x14ac:dyDescent="0.2">
      <c r="C39" s="68" t="s">
        <v>46</v>
      </c>
      <c r="D39" s="16">
        <v>0.04</v>
      </c>
      <c r="E39" s="13"/>
    </row>
    <row r="40" spans="3:5" x14ac:dyDescent="0.2">
      <c r="C40" s="104" t="s">
        <v>56</v>
      </c>
      <c r="D40" s="105">
        <v>3</v>
      </c>
      <c r="E40" s="13" t="s">
        <v>39</v>
      </c>
    </row>
    <row r="41" spans="3:5" x14ac:dyDescent="0.2">
      <c r="C41" s="63" t="s">
        <v>57</v>
      </c>
      <c r="D41" s="64">
        <f>(1+D43)*D42</f>
        <v>21.599999999999998</v>
      </c>
      <c r="E41" s="13"/>
    </row>
    <row r="42" spans="3:5" x14ac:dyDescent="0.2">
      <c r="C42" s="67" t="s">
        <v>45</v>
      </c>
      <c r="D42" s="13">
        <v>18</v>
      </c>
      <c r="E42" s="13"/>
    </row>
    <row r="43" spans="3:5" x14ac:dyDescent="0.2">
      <c r="C43" s="67" t="s">
        <v>46</v>
      </c>
      <c r="D43" s="13">
        <v>0.2</v>
      </c>
      <c r="E43" s="13"/>
    </row>
    <row r="44" spans="3:5" x14ac:dyDescent="0.2">
      <c r="C44" s="63" t="s">
        <v>58</v>
      </c>
      <c r="D44" s="64">
        <f>(1+D46)*D45</f>
        <v>22</v>
      </c>
      <c r="E44" s="13"/>
    </row>
    <row r="45" spans="3:5" x14ac:dyDescent="0.2">
      <c r="C45" s="67" t="s">
        <v>45</v>
      </c>
      <c r="D45" s="13">
        <v>20</v>
      </c>
      <c r="E45" s="13"/>
    </row>
    <row r="46" spans="3:5" x14ac:dyDescent="0.2">
      <c r="C46" s="67" t="s">
        <v>46</v>
      </c>
      <c r="D46" s="13">
        <v>0.1</v>
      </c>
      <c r="E46" s="13"/>
    </row>
    <row r="47" spans="3:5" x14ac:dyDescent="0.2">
      <c r="C47" s="63" t="s">
        <v>33</v>
      </c>
      <c r="D47" s="64">
        <f>(1+D49)*D48</f>
        <v>24.150000000000002</v>
      </c>
      <c r="E47" s="13"/>
    </row>
    <row r="48" spans="3:5" x14ac:dyDescent="0.2">
      <c r="C48" s="67" t="s">
        <v>45</v>
      </c>
      <c r="D48" s="13">
        <v>23</v>
      </c>
      <c r="E48" s="13"/>
    </row>
    <row r="49" spans="2:11" x14ac:dyDescent="0.2">
      <c r="C49" s="68" t="s">
        <v>46</v>
      </c>
      <c r="D49" s="16">
        <v>0.05</v>
      </c>
      <c r="E49" s="16"/>
    </row>
    <row r="50" spans="2:11" x14ac:dyDescent="0.2">
      <c r="C50" s="4"/>
      <c r="D50" s="4"/>
    </row>
    <row r="51" spans="2:11" s="120" customFormat="1" x14ac:dyDescent="0.2"/>
    <row r="52" spans="2:11" x14ac:dyDescent="0.2">
      <c r="B52" t="s">
        <v>431</v>
      </c>
      <c r="C52" s="111">
        <f>J68</f>
        <v>360090</v>
      </c>
    </row>
    <row r="53" spans="2:11" ht="17" customHeight="1" x14ac:dyDescent="0.2"/>
    <row r="54" spans="2:11" x14ac:dyDescent="0.2">
      <c r="B54" t="s">
        <v>655</v>
      </c>
      <c r="C54" t="s">
        <v>589</v>
      </c>
      <c r="G54" s="141" t="s">
        <v>82</v>
      </c>
      <c r="H54" s="142" t="s">
        <v>83</v>
      </c>
      <c r="I54" s="142" t="s">
        <v>84</v>
      </c>
      <c r="J54" s="142" t="s">
        <v>85</v>
      </c>
      <c r="K54" s="143" t="s">
        <v>86</v>
      </c>
    </row>
    <row r="55" spans="2:11" x14ac:dyDescent="0.2">
      <c r="B55" t="s">
        <v>656</v>
      </c>
      <c r="C55" s="195" t="s">
        <v>82</v>
      </c>
      <c r="D55" s="196">
        <v>5000</v>
      </c>
      <c r="G55" s="93" t="s">
        <v>88</v>
      </c>
      <c r="H55" s="111">
        <f>$D$55*J55</f>
        <v>25000</v>
      </c>
      <c r="I55">
        <v>1</v>
      </c>
      <c r="J55">
        <v>5</v>
      </c>
      <c r="K55" s="94">
        <f>I55*J55</f>
        <v>5</v>
      </c>
    </row>
    <row r="56" spans="2:11" x14ac:dyDescent="0.2">
      <c r="G56" s="93" t="s">
        <v>91</v>
      </c>
      <c r="H56" s="111">
        <f t="shared" ref="H56:H58" si="1">$D$55*J56</f>
        <v>5000</v>
      </c>
      <c r="I56">
        <v>35</v>
      </c>
      <c r="J56">
        <v>1</v>
      </c>
      <c r="K56" s="94">
        <f>I56*J56</f>
        <v>35</v>
      </c>
    </row>
    <row r="57" spans="2:11" x14ac:dyDescent="0.2">
      <c r="C57" s="87"/>
      <c r="D57" s="88" t="s">
        <v>432</v>
      </c>
      <c r="E57" s="89" t="s">
        <v>102</v>
      </c>
      <c r="G57" s="93" t="s">
        <v>94</v>
      </c>
      <c r="H57" s="111">
        <f t="shared" si="1"/>
        <v>12500</v>
      </c>
      <c r="I57">
        <v>3</v>
      </c>
      <c r="J57">
        <v>2.5</v>
      </c>
      <c r="K57" s="94">
        <f>I57*J57</f>
        <v>7.5</v>
      </c>
    </row>
    <row r="58" spans="2:11" x14ac:dyDescent="0.2">
      <c r="C58" s="93" t="s">
        <v>93</v>
      </c>
      <c r="D58">
        <v>10000</v>
      </c>
      <c r="E58" s="194">
        <v>3</v>
      </c>
      <c r="G58" s="93" t="s">
        <v>96</v>
      </c>
      <c r="H58" s="111">
        <f t="shared" si="1"/>
        <v>5000</v>
      </c>
      <c r="I58" s="69">
        <v>7</v>
      </c>
      <c r="J58">
        <v>1</v>
      </c>
      <c r="K58" s="94">
        <f>I58*J58</f>
        <v>7</v>
      </c>
    </row>
    <row r="59" spans="2:11" x14ac:dyDescent="0.2">
      <c r="C59" s="90" t="s">
        <v>97</v>
      </c>
      <c r="D59" s="91">
        <v>2000</v>
      </c>
      <c r="E59" s="76">
        <v>2</v>
      </c>
      <c r="G59" s="93" t="s">
        <v>64</v>
      </c>
      <c r="H59" t="s">
        <v>66</v>
      </c>
      <c r="I59">
        <f>SUM(I55:I58)</f>
        <v>46</v>
      </c>
      <c r="J59" t="s">
        <v>66</v>
      </c>
      <c r="K59" s="94">
        <f>SUM(K55:K58)</f>
        <v>54.5</v>
      </c>
    </row>
    <row r="60" spans="2:11" x14ac:dyDescent="0.2">
      <c r="G60" s="90" t="s">
        <v>99</v>
      </c>
      <c r="H60" s="191">
        <f>K59*D55</f>
        <v>272500</v>
      </c>
      <c r="I60" s="91"/>
      <c r="J60" s="91"/>
      <c r="K60" s="92"/>
    </row>
    <row r="61" spans="2:11" x14ac:dyDescent="0.2">
      <c r="C61" s="141" t="s">
        <v>101</v>
      </c>
      <c r="D61" s="143"/>
    </row>
    <row r="62" spans="2:11" x14ac:dyDescent="0.2">
      <c r="C62" s="63" t="s">
        <v>104</v>
      </c>
      <c r="D62" s="192">
        <v>165</v>
      </c>
      <c r="G62" s="141" t="s">
        <v>100</v>
      </c>
      <c r="H62" s="142"/>
      <c r="I62" s="142"/>
      <c r="J62" s="143"/>
    </row>
    <row r="63" spans="2:11" x14ac:dyDescent="0.2">
      <c r="C63" s="63" t="s">
        <v>106</v>
      </c>
      <c r="D63" s="192">
        <v>175</v>
      </c>
      <c r="G63" s="93"/>
      <c r="H63" t="s">
        <v>102</v>
      </c>
      <c r="I63" t="s">
        <v>103</v>
      </c>
      <c r="J63" s="94" t="s">
        <v>64</v>
      </c>
    </row>
    <row r="64" spans="2:11" x14ac:dyDescent="0.2">
      <c r="C64" s="63" t="s">
        <v>107</v>
      </c>
      <c r="D64" s="197">
        <v>400</v>
      </c>
      <c r="G64" s="93" t="s">
        <v>105</v>
      </c>
      <c r="H64" s="111">
        <f>D55</f>
        <v>5000</v>
      </c>
      <c r="I64">
        <f>K59</f>
        <v>54.5</v>
      </c>
      <c r="J64" s="192">
        <f>H64*I64</f>
        <v>272500</v>
      </c>
    </row>
    <row r="65" spans="1:14" x14ac:dyDescent="0.2">
      <c r="C65" s="63" t="s">
        <v>108</v>
      </c>
      <c r="D65" s="197">
        <v>280</v>
      </c>
      <c r="G65" s="93" t="s">
        <v>93</v>
      </c>
      <c r="H65" s="111">
        <f>D58</f>
        <v>10000</v>
      </c>
      <c r="I65">
        <f>E58</f>
        <v>3</v>
      </c>
      <c r="J65" s="192">
        <f>D58*I65</f>
        <v>30000</v>
      </c>
    </row>
    <row r="66" spans="1:14" x14ac:dyDescent="0.2">
      <c r="C66" s="63" t="s">
        <v>110</v>
      </c>
      <c r="D66" s="197">
        <v>350</v>
      </c>
      <c r="G66" s="93" t="s">
        <v>97</v>
      </c>
      <c r="H66" s="111">
        <f>D59</f>
        <v>2000</v>
      </c>
      <c r="I66">
        <f>E59</f>
        <v>2</v>
      </c>
      <c r="J66" s="192">
        <f>D59*I66</f>
        <v>4000</v>
      </c>
    </row>
    <row r="67" spans="1:14" x14ac:dyDescent="0.2">
      <c r="C67" s="63" t="s">
        <v>111</v>
      </c>
      <c r="D67" s="197">
        <v>135</v>
      </c>
      <c r="G67" s="93" t="s">
        <v>109</v>
      </c>
      <c r="H67" s="111">
        <f>SUM($D$64:$D$67)</f>
        <v>1165</v>
      </c>
      <c r="I67">
        <f>I59</f>
        <v>46</v>
      </c>
      <c r="J67" s="192">
        <f>H67*I67</f>
        <v>53590</v>
      </c>
    </row>
    <row r="68" spans="1:14" x14ac:dyDescent="0.2">
      <c r="C68" s="66" t="s">
        <v>112</v>
      </c>
      <c r="D68" s="193">
        <v>290</v>
      </c>
      <c r="G68" s="90"/>
      <c r="H68" s="91"/>
      <c r="I68" s="91"/>
      <c r="J68" s="193">
        <f>SUM(J64:J67)</f>
        <v>360090</v>
      </c>
    </row>
    <row r="70" spans="1:14" s="120" customFormat="1" x14ac:dyDescent="0.2"/>
    <row r="71" spans="1:14" x14ac:dyDescent="0.2">
      <c r="N71" s="60"/>
    </row>
    <row r="72" spans="1:14" x14ac:dyDescent="0.2">
      <c r="B72" t="s">
        <v>484</v>
      </c>
    </row>
    <row r="73" spans="1:14" x14ac:dyDescent="0.2">
      <c r="B73" t="s">
        <v>263</v>
      </c>
      <c r="C73" t="s">
        <v>102</v>
      </c>
      <c r="D73" t="s">
        <v>60</v>
      </c>
      <c r="E73" t="s">
        <v>569</v>
      </c>
      <c r="F73" t="s">
        <v>570</v>
      </c>
    </row>
    <row r="74" spans="1:14" x14ac:dyDescent="0.2">
      <c r="B74" t="s">
        <v>257</v>
      </c>
      <c r="C74">
        <v>544</v>
      </c>
      <c r="D74">
        <v>798556</v>
      </c>
      <c r="E74" s="125">
        <v>375.00000000000011</v>
      </c>
      <c r="F74" s="126">
        <f>C74-E74</f>
        <v>168.99999999999989</v>
      </c>
      <c r="G74">
        <f>1499*E74+1399*(C74-E74)</f>
        <v>798556</v>
      </c>
    </row>
    <row r="76" spans="1:14" x14ac:dyDescent="0.2">
      <c r="A76" t="s">
        <v>257</v>
      </c>
      <c r="B76" s="141" t="s">
        <v>63</v>
      </c>
      <c r="C76" s="209">
        <v>1</v>
      </c>
      <c r="D76" s="209">
        <v>2</v>
      </c>
      <c r="E76" s="209">
        <v>3</v>
      </c>
      <c r="F76" s="209">
        <v>4</v>
      </c>
      <c r="G76" s="211" t="s">
        <v>64</v>
      </c>
      <c r="I76" t="s">
        <v>571</v>
      </c>
    </row>
    <row r="77" spans="1:14" x14ac:dyDescent="0.2">
      <c r="B77" s="63" t="s">
        <v>657</v>
      </c>
      <c r="C77" s="210" t="s">
        <v>658</v>
      </c>
      <c r="D77" s="210" t="s">
        <v>659</v>
      </c>
      <c r="E77" s="210" t="s">
        <v>659</v>
      </c>
      <c r="F77" s="210" t="s">
        <v>660</v>
      </c>
      <c r="G77" s="64"/>
      <c r="I77" t="s">
        <v>572</v>
      </c>
    </row>
    <row r="78" spans="1:14" x14ac:dyDescent="0.2">
      <c r="B78" s="63" t="s">
        <v>65</v>
      </c>
      <c r="C78" s="214">
        <v>1499</v>
      </c>
      <c r="D78" s="214">
        <v>1399</v>
      </c>
      <c r="E78" s="214">
        <v>1399</v>
      </c>
      <c r="F78" s="214">
        <v>1499</v>
      </c>
      <c r="G78" s="215" t="s">
        <v>66</v>
      </c>
      <c r="I78" t="s">
        <v>573</v>
      </c>
    </row>
    <row r="79" spans="1:14" x14ac:dyDescent="0.2">
      <c r="B79" s="63" t="s">
        <v>192</v>
      </c>
      <c r="C79" s="187">
        <v>100</v>
      </c>
      <c r="D79" s="187">
        <v>206</v>
      </c>
      <c r="E79" s="187">
        <v>100</v>
      </c>
      <c r="F79" s="187">
        <v>650</v>
      </c>
      <c r="G79" s="216">
        <f>SUM(C79:F79)</f>
        <v>1056</v>
      </c>
    </row>
    <row r="80" spans="1:14" x14ac:dyDescent="0.2">
      <c r="B80" s="63" t="s">
        <v>661</v>
      </c>
      <c r="C80" s="187">
        <v>50</v>
      </c>
      <c r="D80" s="187">
        <v>103</v>
      </c>
      <c r="E80" s="187">
        <v>66</v>
      </c>
      <c r="F80" s="187">
        <v>325</v>
      </c>
      <c r="G80" s="216">
        <f>SUM(C80:F80)</f>
        <v>544</v>
      </c>
      <c r="I80" t="s">
        <v>574</v>
      </c>
    </row>
    <row r="81" spans="2:16" x14ac:dyDescent="0.2">
      <c r="B81" s="88"/>
      <c r="C81" s="88"/>
      <c r="D81" s="88"/>
      <c r="E81" s="88"/>
      <c r="F81" s="88"/>
      <c r="G81" s="88"/>
      <c r="H81" s="122"/>
      <c r="I81" t="s">
        <v>575</v>
      </c>
    </row>
    <row r="82" spans="2:16" x14ac:dyDescent="0.2">
      <c r="B82" t="s">
        <v>662</v>
      </c>
      <c r="I82" t="s">
        <v>576</v>
      </c>
    </row>
    <row r="83" spans="2:16" x14ac:dyDescent="0.2">
      <c r="B83" s="87" t="s">
        <v>69</v>
      </c>
      <c r="C83" s="212">
        <v>2</v>
      </c>
      <c r="D83" s="212">
        <v>3</v>
      </c>
      <c r="E83" s="212">
        <v>2</v>
      </c>
      <c r="F83" s="212">
        <v>6</v>
      </c>
      <c r="G83" s="213" t="s">
        <v>64</v>
      </c>
    </row>
    <row r="84" spans="2:16" x14ac:dyDescent="0.2">
      <c r="B84" s="63" t="s">
        <v>71</v>
      </c>
      <c r="C84" s="214">
        <f>C78*C83*C79/100</f>
        <v>2998</v>
      </c>
      <c r="D84" s="214">
        <f>D83*D78*D79/100</f>
        <v>8645.82</v>
      </c>
      <c r="E84" s="214">
        <f>E83*E78*E79/100</f>
        <v>2798</v>
      </c>
      <c r="F84" s="214">
        <f>F83*F78*F79/100</f>
        <v>58461</v>
      </c>
      <c r="G84" s="217">
        <f>SUM(C84:F84)</f>
        <v>72902.820000000007</v>
      </c>
      <c r="I84" t="s">
        <v>582</v>
      </c>
    </row>
    <row r="85" spans="2:16" x14ac:dyDescent="0.2">
      <c r="B85" s="63" t="s">
        <v>73</v>
      </c>
      <c r="C85" s="4">
        <v>0</v>
      </c>
      <c r="D85" s="4">
        <v>0</v>
      </c>
      <c r="E85" s="4">
        <v>1</v>
      </c>
      <c r="F85" s="4">
        <v>0</v>
      </c>
      <c r="G85" s="13"/>
      <c r="I85" t="s">
        <v>584</v>
      </c>
    </row>
    <row r="86" spans="2:16" x14ac:dyDescent="0.2">
      <c r="B86" s="63" t="s">
        <v>75</v>
      </c>
      <c r="C86" s="4">
        <v>1</v>
      </c>
      <c r="D86" s="4">
        <v>2</v>
      </c>
      <c r="E86" s="4">
        <v>1</v>
      </c>
      <c r="F86" s="4">
        <v>3</v>
      </c>
      <c r="G86" s="222">
        <f>SUM(C86:F86)</f>
        <v>7</v>
      </c>
      <c r="I86" t="s">
        <v>586</v>
      </c>
    </row>
    <row r="87" spans="2:16" x14ac:dyDescent="0.2">
      <c r="B87" s="124" t="s">
        <v>663</v>
      </c>
      <c r="C87" s="220">
        <v>0.04</v>
      </c>
      <c r="D87" s="220">
        <v>0.04</v>
      </c>
      <c r="E87" s="220">
        <v>0.04</v>
      </c>
      <c r="F87" s="220">
        <v>0.04</v>
      </c>
      <c r="G87" s="4"/>
    </row>
    <row r="88" spans="2:16" x14ac:dyDescent="0.2">
      <c r="B88" s="124" t="s">
        <v>664</v>
      </c>
      <c r="I88" s="172" t="s">
        <v>580</v>
      </c>
      <c r="J88" s="170"/>
      <c r="K88" s="111" t="s">
        <v>581</v>
      </c>
      <c r="L88" s="170"/>
      <c r="M88" s="170"/>
    </row>
    <row r="89" spans="2:16" x14ac:dyDescent="0.2">
      <c r="I89" s="172"/>
      <c r="J89" s="170"/>
      <c r="K89" s="111"/>
      <c r="L89" s="170"/>
      <c r="M89" s="170"/>
    </row>
    <row r="90" spans="2:16" x14ac:dyDescent="0.2">
      <c r="I90" s="172"/>
      <c r="J90" s="170"/>
      <c r="K90" s="111"/>
      <c r="L90" s="170"/>
      <c r="M90" s="170"/>
    </row>
    <row r="91" spans="2:16" x14ac:dyDescent="0.2">
      <c r="I91" s="172"/>
      <c r="J91" s="170"/>
      <c r="K91" s="111"/>
      <c r="L91" s="170"/>
      <c r="M91" s="170"/>
    </row>
    <row r="92" spans="2:16" x14ac:dyDescent="0.2">
      <c r="B92" s="141" t="s">
        <v>665</v>
      </c>
      <c r="C92" s="209">
        <v>1</v>
      </c>
      <c r="D92" s="209">
        <v>2</v>
      </c>
      <c r="E92" s="209">
        <v>3</v>
      </c>
      <c r="F92" s="209">
        <v>4</v>
      </c>
      <c r="G92" s="211" t="s">
        <v>64</v>
      </c>
      <c r="I92" s="147"/>
      <c r="J92" s="170"/>
      <c r="K92" s="111" t="s">
        <v>583</v>
      </c>
      <c r="L92" s="170"/>
      <c r="M92" s="147"/>
    </row>
    <row r="93" spans="2:16" x14ac:dyDescent="0.2">
      <c r="B93" s="63" t="s">
        <v>666</v>
      </c>
      <c r="C93">
        <f>C80/C86</f>
        <v>50</v>
      </c>
      <c r="D93">
        <f>D80/D86</f>
        <v>51.5</v>
      </c>
      <c r="E93">
        <f>E80/E86</f>
        <v>66</v>
      </c>
      <c r="F93">
        <f>F80/F86</f>
        <v>108.33333333333333</v>
      </c>
      <c r="G93" s="221">
        <f>SUM(C93:F93)</f>
        <v>275.83333333333331</v>
      </c>
      <c r="I93" s="147"/>
      <c r="J93" s="170"/>
      <c r="K93" s="172" t="s">
        <v>585</v>
      </c>
      <c r="L93" s="147"/>
      <c r="M93" s="147"/>
    </row>
    <row r="94" spans="2:16" x14ac:dyDescent="0.2">
      <c r="B94" s="63" t="s">
        <v>578</v>
      </c>
      <c r="C94" s="111">
        <f>C78*C80</f>
        <v>74950</v>
      </c>
      <c r="D94" s="111">
        <f>D78*D80</f>
        <v>144097</v>
      </c>
      <c r="E94" s="111">
        <f>E78*E80</f>
        <v>92334</v>
      </c>
      <c r="F94" s="111">
        <f>F78*F80</f>
        <v>487175</v>
      </c>
      <c r="G94" s="217">
        <f>SUM(C94:F94)</f>
        <v>798556</v>
      </c>
      <c r="I94" s="147"/>
      <c r="J94" s="171"/>
      <c r="K94" s="147"/>
      <c r="L94" s="147"/>
      <c r="P94" s="122"/>
    </row>
    <row r="95" spans="2:16" x14ac:dyDescent="0.2">
      <c r="B95" s="63" t="s">
        <v>579</v>
      </c>
      <c r="C95" s="111">
        <f>C94/C86</f>
        <v>74950</v>
      </c>
      <c r="D95" s="111">
        <f>D94/D86</f>
        <v>72048.5</v>
      </c>
      <c r="E95" s="111">
        <f>E94/E86</f>
        <v>92334</v>
      </c>
      <c r="F95" s="111">
        <f>F94/F86</f>
        <v>162391.66666666666</v>
      </c>
      <c r="G95" s="217">
        <f>SUM(C95:F95)</f>
        <v>401724.16666666663</v>
      </c>
      <c r="I95" t="s">
        <v>587</v>
      </c>
      <c r="J95" s="111"/>
    </row>
    <row r="96" spans="2:16" x14ac:dyDescent="0.2">
      <c r="B96" s="63" t="s">
        <v>76</v>
      </c>
      <c r="C96" s="134">
        <v>1344</v>
      </c>
      <c r="D96" s="134">
        <v>912</v>
      </c>
      <c r="E96" s="134">
        <v>1008</v>
      </c>
      <c r="F96" s="134">
        <v>1536</v>
      </c>
      <c r="G96" s="222">
        <f>SUM(C96:F96)</f>
        <v>4800</v>
      </c>
      <c r="I96" t="s">
        <v>588</v>
      </c>
      <c r="J96" s="111"/>
    </row>
    <row r="97" spans="2:16" x14ac:dyDescent="0.2">
      <c r="B97" s="66" t="s">
        <v>78</v>
      </c>
      <c r="C97" s="218">
        <f>C80/C96</f>
        <v>3.7202380952380952E-2</v>
      </c>
      <c r="D97" s="218">
        <f>D80/D96</f>
        <v>0.11293859649122807</v>
      </c>
      <c r="E97" s="218">
        <f>E80/E96</f>
        <v>6.5476190476190479E-2</v>
      </c>
      <c r="F97" s="218">
        <f>F80/F96</f>
        <v>0.21158854166666666</v>
      </c>
      <c r="G97" s="16"/>
    </row>
    <row r="99" spans="2:16" x14ac:dyDescent="0.2">
      <c r="B99" t="s">
        <v>667</v>
      </c>
      <c r="C99" s="170"/>
    </row>
    <row r="100" spans="2:16" x14ac:dyDescent="0.2">
      <c r="B100" s="591" t="s">
        <v>668</v>
      </c>
      <c r="C100" s="592"/>
    </row>
    <row r="101" spans="2:16" x14ac:dyDescent="0.2">
      <c r="B101" s="9" t="s">
        <v>669</v>
      </c>
      <c r="C101" s="236">
        <v>5000</v>
      </c>
    </row>
    <row r="102" spans="2:16" x14ac:dyDescent="0.2">
      <c r="B102" s="12" t="s">
        <v>670</v>
      </c>
      <c r="C102" s="198">
        <v>1165</v>
      </c>
    </row>
    <row r="103" spans="2:16" x14ac:dyDescent="0.2">
      <c r="B103" s="12" t="s">
        <v>671</v>
      </c>
      <c r="C103" s="198">
        <f>D12</f>
        <v>1500000</v>
      </c>
    </row>
    <row r="104" spans="2:16" x14ac:dyDescent="0.2">
      <c r="B104" s="12" t="s">
        <v>672</v>
      </c>
      <c r="C104" s="198">
        <v>15000</v>
      </c>
    </row>
    <row r="105" spans="2:16" x14ac:dyDescent="0.2">
      <c r="B105" s="90" t="s">
        <v>673</v>
      </c>
      <c r="C105" s="237">
        <f>C104*5</f>
        <v>75000</v>
      </c>
    </row>
    <row r="107" spans="2:16" ht="17" thickBot="1" x14ac:dyDescent="0.25"/>
    <row r="108" spans="2:16" x14ac:dyDescent="0.2">
      <c r="B108" s="179"/>
      <c r="C108" s="180"/>
      <c r="D108" s="180"/>
      <c r="E108" s="180"/>
      <c r="F108" s="180"/>
      <c r="G108" s="180"/>
      <c r="H108" s="180"/>
      <c r="I108" s="180"/>
      <c r="J108" s="180"/>
      <c r="K108" s="180"/>
      <c r="L108" s="180"/>
      <c r="M108" s="180"/>
      <c r="N108" s="180"/>
      <c r="O108" s="180"/>
      <c r="P108" s="181"/>
    </row>
    <row r="109" spans="2:16" x14ac:dyDescent="0.2">
      <c r="B109" s="110"/>
      <c r="C109" s="4"/>
      <c r="D109" s="4"/>
      <c r="E109" s="4"/>
      <c r="F109" s="4"/>
      <c r="G109" s="4"/>
      <c r="H109" s="4"/>
      <c r="I109" s="4"/>
      <c r="J109" s="4"/>
      <c r="K109" s="4"/>
      <c r="L109" s="4"/>
      <c r="M109" s="4"/>
      <c r="N109" s="4"/>
      <c r="O109" s="4"/>
      <c r="P109" s="182"/>
    </row>
    <row r="110" spans="2:16" x14ac:dyDescent="0.2">
      <c r="B110" s="110"/>
      <c r="C110" s="4" t="s">
        <v>615</v>
      </c>
      <c r="D110" s="199"/>
      <c r="E110" s="4"/>
      <c r="F110" s="4"/>
      <c r="G110" s="4"/>
      <c r="H110" s="4"/>
      <c r="I110" s="4"/>
      <c r="J110" s="4"/>
      <c r="K110" s="4"/>
      <c r="L110" s="4" t="s">
        <v>616</v>
      </c>
      <c r="M110" s="4"/>
      <c r="N110" s="4"/>
      <c r="O110" s="4"/>
      <c r="P110" s="182"/>
    </row>
    <row r="111" spans="2:16" x14ac:dyDescent="0.2">
      <c r="B111" s="110"/>
      <c r="C111" s="183" t="s">
        <v>617</v>
      </c>
      <c r="D111" s="184" t="s">
        <v>618</v>
      </c>
      <c r="E111" s="185" t="s">
        <v>619</v>
      </c>
      <c r="F111" s="186" t="s">
        <v>620</v>
      </c>
      <c r="G111" s="185" t="s">
        <v>621</v>
      </c>
      <c r="H111" s="184" t="s">
        <v>622</v>
      </c>
      <c r="I111" s="185" t="s">
        <v>623</v>
      </c>
      <c r="J111" s="184" t="s">
        <v>549</v>
      </c>
      <c r="K111" s="185" t="s">
        <v>624</v>
      </c>
      <c r="L111" s="184" t="s">
        <v>617</v>
      </c>
      <c r="M111" s="185" t="s">
        <v>618</v>
      </c>
      <c r="N111" s="184" t="s">
        <v>619</v>
      </c>
      <c r="O111" s="186" t="s">
        <v>625</v>
      </c>
      <c r="P111" s="182"/>
    </row>
    <row r="112" spans="2:16" x14ac:dyDescent="0.2">
      <c r="B112" s="200" t="s">
        <v>258</v>
      </c>
      <c r="C112" s="155">
        <v>0</v>
      </c>
      <c r="D112" s="158">
        <v>0</v>
      </c>
      <c r="E112" s="152">
        <v>0</v>
      </c>
      <c r="F112" s="158">
        <v>0</v>
      </c>
      <c r="G112" s="152">
        <v>0</v>
      </c>
      <c r="H112" s="204">
        <v>1200</v>
      </c>
      <c r="I112" s="152">
        <v>0</v>
      </c>
      <c r="J112" s="204">
        <v>0</v>
      </c>
      <c r="K112" s="91">
        <v>0</v>
      </c>
      <c r="L112" s="158"/>
      <c r="M112" s="91"/>
      <c r="N112" s="202"/>
      <c r="O112" s="202">
        <v>0</v>
      </c>
      <c r="P112" s="182"/>
    </row>
    <row r="113" spans="2:34" x14ac:dyDescent="0.2">
      <c r="B113" s="200" t="s">
        <v>257</v>
      </c>
      <c r="C113" s="84">
        <f>2400</f>
        <v>2400</v>
      </c>
      <c r="D113" s="157">
        <f>2400</f>
        <v>2400</v>
      </c>
      <c r="E113" s="85">
        <f>3600</f>
        <v>3600</v>
      </c>
      <c r="F113" s="157">
        <v>1200</v>
      </c>
      <c r="G113" s="85">
        <v>0</v>
      </c>
      <c r="H113" s="205">
        <v>1200</v>
      </c>
      <c r="I113" s="85">
        <f>J113/H112</f>
        <v>0.94</v>
      </c>
      <c r="J113" s="205">
        <v>1128</v>
      </c>
      <c r="K113" s="161">
        <v>544</v>
      </c>
      <c r="L113" s="157">
        <f>C114</f>
        <v>2544</v>
      </c>
      <c r="M113" s="134">
        <f t="shared" ref="M113:N113" si="2">D114</f>
        <v>2544</v>
      </c>
      <c r="N113" s="208">
        <f t="shared" si="2"/>
        <v>3816</v>
      </c>
      <c r="O113" s="156">
        <f>J113-K113</f>
        <v>584</v>
      </c>
      <c r="P113" s="182"/>
    </row>
    <row r="114" spans="2:34" x14ac:dyDescent="0.2">
      <c r="B114" s="201" t="s">
        <v>265</v>
      </c>
      <c r="C114" s="183">
        <f>2544</f>
        <v>2544</v>
      </c>
      <c r="D114" s="184">
        <f>2544</f>
        <v>2544</v>
      </c>
      <c r="E114" s="185">
        <f>3816</f>
        <v>3816</v>
      </c>
      <c r="F114" s="184">
        <v>1272</v>
      </c>
      <c r="G114" s="185">
        <f>J113-K113</f>
        <v>584</v>
      </c>
      <c r="H114" s="206">
        <f>(H113-G114)/0.94</f>
        <v>655.31914893617022</v>
      </c>
      <c r="I114" s="85">
        <v>0.94</v>
      </c>
      <c r="J114" s="205"/>
      <c r="K114" s="203"/>
      <c r="L114" s="207"/>
      <c r="M114" s="160"/>
      <c r="N114" s="207"/>
      <c r="O114" s="156">
        <f>G114+J114-K114</f>
        <v>584</v>
      </c>
      <c r="P114" s="182"/>
    </row>
    <row r="115" spans="2:34" x14ac:dyDescent="0.2">
      <c r="B115" s="110"/>
      <c r="C115" s="187"/>
      <c r="D115" s="187"/>
      <c r="E115" s="187"/>
      <c r="F115" s="4"/>
      <c r="G115" s="4"/>
      <c r="H115" s="4"/>
      <c r="I115" s="4"/>
      <c r="J115" s="4"/>
      <c r="K115" s="4"/>
      <c r="L115" s="4"/>
      <c r="M115" s="4"/>
      <c r="N115" s="4"/>
      <c r="O115" s="4"/>
      <c r="P115" s="182"/>
      <c r="AF115" s="173"/>
      <c r="AG115" s="173"/>
      <c r="AH115" s="173"/>
    </row>
    <row r="116" spans="2:34" x14ac:dyDescent="0.2">
      <c r="B116" s="110"/>
      <c r="C116" s="4" t="s">
        <v>257</v>
      </c>
      <c r="D116" s="199" t="s">
        <v>120</v>
      </c>
      <c r="E116" s="4"/>
      <c r="F116" s="4"/>
      <c r="G116" s="4"/>
      <c r="H116" s="4"/>
      <c r="I116" s="4">
        <v>0.6</v>
      </c>
      <c r="J116" s="4">
        <f>H114+G114</f>
        <v>1239.3191489361702</v>
      </c>
      <c r="K116" s="4"/>
      <c r="L116" s="4"/>
      <c r="M116" s="4"/>
      <c r="N116" s="4"/>
      <c r="O116" s="4"/>
      <c r="P116" s="182"/>
    </row>
    <row r="117" spans="2:34" x14ac:dyDescent="0.2">
      <c r="B117" s="110"/>
      <c r="C117" s="4"/>
      <c r="D117" s="4">
        <v>423285.9</v>
      </c>
      <c r="E117" s="4"/>
      <c r="F117" s="4"/>
      <c r="G117" s="4"/>
      <c r="H117" s="4"/>
      <c r="I117" s="4"/>
      <c r="J117" s="4">
        <f>I116*J116</f>
        <v>743.59148936170209</v>
      </c>
      <c r="K117" s="4"/>
      <c r="L117" s="4"/>
      <c r="M117" s="4"/>
      <c r="N117" s="4"/>
      <c r="O117" s="4"/>
      <c r="P117" s="182"/>
    </row>
    <row r="118" spans="2:34" ht="17" thickBot="1" x14ac:dyDescent="0.25">
      <c r="B118" s="188"/>
      <c r="C118" s="189"/>
      <c r="D118" s="189"/>
      <c r="E118" s="189"/>
      <c r="F118" s="189"/>
      <c r="G118" s="189"/>
      <c r="H118" s="189"/>
      <c r="I118" s="189"/>
      <c r="J118" s="189">
        <f>J116-J117</f>
        <v>495.72765957446813</v>
      </c>
      <c r="K118" s="189"/>
      <c r="L118" s="189"/>
      <c r="M118" s="189"/>
      <c r="N118" s="189"/>
      <c r="O118" s="189"/>
      <c r="P118" s="190"/>
    </row>
    <row r="124" spans="2:34" s="120" customFormat="1" x14ac:dyDescent="0.2"/>
    <row r="125" spans="2:34" x14ac:dyDescent="0.2">
      <c r="B125" t="s">
        <v>500</v>
      </c>
    </row>
    <row r="126" spans="2:34" x14ac:dyDescent="0.2">
      <c r="B126" s="17" t="s">
        <v>595</v>
      </c>
      <c r="C126" s="17"/>
    </row>
    <row r="128" spans="2:34" x14ac:dyDescent="0.2">
      <c r="B128" t="s">
        <v>439</v>
      </c>
    </row>
    <row r="134" spans="2:8" x14ac:dyDescent="0.2">
      <c r="B134" t="s">
        <v>596</v>
      </c>
    </row>
    <row r="135" spans="2:8" x14ac:dyDescent="0.2">
      <c r="B135" t="s">
        <v>598</v>
      </c>
      <c r="E135" t="s">
        <v>597</v>
      </c>
    </row>
    <row r="136" spans="2:8" x14ac:dyDescent="0.2">
      <c r="E136" t="s">
        <v>599</v>
      </c>
      <c r="H136">
        <f>1200*K14</f>
        <v>714060.00000000012</v>
      </c>
    </row>
    <row r="137" spans="2:8" x14ac:dyDescent="0.2">
      <c r="B137" t="s">
        <v>601</v>
      </c>
      <c r="E137" t="s">
        <v>600</v>
      </c>
    </row>
    <row r="138" spans="2:8" x14ac:dyDescent="0.2">
      <c r="E138" t="s">
        <v>602</v>
      </c>
    </row>
    <row r="139" spans="2:8" x14ac:dyDescent="0.2">
      <c r="E139" t="s">
        <v>603</v>
      </c>
    </row>
    <row r="140" spans="2:8" x14ac:dyDescent="0.2">
      <c r="E140" t="s">
        <v>604</v>
      </c>
    </row>
    <row r="141" spans="2:8" x14ac:dyDescent="0.2">
      <c r="B141" t="s">
        <v>605</v>
      </c>
    </row>
    <row r="142" spans="2:8" x14ac:dyDescent="0.2">
      <c r="E142" t="s">
        <v>606</v>
      </c>
      <c r="G142" s="127">
        <v>423285.9</v>
      </c>
    </row>
    <row r="143" spans="2:8" x14ac:dyDescent="0.2">
      <c r="B143" t="s">
        <v>608</v>
      </c>
      <c r="E143" s="17" t="s">
        <v>607</v>
      </c>
      <c r="F143" s="17"/>
    </row>
    <row r="146" spans="2:22" x14ac:dyDescent="0.2">
      <c r="B146" t="s">
        <v>609</v>
      </c>
    </row>
    <row r="147" spans="2:22" x14ac:dyDescent="0.2">
      <c r="B147" t="s">
        <v>610</v>
      </c>
    </row>
    <row r="148" spans="2:22" x14ac:dyDescent="0.2">
      <c r="B148" t="s">
        <v>611</v>
      </c>
    </row>
    <row r="150" spans="2:22" x14ac:dyDescent="0.2">
      <c r="B150" t="s">
        <v>612</v>
      </c>
    </row>
    <row r="151" spans="2:22" x14ac:dyDescent="0.2">
      <c r="B151" t="s">
        <v>613</v>
      </c>
    </row>
    <row r="153" spans="2:22" x14ac:dyDescent="0.2">
      <c r="B153" s="87"/>
      <c r="C153" s="137" t="s">
        <v>614</v>
      </c>
      <c r="L153" s="122"/>
    </row>
    <row r="154" spans="2:22" x14ac:dyDescent="0.2">
      <c r="B154" s="93" t="s">
        <v>128</v>
      </c>
      <c r="C154">
        <f>H23</f>
        <v>50</v>
      </c>
      <c r="D154" s="137" t="s">
        <v>277</v>
      </c>
      <c r="E154" s="137" t="s">
        <v>278</v>
      </c>
      <c r="F154" s="138" t="s">
        <v>279</v>
      </c>
      <c r="K154" s="134"/>
      <c r="L154" s="134"/>
      <c r="M154" s="134"/>
      <c r="O154" s="134"/>
      <c r="P154" s="134"/>
      <c r="Q154" s="134"/>
      <c r="R154" s="134"/>
      <c r="S154" s="134"/>
      <c r="T154" s="134"/>
      <c r="U154" s="134"/>
      <c r="V154" s="134"/>
    </row>
    <row r="155" spans="2:22" x14ac:dyDescent="0.2">
      <c r="B155" s="93" t="s">
        <v>626</v>
      </c>
      <c r="C155">
        <f>H24</f>
        <v>0</v>
      </c>
      <c r="D155">
        <f t="shared" ref="D155:F156" si="3">I23</f>
        <v>103</v>
      </c>
      <c r="E155">
        <f t="shared" si="3"/>
        <v>66</v>
      </c>
      <c r="F155" s="94">
        <f t="shared" si="3"/>
        <v>325</v>
      </c>
      <c r="J155" s="134"/>
      <c r="K155" s="134"/>
      <c r="L155" s="134"/>
      <c r="M155" s="134"/>
      <c r="N155" s="134"/>
      <c r="O155" s="134"/>
      <c r="P155" s="134"/>
      <c r="Q155" s="134"/>
      <c r="R155" s="134"/>
      <c r="T155" s="134"/>
    </row>
    <row r="156" spans="2:22" x14ac:dyDescent="0.2">
      <c r="B156" s="90"/>
      <c r="C156" s="139" t="e">
        <f>C154/C155</f>
        <v>#DIV/0!</v>
      </c>
      <c r="D156">
        <f t="shared" si="3"/>
        <v>0</v>
      </c>
      <c r="E156">
        <f t="shared" si="3"/>
        <v>0</v>
      </c>
      <c r="F156" s="94">
        <f t="shared" si="3"/>
        <v>0</v>
      </c>
      <c r="J156" s="134"/>
      <c r="K156" s="134"/>
      <c r="L156" s="134"/>
      <c r="M156" s="134"/>
      <c r="N156" s="134"/>
      <c r="O156" s="134"/>
      <c r="P156" s="134"/>
      <c r="Q156" s="134"/>
      <c r="R156" s="134"/>
      <c r="T156" s="134"/>
      <c r="U156" s="134"/>
      <c r="V156" s="134"/>
    </row>
    <row r="157" spans="2:22" x14ac:dyDescent="0.2">
      <c r="B157" t="s">
        <v>627</v>
      </c>
      <c r="D157" s="139" t="e">
        <f>D155/D156</f>
        <v>#DIV/0!</v>
      </c>
      <c r="E157" s="139" t="e">
        <f>E155/E156</f>
        <v>#DIV/0!</v>
      </c>
      <c r="F157" s="140" t="e">
        <f>F155/F156</f>
        <v>#DIV/0!</v>
      </c>
      <c r="J157" s="134"/>
      <c r="K157" s="134"/>
      <c r="L157" s="134"/>
      <c r="M157" s="134"/>
      <c r="N157" s="134"/>
      <c r="O157" s="134"/>
      <c r="Q157" s="134"/>
      <c r="R157" s="134"/>
    </row>
    <row r="158" spans="2:22" x14ac:dyDescent="0.2">
      <c r="K158" s="134"/>
      <c r="L158" s="134"/>
      <c r="M158" s="134"/>
    </row>
    <row r="159" spans="2:22" x14ac:dyDescent="0.2">
      <c r="B159" t="s">
        <v>628</v>
      </c>
      <c r="C159" s="136" t="e">
        <f>SUM(C155:F155)/SUM(C156:F156)</f>
        <v>#DIV/0!</v>
      </c>
      <c r="L159" s="122"/>
    </row>
    <row r="160" spans="2:22" x14ac:dyDescent="0.2">
      <c r="B160" t="s">
        <v>292</v>
      </c>
      <c r="C160">
        <v>1056</v>
      </c>
      <c r="D160" t="s">
        <v>629</v>
      </c>
    </row>
    <row r="161" spans="2:20" x14ac:dyDescent="0.2">
      <c r="B161" t="s">
        <v>290</v>
      </c>
      <c r="C161">
        <v>1200</v>
      </c>
      <c r="D161" t="s">
        <v>630</v>
      </c>
    </row>
    <row r="162" spans="2:20" x14ac:dyDescent="0.2">
      <c r="D162" t="s">
        <v>631</v>
      </c>
    </row>
    <row r="163" spans="2:20" x14ac:dyDescent="0.2">
      <c r="B163" t="s">
        <v>632</v>
      </c>
      <c r="C163">
        <v>544</v>
      </c>
    </row>
    <row r="164" spans="2:20" x14ac:dyDescent="0.2">
      <c r="B164" t="s">
        <v>634</v>
      </c>
      <c r="D164" s="144" t="e">
        <f>C163/C159</f>
        <v>#DIV/0!</v>
      </c>
      <c r="E164" t="s">
        <v>633</v>
      </c>
    </row>
    <row r="165" spans="2:20" x14ac:dyDescent="0.2">
      <c r="B165" t="s">
        <v>635</v>
      </c>
      <c r="C165" s="144" t="e">
        <f>C168/0.94</f>
        <v>#DIV/0!</v>
      </c>
      <c r="L165" s="122"/>
    </row>
    <row r="166" spans="2:20" x14ac:dyDescent="0.2">
      <c r="L166" s="122"/>
    </row>
    <row r="167" spans="2:20" x14ac:dyDescent="0.2">
      <c r="B167" t="s">
        <v>636</v>
      </c>
      <c r="C167">
        <v>584</v>
      </c>
      <c r="L167" s="122"/>
    </row>
    <row r="168" spans="2:20" x14ac:dyDescent="0.2">
      <c r="B168" t="s">
        <v>637</v>
      </c>
      <c r="C168" t="e">
        <f>D164-C167</f>
        <v>#DIV/0!</v>
      </c>
    </row>
    <row r="171" spans="2:20" x14ac:dyDescent="0.2">
      <c r="B171" s="134" t="s">
        <v>641</v>
      </c>
      <c r="C171">
        <v>1200</v>
      </c>
    </row>
    <row r="172" spans="2:20" x14ac:dyDescent="0.2">
      <c r="B172" t="s">
        <v>643</v>
      </c>
      <c r="C172">
        <v>584</v>
      </c>
    </row>
    <row r="173" spans="2:20" x14ac:dyDescent="0.2">
      <c r="C173" s="169">
        <f>C171-C172</f>
        <v>616</v>
      </c>
    </row>
    <row r="175" spans="2:20" x14ac:dyDescent="0.2">
      <c r="J175" s="134"/>
      <c r="K175" s="134"/>
      <c r="L175" s="134"/>
      <c r="M175" s="134"/>
      <c r="R175" s="134"/>
      <c r="S175" s="134"/>
      <c r="T175" s="134"/>
    </row>
    <row r="176" spans="2:20" x14ac:dyDescent="0.2">
      <c r="J176" s="134"/>
      <c r="K176" s="134"/>
      <c r="L176" s="134"/>
      <c r="M176" s="134"/>
    </row>
    <row r="177" spans="10:12" x14ac:dyDescent="0.2">
      <c r="J177" s="134"/>
      <c r="K177" s="134"/>
      <c r="L177" s="134"/>
    </row>
  </sheetData>
  <mergeCells count="2">
    <mergeCell ref="C9:E9"/>
    <mergeCell ref="B100:C100"/>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F0886067-E248-5E4D-84D3-9B245D6A0A46}">
          <x14:formula1>
            <xm:f>Reference!$C$1:$C$5</xm:f>
          </x14:formula1>
          <xm:sqref>I12 U13 U20</xm:sqref>
        </x14:dataValidation>
        <x14:dataValidation type="list" allowBlank="1" showInputMessage="1" showErrorMessage="1" xr:uid="{0617E6B8-BCD2-AB47-9222-38F233DA55F5}">
          <x14:formula1>
            <xm:f>Reference!$A$1:$A$3</xm:f>
          </x14:formula1>
          <xm:sqref>I10 U11 U18</xm:sqref>
        </x14:dataValidation>
        <x14:dataValidation type="list" allowBlank="1" showInputMessage="1" showErrorMessage="1" xr:uid="{8CB6789B-F4F6-5547-8AB7-B9015219FC23}">
          <x14:formula1>
            <xm:f>Reference!$D$1:$D$4</xm:f>
          </x14:formula1>
          <xm:sqref>I13 U14 U21</xm:sqref>
        </x14:dataValidation>
        <x14:dataValidation type="list" allowBlank="1" showInputMessage="1" showErrorMessage="1" xr:uid="{CE94E93A-7FED-514A-BDAA-8F91970AD2A3}">
          <x14:formula1>
            <xm:f>Reference!$B$1:$B$4</xm:f>
          </x14:formula1>
          <xm:sqref>I11 U12 U19</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555D-F968-0341-8B51-359BEFF6A340}">
  <sheetPr codeName="Sheet17">
    <tabColor theme="2"/>
  </sheetPr>
  <dimension ref="A1:I48"/>
  <sheetViews>
    <sheetView zoomScale="125" workbookViewId="0">
      <selection activeCell="J28" sqref="J28"/>
    </sheetView>
  </sheetViews>
  <sheetFormatPr baseColWidth="10" defaultColWidth="11" defaultRowHeight="16" x14ac:dyDescent="0.2"/>
  <cols>
    <col min="1" max="1" width="22" bestFit="1" customWidth="1"/>
    <col min="2" max="2" width="13.83203125" style="371" bestFit="1" customWidth="1"/>
    <col min="3" max="3" width="15.6640625" customWidth="1"/>
    <col min="9" max="9" width="34.6640625" bestFit="1" customWidth="1"/>
  </cols>
  <sheetData>
    <row r="1" spans="1:9" x14ac:dyDescent="0.2">
      <c r="A1" t="s">
        <v>674</v>
      </c>
    </row>
    <row r="2" spans="1:9" x14ac:dyDescent="0.2">
      <c r="A2" t="s">
        <v>675</v>
      </c>
    </row>
    <row r="3" spans="1:9" x14ac:dyDescent="0.2">
      <c r="A3" t="s">
        <v>676</v>
      </c>
      <c r="E3" t="s">
        <v>677</v>
      </c>
    </row>
    <row r="4" spans="1:9" x14ac:dyDescent="0.2">
      <c r="A4" t="s">
        <v>678</v>
      </c>
      <c r="E4" t="s">
        <v>679</v>
      </c>
    </row>
    <row r="5" spans="1:9" x14ac:dyDescent="0.2">
      <c r="A5" t="s">
        <v>680</v>
      </c>
    </row>
    <row r="7" spans="1:9" x14ac:dyDescent="0.2">
      <c r="A7" t="s">
        <v>170</v>
      </c>
    </row>
    <row r="8" spans="1:9" x14ac:dyDescent="0.2">
      <c r="A8">
        <v>1</v>
      </c>
      <c r="B8" s="372">
        <v>2450</v>
      </c>
    </row>
    <row r="9" spans="1:9" x14ac:dyDescent="0.2">
      <c r="A9">
        <v>2</v>
      </c>
      <c r="B9" s="372">
        <v>1899</v>
      </c>
    </row>
    <row r="10" spans="1:9" x14ac:dyDescent="0.2">
      <c r="A10">
        <v>3</v>
      </c>
      <c r="B10" s="372">
        <v>2450</v>
      </c>
    </row>
    <row r="11" spans="1:9" x14ac:dyDescent="0.2">
      <c r="A11">
        <v>4</v>
      </c>
      <c r="B11" s="372">
        <v>2450</v>
      </c>
    </row>
    <row r="12" spans="1:9" x14ac:dyDescent="0.2">
      <c r="A12" t="s">
        <v>148</v>
      </c>
      <c r="B12" s="371">
        <f>'Q5-Predict'!C149</f>
        <v>9284.9719999996014</v>
      </c>
    </row>
    <row r="13" spans="1:9" x14ac:dyDescent="0.2">
      <c r="A13" s="14" t="s">
        <v>151</v>
      </c>
      <c r="B13" s="371">
        <f>'Q5-Predict'!C154</f>
        <v>-1566378.9508000005</v>
      </c>
    </row>
    <row r="14" spans="1:9" x14ac:dyDescent="0.2">
      <c r="B14" s="371">
        <v>5</v>
      </c>
      <c r="C14" t="s">
        <v>681</v>
      </c>
    </row>
    <row r="15" spans="1:9" x14ac:dyDescent="0.2">
      <c r="A15" t="s">
        <v>171</v>
      </c>
      <c r="B15" s="373">
        <f>INDEX(Data_IncomeStatement!A1:E33,MATCH("PROFIT AND LOSS STATEMENT RESULTS", Data_IncomeStatement!A:A, 0),MATCH(VALUE(B14-1), Data_IncomeStatement!1:1, 0))</f>
        <v>-1575663.9228000001</v>
      </c>
      <c r="C15" s="122" t="s">
        <v>172</v>
      </c>
      <c r="H15" t="s">
        <v>173</v>
      </c>
      <c r="I15" t="s">
        <v>174</v>
      </c>
    </row>
    <row r="16" spans="1:9" x14ac:dyDescent="0.2">
      <c r="A16" t="s">
        <v>175</v>
      </c>
      <c r="B16" s="373">
        <v>116709.02</v>
      </c>
      <c r="C16" t="s">
        <v>176</v>
      </c>
      <c r="D16" t="s">
        <v>177</v>
      </c>
      <c r="H16" t="s">
        <v>132</v>
      </c>
      <c r="I16" t="s">
        <v>120</v>
      </c>
    </row>
    <row r="17" spans="1:9" x14ac:dyDescent="0.2">
      <c r="A17" t="s">
        <v>41</v>
      </c>
      <c r="B17" s="373">
        <f>INDEX(Data_Stock!B2:N11,MATCH("Left Inventory",Data_Stock!B2:B11,0),MATCH(VALUE(B14-1),Data_Stock!B2:N2,0))</f>
        <v>819</v>
      </c>
      <c r="C17" s="122" t="s">
        <v>172</v>
      </c>
      <c r="D17" t="s">
        <v>177</v>
      </c>
      <c r="F17">
        <f>819+741-960</f>
        <v>600</v>
      </c>
      <c r="I17" t="s">
        <v>178</v>
      </c>
    </row>
    <row r="18" spans="1:9" x14ac:dyDescent="0.2">
      <c r="A18" t="s">
        <v>42</v>
      </c>
      <c r="B18" s="373">
        <f>INDEX(Data_Stock!B2:N11,MATCH("Left",Data_Stock!B2:B11,0),MATCH(VALUE(B14-1),Data_Stock!B2:N2,0))</f>
        <v>1266</v>
      </c>
      <c r="C18" s="122" t="s">
        <v>172</v>
      </c>
      <c r="D18" t="s">
        <v>177</v>
      </c>
      <c r="I18" t="s">
        <v>179</v>
      </c>
    </row>
    <row r="19" spans="1:9" x14ac:dyDescent="0.2">
      <c r="A19" t="s">
        <v>682</v>
      </c>
      <c r="B19" s="374">
        <v>1600</v>
      </c>
      <c r="D19" t="s">
        <v>182</v>
      </c>
      <c r="I19" t="s">
        <v>184</v>
      </c>
    </row>
    <row r="20" spans="1:9" x14ac:dyDescent="0.2">
      <c r="A20">
        <v>1</v>
      </c>
      <c r="B20" s="374">
        <f t="shared" ref="B20:B22" si="0">$B$19*C20</f>
        <v>320</v>
      </c>
      <c r="C20" s="17">
        <v>0.2</v>
      </c>
      <c r="D20" t="s">
        <v>190</v>
      </c>
      <c r="I20" t="s">
        <v>186</v>
      </c>
    </row>
    <row r="21" spans="1:9" x14ac:dyDescent="0.2">
      <c r="A21">
        <v>2</v>
      </c>
      <c r="B21" s="374">
        <f t="shared" si="0"/>
        <v>320</v>
      </c>
      <c r="C21" s="17">
        <v>0.2</v>
      </c>
      <c r="D21" t="s">
        <v>187</v>
      </c>
      <c r="I21" t="s">
        <v>188</v>
      </c>
    </row>
    <row r="22" spans="1:9" x14ac:dyDescent="0.2">
      <c r="A22">
        <v>3</v>
      </c>
      <c r="B22" s="374">
        <f t="shared" si="0"/>
        <v>160</v>
      </c>
      <c r="C22" s="17">
        <v>0.1</v>
      </c>
      <c r="D22" t="s">
        <v>185</v>
      </c>
      <c r="I22" t="s">
        <v>189</v>
      </c>
    </row>
    <row r="23" spans="1:9" x14ac:dyDescent="0.2">
      <c r="A23">
        <v>4</v>
      </c>
      <c r="B23" s="374">
        <f>$B$19*C23</f>
        <v>800</v>
      </c>
      <c r="C23" s="17">
        <v>0.5</v>
      </c>
      <c r="I23" t="s">
        <v>191</v>
      </c>
    </row>
    <row r="24" spans="1:9" x14ac:dyDescent="0.2">
      <c r="A24" t="s">
        <v>192</v>
      </c>
      <c r="B24" s="371">
        <f>SUM(B25:B28)</f>
        <v>980</v>
      </c>
      <c r="I24" t="s">
        <v>194</v>
      </c>
    </row>
    <row r="25" spans="1:9" x14ac:dyDescent="0.2">
      <c r="A25">
        <v>1</v>
      </c>
      <c r="B25" s="374">
        <f>ROUNDDOWN(B20*C25,0)</f>
        <v>208</v>
      </c>
      <c r="C25" s="69">
        <v>0.65</v>
      </c>
      <c r="I25" t="s">
        <v>195</v>
      </c>
    </row>
    <row r="26" spans="1:9" x14ac:dyDescent="0.2">
      <c r="A26">
        <v>2</v>
      </c>
      <c r="B26" s="374">
        <f t="shared" ref="B26:B28" si="1">ROUNDDOWN(B21*C26,0)</f>
        <v>208</v>
      </c>
      <c r="C26" s="69">
        <v>0.65</v>
      </c>
      <c r="I26" t="s">
        <v>196</v>
      </c>
    </row>
    <row r="27" spans="1:9" x14ac:dyDescent="0.2">
      <c r="A27">
        <v>3</v>
      </c>
      <c r="B27" s="374">
        <f t="shared" si="1"/>
        <v>44</v>
      </c>
      <c r="C27" s="69">
        <v>0.28000000000000003</v>
      </c>
    </row>
    <row r="28" spans="1:9" x14ac:dyDescent="0.2">
      <c r="A28">
        <v>4</v>
      </c>
      <c r="B28" s="374">
        <f t="shared" si="1"/>
        <v>520</v>
      </c>
      <c r="C28" s="69">
        <v>0.65</v>
      </c>
    </row>
    <row r="29" spans="1:9" ht="17" customHeight="1" x14ac:dyDescent="0.2">
      <c r="A29" t="s">
        <v>197</v>
      </c>
      <c r="B29" s="375">
        <f>B19-B17</f>
        <v>781</v>
      </c>
      <c r="D29" t="s">
        <v>198</v>
      </c>
    </row>
    <row r="30" spans="1:9" ht="17" customHeight="1" x14ac:dyDescent="0.2">
      <c r="A30" t="s">
        <v>38</v>
      </c>
      <c r="B30" s="370">
        <v>0.95</v>
      </c>
    </row>
    <row r="31" spans="1:9" ht="17" customHeight="1" x14ac:dyDescent="0.2">
      <c r="A31" t="s">
        <v>683</v>
      </c>
      <c r="B31" s="375">
        <f>ROUNDDOWN(B29*B30,0)</f>
        <v>741</v>
      </c>
    </row>
    <row r="32" spans="1:9" ht="17" customHeight="1" x14ac:dyDescent="0.2">
      <c r="A32" t="s">
        <v>200</v>
      </c>
      <c r="B32" s="375">
        <f>1200-(B18-B31)</f>
        <v>675</v>
      </c>
      <c r="D32" t="s">
        <v>201</v>
      </c>
    </row>
    <row r="33" spans="1:8" x14ac:dyDescent="0.2">
      <c r="A33" t="s">
        <v>19</v>
      </c>
      <c r="B33" s="374">
        <v>9</v>
      </c>
      <c r="H33">
        <v>9</v>
      </c>
    </row>
    <row r="34" spans="1:8" x14ac:dyDescent="0.2">
      <c r="A34" t="s">
        <v>202</v>
      </c>
      <c r="B34" s="369">
        <v>0.06</v>
      </c>
      <c r="H34">
        <v>7</v>
      </c>
    </row>
    <row r="35" spans="1:8" x14ac:dyDescent="0.2">
      <c r="A35" t="s">
        <v>203</v>
      </c>
      <c r="H35">
        <v>6</v>
      </c>
    </row>
    <row r="36" spans="1:8" x14ac:dyDescent="0.2">
      <c r="A36">
        <v>1</v>
      </c>
      <c r="B36" s="374">
        <v>7</v>
      </c>
      <c r="H36">
        <v>10</v>
      </c>
    </row>
    <row r="37" spans="1:8" x14ac:dyDescent="0.2">
      <c r="A37">
        <v>2</v>
      </c>
      <c r="B37" s="374">
        <v>7</v>
      </c>
    </row>
    <row r="38" spans="1:8" x14ac:dyDescent="0.2">
      <c r="A38">
        <v>3</v>
      </c>
      <c r="B38" s="374">
        <v>1</v>
      </c>
    </row>
    <row r="39" spans="1:8" x14ac:dyDescent="0.2">
      <c r="A39">
        <v>4</v>
      </c>
      <c r="B39" s="374">
        <v>7</v>
      </c>
    </row>
    <row r="40" spans="1:8" x14ac:dyDescent="0.2">
      <c r="A40" t="s">
        <v>204</v>
      </c>
    </row>
    <row r="41" spans="1:8" x14ac:dyDescent="0.2">
      <c r="A41">
        <v>1</v>
      </c>
      <c r="B41" s="374">
        <v>0</v>
      </c>
    </row>
    <row r="42" spans="1:8" x14ac:dyDescent="0.2">
      <c r="A42">
        <v>2</v>
      </c>
      <c r="B42" s="374">
        <v>1</v>
      </c>
    </row>
    <row r="43" spans="1:8" x14ac:dyDescent="0.2">
      <c r="A43">
        <v>3</v>
      </c>
      <c r="B43" s="374">
        <v>0</v>
      </c>
    </row>
    <row r="44" spans="1:8" x14ac:dyDescent="0.2">
      <c r="A44">
        <v>4</v>
      </c>
      <c r="B44" s="374">
        <v>0</v>
      </c>
    </row>
    <row r="45" spans="1:8" x14ac:dyDescent="0.2">
      <c r="A45" t="s">
        <v>82</v>
      </c>
      <c r="B45" s="374">
        <v>5200</v>
      </c>
    </row>
    <row r="46" spans="1:8" x14ac:dyDescent="0.2">
      <c r="A46" t="s">
        <v>93</v>
      </c>
      <c r="B46" s="374">
        <v>7</v>
      </c>
    </row>
    <row r="47" spans="1:8" x14ac:dyDescent="0.2">
      <c r="A47" t="s">
        <v>205</v>
      </c>
      <c r="B47" s="374">
        <v>5</v>
      </c>
    </row>
    <row r="48" spans="1:8" x14ac:dyDescent="0.2">
      <c r="A48" t="s">
        <v>206</v>
      </c>
      <c r="B48" s="374">
        <v>40000</v>
      </c>
    </row>
  </sheetData>
  <phoneticPr fontId="15" type="noConversion"/>
  <pageMargins left="0.7" right="0.7" top="0.75" bottom="0.75" header="0.3" footer="0.3"/>
  <pageSetup paperSize="9" orientation="portrait" horizontalDpi="0" verticalDpi="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F1BC2-E9F6-E94E-B886-64943A83CA35}">
  <sheetPr codeName="Sheet1">
    <tabColor theme="2"/>
  </sheetPr>
  <dimension ref="A1:V174"/>
  <sheetViews>
    <sheetView zoomScale="120" zoomScaleNormal="120" workbookViewId="0">
      <selection activeCell="J28" sqref="J28"/>
    </sheetView>
  </sheetViews>
  <sheetFormatPr baseColWidth="10" defaultColWidth="11" defaultRowHeight="16" x14ac:dyDescent="0.2"/>
  <cols>
    <col min="1" max="1" width="5.6640625" style="4" customWidth="1"/>
    <col min="2" max="2" width="33.33203125" bestFit="1" customWidth="1"/>
    <col min="3" max="3" width="14" bestFit="1" customWidth="1"/>
    <col min="4" max="4" width="15.1640625" customWidth="1"/>
    <col min="5" max="5" width="19.5" customWidth="1"/>
    <col min="6" max="6" width="15.33203125" bestFit="1" customWidth="1"/>
    <col min="7" max="7" width="18.33203125" bestFit="1" customWidth="1"/>
    <col min="8" max="8" width="18.6640625" bestFit="1" customWidth="1"/>
    <col min="9" max="9" width="18.83203125" customWidth="1"/>
    <col min="10" max="10" width="14.6640625" bestFit="1" customWidth="1"/>
    <col min="11" max="11" width="14.33203125" customWidth="1"/>
    <col min="12" max="12" width="12.5" bestFit="1" customWidth="1"/>
    <col min="13" max="13" width="16.83203125" customWidth="1"/>
    <col min="14" max="14" width="14" bestFit="1" customWidth="1"/>
    <col min="15" max="15" width="22.33203125" customWidth="1"/>
    <col min="16" max="16" width="22" customWidth="1"/>
    <col min="17" max="17" width="21.5" customWidth="1"/>
    <col min="18" max="18" width="16.5" customWidth="1"/>
    <col min="19" max="19" width="18.5" customWidth="1"/>
    <col min="20" max="20" width="13.5" customWidth="1"/>
    <col min="21" max="21" width="22.5" customWidth="1"/>
    <col min="22" max="22" width="22.1640625" customWidth="1"/>
    <col min="23" max="23" width="14.6640625" customWidth="1"/>
    <col min="24" max="24" width="22" customWidth="1"/>
    <col min="25" max="25" width="21.33203125" customWidth="1"/>
    <col min="26" max="26" width="15.33203125" bestFit="1" customWidth="1"/>
    <col min="27" max="27" width="12.5" bestFit="1" customWidth="1"/>
    <col min="28" max="28" width="11.5" bestFit="1" customWidth="1"/>
    <col min="29" max="29" width="18.5" bestFit="1" customWidth="1"/>
    <col min="32" max="32" width="19.83203125" bestFit="1" customWidth="1"/>
  </cols>
  <sheetData>
    <row r="1" spans="1:22" s="4" customFormat="1" ht="24" customHeight="1" x14ac:dyDescent="0.2"/>
    <row r="2" spans="1:22" x14ac:dyDescent="0.2">
      <c r="B2" s="4"/>
      <c r="C2" s="4"/>
      <c r="D2" s="4"/>
      <c r="E2" s="4"/>
      <c r="F2" s="4"/>
      <c r="G2" s="4"/>
      <c r="H2" s="4"/>
      <c r="I2" s="4"/>
      <c r="J2" s="4"/>
      <c r="K2" s="4"/>
      <c r="L2" s="4"/>
      <c r="M2" s="4"/>
      <c r="N2" s="4"/>
      <c r="O2" s="4"/>
      <c r="P2" s="4"/>
      <c r="Q2" s="4"/>
      <c r="R2" s="4"/>
      <c r="S2" s="4"/>
      <c r="T2" s="4"/>
      <c r="U2" s="4"/>
      <c r="V2" s="4"/>
    </row>
    <row r="3" spans="1:22" x14ac:dyDescent="0.2">
      <c r="B3" s="4"/>
      <c r="C3" s="4"/>
      <c r="D3" s="4"/>
      <c r="E3" s="4"/>
      <c r="F3" s="4"/>
      <c r="G3" s="4"/>
      <c r="H3" s="4"/>
      <c r="I3" s="4"/>
      <c r="J3" s="4"/>
      <c r="K3" s="4"/>
      <c r="L3" s="4"/>
      <c r="M3" s="4"/>
      <c r="N3" s="4"/>
      <c r="O3" s="4"/>
      <c r="P3" s="4"/>
      <c r="Q3" s="4"/>
      <c r="R3" s="4"/>
      <c r="S3" s="4"/>
      <c r="T3" s="4"/>
      <c r="U3" s="4"/>
      <c r="V3" s="4"/>
    </row>
    <row r="4" spans="1:22" s="4" customFormat="1" x14ac:dyDescent="0.2"/>
    <row r="5" spans="1:22" s="4" customFormat="1" x14ac:dyDescent="0.2"/>
    <row r="6" spans="1:22" s="4" customFormat="1" x14ac:dyDescent="0.2"/>
    <row r="7" spans="1:22" s="4" customFormat="1" x14ac:dyDescent="0.2"/>
    <row r="8" spans="1:22" s="4" customFormat="1" x14ac:dyDescent="0.2"/>
    <row r="9" spans="1:22" s="4" customFormat="1" x14ac:dyDescent="0.2"/>
    <row r="10" spans="1:22" x14ac:dyDescent="0.2">
      <c r="B10" s="99" t="s">
        <v>4</v>
      </c>
      <c r="C10" s="4"/>
      <c r="D10" s="4"/>
      <c r="E10" s="4"/>
      <c r="F10" s="4"/>
      <c r="G10" s="4"/>
      <c r="H10" s="4"/>
      <c r="I10" s="4"/>
      <c r="J10" s="4"/>
      <c r="K10" s="4"/>
      <c r="L10" s="4"/>
      <c r="M10" s="4"/>
      <c r="N10" s="4"/>
      <c r="O10" s="4"/>
      <c r="P10" s="4"/>
      <c r="Q10" s="4"/>
      <c r="R10" s="4"/>
      <c r="S10" s="4"/>
      <c r="T10" s="4"/>
      <c r="U10" s="4"/>
      <c r="V10" s="4"/>
    </row>
    <row r="11" spans="1:22" x14ac:dyDescent="0.2">
      <c r="B11" s="69" t="s">
        <v>404</v>
      </c>
      <c r="C11" s="4"/>
      <c r="D11" s="4"/>
      <c r="E11" s="4"/>
      <c r="F11" s="4"/>
      <c r="G11" s="4"/>
      <c r="H11" s="4"/>
      <c r="I11" s="4"/>
      <c r="J11" s="4"/>
      <c r="K11" s="4"/>
      <c r="L11" s="4"/>
      <c r="M11" s="4"/>
      <c r="N11" s="4"/>
      <c r="O11" s="4"/>
      <c r="P11" s="4"/>
      <c r="Q11" s="4"/>
      <c r="R11" s="4"/>
      <c r="S11" s="4"/>
      <c r="T11" s="4"/>
      <c r="U11" s="4"/>
      <c r="V11" s="4"/>
    </row>
    <row r="12" spans="1:22" x14ac:dyDescent="0.2">
      <c r="B12" s="268" t="s">
        <v>6</v>
      </c>
      <c r="C12" s="4"/>
      <c r="D12" s="4"/>
      <c r="E12" s="4"/>
      <c r="F12" s="4"/>
      <c r="G12" s="4"/>
      <c r="H12" s="4"/>
      <c r="I12" s="4"/>
      <c r="J12" s="4"/>
      <c r="K12" s="4"/>
      <c r="L12" s="4"/>
      <c r="M12" s="4"/>
      <c r="N12" s="4"/>
      <c r="O12" s="4"/>
      <c r="P12" s="4"/>
      <c r="Q12" s="4"/>
      <c r="R12" s="4"/>
      <c r="S12" s="4"/>
      <c r="T12" s="4"/>
      <c r="U12" s="4"/>
      <c r="V12" s="4"/>
    </row>
    <row r="13" spans="1:22" s="120" customFormat="1" x14ac:dyDescent="0.2">
      <c r="A13" s="4"/>
    </row>
    <row r="14" spans="1:22" s="4" customFormat="1" x14ac:dyDescent="0.2">
      <c r="B14" s="354" t="s">
        <v>7</v>
      </c>
    </row>
    <row r="15" spans="1:22" s="4" customFormat="1" x14ac:dyDescent="0.2"/>
    <row r="16" spans="1:22" s="4" customFormat="1" x14ac:dyDescent="0.2">
      <c r="B16" s="141" t="s">
        <v>8</v>
      </c>
      <c r="C16" s="143"/>
      <c r="G16" s="214"/>
    </row>
    <row r="17" spans="2:22" s="4" customFormat="1" x14ac:dyDescent="0.2">
      <c r="B17" s="12" t="s">
        <v>9</v>
      </c>
      <c r="C17" s="217">
        <v>0</v>
      </c>
      <c r="E17" s="199" t="s">
        <v>10</v>
      </c>
    </row>
    <row r="18" spans="2:22" s="4" customFormat="1" x14ac:dyDescent="0.2">
      <c r="B18" s="12" t="s">
        <v>11</v>
      </c>
      <c r="C18" s="217">
        <f>F19*F20</f>
        <v>135000</v>
      </c>
      <c r="E18" s="576" t="s">
        <v>12</v>
      </c>
      <c r="F18" s="577"/>
      <c r="G18" s="578"/>
      <c r="I18" s="71" t="s">
        <v>13</v>
      </c>
      <c r="J18" s="72"/>
      <c r="K18" s="72" t="s">
        <v>14</v>
      </c>
      <c r="L18" s="72" t="s">
        <v>15</v>
      </c>
      <c r="M18" s="72" t="s">
        <v>16</v>
      </c>
      <c r="N18" s="73" t="s">
        <v>17</v>
      </c>
    </row>
    <row r="19" spans="2:22" s="4" customFormat="1" x14ac:dyDescent="0.2">
      <c r="B19" s="12" t="s">
        <v>18</v>
      </c>
      <c r="C19" s="217">
        <f>N23</f>
        <v>386025.75</v>
      </c>
      <c r="E19" s="284" t="s">
        <v>19</v>
      </c>
      <c r="F19" s="285">
        <v>15000</v>
      </c>
      <c r="G19" s="11" t="s">
        <v>20</v>
      </c>
      <c r="I19" s="12"/>
      <c r="J19" s="4" t="s">
        <v>21</v>
      </c>
      <c r="K19" s="4" t="s">
        <v>22</v>
      </c>
      <c r="L19" s="4">
        <f>VLOOKUP($K$19,$E$24:F59,2,FALSE)</f>
        <v>36</v>
      </c>
      <c r="M19" s="4">
        <f>L19*$F$25</f>
        <v>36</v>
      </c>
      <c r="N19" s="13">
        <f>M19*$F$24</f>
        <v>24300</v>
      </c>
    </row>
    <row r="20" spans="2:22" s="4" customFormat="1" x14ac:dyDescent="0.2">
      <c r="B20" s="12" t="s">
        <v>23</v>
      </c>
      <c r="C20" s="281">
        <f>C35*0.02</f>
        <v>7877.5830000000014</v>
      </c>
      <c r="E20" s="68"/>
      <c r="F20" s="76">
        <v>9</v>
      </c>
      <c r="G20" s="16"/>
      <c r="I20" s="12" t="s">
        <v>24</v>
      </c>
      <c r="J20" s="19" t="s">
        <v>25</v>
      </c>
      <c r="K20" s="4" t="s">
        <v>26</v>
      </c>
      <c r="L20" s="4">
        <f>VLOOKUP($K$20,$E$25:F60,2,FALSE)</f>
        <v>44.52</v>
      </c>
      <c r="M20" s="4">
        <f>L20*$F$28</f>
        <v>89.04</v>
      </c>
      <c r="N20" s="13">
        <f>M20*$F$24</f>
        <v>60102.000000000007</v>
      </c>
    </row>
    <row r="21" spans="2:22" s="4" customFormat="1" x14ac:dyDescent="0.2">
      <c r="B21" s="276" t="s">
        <v>27</v>
      </c>
      <c r="C21" s="282">
        <v>280000</v>
      </c>
      <c r="E21" s="12" t="s">
        <v>28</v>
      </c>
      <c r="G21" s="103"/>
      <c r="I21" s="12"/>
      <c r="J21" s="20" t="s">
        <v>29</v>
      </c>
      <c r="K21" s="4" t="s">
        <v>30</v>
      </c>
      <c r="L21" s="4">
        <f>VLOOKUP($K$21,$E$26:F63,2,FALSE)</f>
        <v>187.20000000000002</v>
      </c>
      <c r="M21" s="4">
        <f>L21*$F$38</f>
        <v>374.40000000000003</v>
      </c>
      <c r="N21" s="13">
        <f>M21*$F$24</f>
        <v>252720.00000000003</v>
      </c>
      <c r="V21" s="19"/>
    </row>
    <row r="22" spans="2:22" s="4" customFormat="1" x14ac:dyDescent="0.2">
      <c r="B22" s="14"/>
      <c r="C22" s="278">
        <f>SUM(C17:C21)</f>
        <v>808903.33299999998</v>
      </c>
      <c r="E22" s="12" t="s">
        <v>31</v>
      </c>
      <c r="F22" s="214">
        <v>1300000</v>
      </c>
      <c r="G22" s="103"/>
      <c r="I22" s="12"/>
      <c r="J22" s="70" t="s">
        <v>32</v>
      </c>
      <c r="K22" s="4" t="s">
        <v>33</v>
      </c>
      <c r="L22" s="4">
        <f>VLOOKUP($K$22,$E$21:F60,2,FALSE)</f>
        <v>24.150000000000002</v>
      </c>
      <c r="M22" s="4">
        <f>L22*$F$51</f>
        <v>72.45</v>
      </c>
      <c r="N22" s="13">
        <f>M22*$F$24</f>
        <v>48903.75</v>
      </c>
      <c r="V22" s="20"/>
    </row>
    <row r="23" spans="2:22" s="4" customFormat="1" x14ac:dyDescent="0.2">
      <c r="E23" s="12" t="s">
        <v>34</v>
      </c>
      <c r="F23" s="214">
        <v>1500000</v>
      </c>
      <c r="G23" s="103"/>
      <c r="I23" s="71" t="s">
        <v>35</v>
      </c>
      <c r="J23" s="72"/>
      <c r="K23" s="72"/>
      <c r="L23" s="72"/>
      <c r="M23" s="72">
        <f>SUM(M19:M22)</f>
        <v>571.8900000000001</v>
      </c>
      <c r="N23" s="73">
        <f>SUM(N19:N22)</f>
        <v>386025.75</v>
      </c>
      <c r="V23" s="70"/>
    </row>
    <row r="24" spans="2:22" s="4" customFormat="1" x14ac:dyDescent="0.2">
      <c r="E24" s="14" t="s">
        <v>18</v>
      </c>
      <c r="F24" s="95">
        <v>675</v>
      </c>
      <c r="G24" s="103" t="s">
        <v>36</v>
      </c>
      <c r="I24" s="14" t="s">
        <v>37</v>
      </c>
      <c r="J24" s="15"/>
      <c r="K24" s="15"/>
      <c r="L24" s="15"/>
      <c r="M24" s="15">
        <f>M23-M19</f>
        <v>535.8900000000001</v>
      </c>
      <c r="N24" s="16">
        <f>M24*F24</f>
        <v>361725.75000000006</v>
      </c>
    </row>
    <row r="25" spans="2:22" s="4" customFormat="1" x14ac:dyDescent="0.2">
      <c r="B25" s="71" t="s">
        <v>38</v>
      </c>
      <c r="C25" s="287">
        <v>0.95</v>
      </c>
      <c r="E25" s="9" t="s">
        <v>21</v>
      </c>
      <c r="F25" s="10">
        <v>1</v>
      </c>
      <c r="G25" s="103" t="s">
        <v>39</v>
      </c>
    </row>
    <row r="26" spans="2:22" s="4" customFormat="1" x14ac:dyDescent="0.2">
      <c r="E26" s="12" t="s">
        <v>40</v>
      </c>
      <c r="F26" s="214">
        <v>20</v>
      </c>
      <c r="G26" s="103"/>
    </row>
    <row r="27" spans="2:22" s="4" customFormat="1" x14ac:dyDescent="0.2">
      <c r="B27" s="9" t="s">
        <v>41</v>
      </c>
      <c r="C27" s="289">
        <v>819</v>
      </c>
      <c r="E27" s="14" t="s">
        <v>22</v>
      </c>
      <c r="F27" s="283">
        <v>36</v>
      </c>
      <c r="G27" s="98"/>
    </row>
    <row r="28" spans="2:22" s="4" customFormat="1" x14ac:dyDescent="0.2">
      <c r="B28" s="12" t="s">
        <v>42</v>
      </c>
      <c r="C28" s="290">
        <v>1266</v>
      </c>
      <c r="E28" s="9" t="s">
        <v>25</v>
      </c>
      <c r="F28" s="11">
        <v>2</v>
      </c>
      <c r="G28" s="103" t="s">
        <v>39</v>
      </c>
      <c r="P28" s="214"/>
      <c r="V28" s="19"/>
    </row>
    <row r="29" spans="2:22" s="4" customFormat="1" x14ac:dyDescent="0.2">
      <c r="B29" s="12" t="s">
        <v>43</v>
      </c>
      <c r="C29" s="291">
        <v>1200</v>
      </c>
      <c r="E29" s="12" t="s">
        <v>44</v>
      </c>
      <c r="F29" s="13">
        <f>(1+F31)*F30</f>
        <v>43.2</v>
      </c>
      <c r="G29" s="103"/>
      <c r="V29" s="20"/>
    </row>
    <row r="30" spans="2:22" s="4" customFormat="1" x14ac:dyDescent="0.2">
      <c r="B30" s="12" t="s">
        <v>413</v>
      </c>
      <c r="C30" s="292">
        <f>C29*C25</f>
        <v>1140</v>
      </c>
      <c r="E30" s="67" t="s">
        <v>45</v>
      </c>
      <c r="F30" s="13">
        <v>40</v>
      </c>
      <c r="G30" s="103"/>
      <c r="V30" s="70"/>
    </row>
    <row r="31" spans="2:22" s="4" customFormat="1" x14ac:dyDescent="0.2">
      <c r="B31" s="12"/>
      <c r="C31" s="222"/>
      <c r="E31" s="67" t="s">
        <v>46</v>
      </c>
      <c r="F31" s="13">
        <v>0.08</v>
      </c>
      <c r="G31" s="103"/>
    </row>
    <row r="32" spans="2:22" s="4" customFormat="1" x14ac:dyDescent="0.2">
      <c r="B32" s="12" t="s">
        <v>47</v>
      </c>
      <c r="C32" s="222">
        <f>C29-C30</f>
        <v>60</v>
      </c>
      <c r="E32" s="12" t="s">
        <v>26</v>
      </c>
      <c r="F32" s="13">
        <f>(1+F34)*F33</f>
        <v>44.52</v>
      </c>
      <c r="G32" s="103"/>
      <c r="P32" s="214"/>
    </row>
    <row r="33" spans="2:14" s="4" customFormat="1" x14ac:dyDescent="0.2">
      <c r="B33" s="12" t="s">
        <v>48</v>
      </c>
      <c r="C33" s="222">
        <f>F24</f>
        <v>675</v>
      </c>
      <c r="E33" s="67" t="s">
        <v>45</v>
      </c>
      <c r="F33" s="13">
        <v>42</v>
      </c>
      <c r="G33" s="103"/>
    </row>
    <row r="34" spans="2:14" s="4" customFormat="1" x14ac:dyDescent="0.2">
      <c r="B34" s="12" t="s">
        <v>49</v>
      </c>
      <c r="C34" s="222">
        <f>SUM(C32:C33)</f>
        <v>735</v>
      </c>
      <c r="E34" s="67" t="s">
        <v>46</v>
      </c>
      <c r="F34" s="13">
        <v>0.06</v>
      </c>
      <c r="G34" s="103"/>
    </row>
    <row r="35" spans="2:14" s="4" customFormat="1" x14ac:dyDescent="0.2">
      <c r="B35" s="14" t="s">
        <v>50</v>
      </c>
      <c r="C35" s="288">
        <f>C34*M24</f>
        <v>393879.15000000008</v>
      </c>
      <c r="E35" s="12" t="s">
        <v>51</v>
      </c>
      <c r="F35" s="13">
        <f>(1+F37)*F36</f>
        <v>56.1</v>
      </c>
      <c r="G35" s="103"/>
      <c r="N35" s="19"/>
    </row>
    <row r="36" spans="2:14" s="4" customFormat="1" x14ac:dyDescent="0.2">
      <c r="E36" s="67" t="s">
        <v>45</v>
      </c>
      <c r="F36" s="13">
        <v>55</v>
      </c>
      <c r="G36" s="103"/>
      <c r="N36" s="20"/>
    </row>
    <row r="37" spans="2:14" s="4" customFormat="1" x14ac:dyDescent="0.2">
      <c r="E37" s="68" t="s">
        <v>46</v>
      </c>
      <c r="F37" s="16">
        <v>0.02</v>
      </c>
      <c r="G37" s="98"/>
      <c r="N37" s="70"/>
    </row>
    <row r="38" spans="2:14" s="4" customFormat="1" x14ac:dyDescent="0.2">
      <c r="E38" s="67" t="s">
        <v>52</v>
      </c>
      <c r="F38" s="13">
        <v>2</v>
      </c>
      <c r="G38" s="103" t="s">
        <v>39</v>
      </c>
    </row>
    <row r="39" spans="2:14" s="4" customFormat="1" x14ac:dyDescent="0.2">
      <c r="E39" s="12" t="s">
        <v>53</v>
      </c>
      <c r="F39" s="13">
        <f>(1+F41)*F40</f>
        <v>117.7</v>
      </c>
      <c r="G39" s="103"/>
    </row>
    <row r="40" spans="2:14" s="4" customFormat="1" x14ac:dyDescent="0.2">
      <c r="E40" s="67" t="s">
        <v>45</v>
      </c>
      <c r="F40" s="13">
        <v>110</v>
      </c>
      <c r="G40" s="103"/>
    </row>
    <row r="41" spans="2:14" s="4" customFormat="1" x14ac:dyDescent="0.2">
      <c r="E41" s="67" t="s">
        <v>46</v>
      </c>
      <c r="F41" s="13">
        <v>7.0000000000000007E-2</v>
      </c>
      <c r="G41" s="103"/>
    </row>
    <row r="42" spans="2:14" s="4" customFormat="1" x14ac:dyDescent="0.2">
      <c r="E42" s="12" t="s">
        <v>54</v>
      </c>
      <c r="F42" s="13">
        <f>(1+F44)*F43</f>
        <v>186.29999999999998</v>
      </c>
      <c r="G42" s="103"/>
    </row>
    <row r="43" spans="2:14" s="4" customFormat="1" x14ac:dyDescent="0.2">
      <c r="E43" s="67" t="s">
        <v>45</v>
      </c>
      <c r="F43" s="13">
        <v>162</v>
      </c>
      <c r="G43" s="103"/>
    </row>
    <row r="44" spans="2:14" s="4" customFormat="1" x14ac:dyDescent="0.2">
      <c r="E44" s="67" t="s">
        <v>46</v>
      </c>
      <c r="F44" s="13">
        <v>0.15</v>
      </c>
      <c r="G44" s="103"/>
    </row>
    <row r="45" spans="2:14" s="4" customFormat="1" x14ac:dyDescent="0.2">
      <c r="E45" s="12" t="s">
        <v>55</v>
      </c>
      <c r="F45" s="13">
        <f>(1+F47)*F46</f>
        <v>193.60000000000002</v>
      </c>
      <c r="G45" s="98"/>
    </row>
    <row r="46" spans="2:14" s="4" customFormat="1" x14ac:dyDescent="0.2">
      <c r="E46" s="67" t="s">
        <v>45</v>
      </c>
      <c r="F46" s="13">
        <v>176</v>
      </c>
      <c r="G46" s="13"/>
    </row>
    <row r="47" spans="2:14" s="4" customFormat="1" x14ac:dyDescent="0.2">
      <c r="E47" s="67" t="s">
        <v>46</v>
      </c>
      <c r="F47" s="13">
        <v>0.1</v>
      </c>
      <c r="G47" s="13"/>
    </row>
    <row r="48" spans="2:14" s="4" customFormat="1" x14ac:dyDescent="0.2">
      <c r="E48" s="12" t="s">
        <v>30</v>
      </c>
      <c r="F48" s="13">
        <f>(1+F50)*F49</f>
        <v>187.20000000000002</v>
      </c>
      <c r="G48" s="13"/>
    </row>
    <row r="49" spans="1:7" s="4" customFormat="1" x14ac:dyDescent="0.2">
      <c r="E49" s="67" t="s">
        <v>45</v>
      </c>
      <c r="F49" s="13">
        <v>180</v>
      </c>
      <c r="G49" s="13"/>
    </row>
    <row r="50" spans="1:7" s="4" customFormat="1" x14ac:dyDescent="0.2">
      <c r="E50" s="68" t="s">
        <v>46</v>
      </c>
      <c r="F50" s="16">
        <v>0.04</v>
      </c>
      <c r="G50" s="13"/>
    </row>
    <row r="51" spans="1:7" s="4" customFormat="1" x14ac:dyDescent="0.2">
      <c r="E51" s="280" t="s">
        <v>56</v>
      </c>
      <c r="F51" s="11">
        <v>3</v>
      </c>
      <c r="G51" s="13" t="s">
        <v>39</v>
      </c>
    </row>
    <row r="52" spans="1:7" s="4" customFormat="1" x14ac:dyDescent="0.2">
      <c r="E52" s="12" t="s">
        <v>57</v>
      </c>
      <c r="F52" s="13">
        <f>(1+F54)*F53</f>
        <v>21.599999999999998</v>
      </c>
      <c r="G52" s="13"/>
    </row>
    <row r="53" spans="1:7" s="4" customFormat="1" x14ac:dyDescent="0.2">
      <c r="E53" s="67" t="s">
        <v>45</v>
      </c>
      <c r="F53" s="13">
        <v>18</v>
      </c>
      <c r="G53" s="13"/>
    </row>
    <row r="54" spans="1:7" s="4" customFormat="1" x14ac:dyDescent="0.2">
      <c r="E54" s="67" t="s">
        <v>46</v>
      </c>
      <c r="F54" s="13">
        <v>0.2</v>
      </c>
      <c r="G54" s="13"/>
    </row>
    <row r="55" spans="1:7" s="4" customFormat="1" x14ac:dyDescent="0.2">
      <c r="E55" s="12" t="s">
        <v>58</v>
      </c>
      <c r="F55" s="13">
        <f>(1+F57)*F56</f>
        <v>22</v>
      </c>
      <c r="G55" s="13"/>
    </row>
    <row r="56" spans="1:7" s="4" customFormat="1" x14ac:dyDescent="0.2">
      <c r="E56" s="67" t="s">
        <v>45</v>
      </c>
      <c r="F56" s="13">
        <v>20</v>
      </c>
      <c r="G56" s="13"/>
    </row>
    <row r="57" spans="1:7" s="4" customFormat="1" x14ac:dyDescent="0.2">
      <c r="E57" s="67" t="s">
        <v>46</v>
      </c>
      <c r="F57" s="13">
        <v>0.1</v>
      </c>
      <c r="G57" s="13"/>
    </row>
    <row r="58" spans="1:7" s="4" customFormat="1" x14ac:dyDescent="0.2">
      <c r="E58" s="12" t="s">
        <v>33</v>
      </c>
      <c r="F58" s="13">
        <f>(1+F60)*F59</f>
        <v>24.150000000000002</v>
      </c>
      <c r="G58" s="13"/>
    </row>
    <row r="59" spans="1:7" s="4" customFormat="1" x14ac:dyDescent="0.2">
      <c r="E59" s="67" t="s">
        <v>45</v>
      </c>
      <c r="F59" s="13">
        <v>23</v>
      </c>
      <c r="G59" s="13"/>
    </row>
    <row r="60" spans="1:7" s="4" customFormat="1" x14ac:dyDescent="0.2">
      <c r="E60" s="68" t="s">
        <v>46</v>
      </c>
      <c r="F60" s="16">
        <v>0.05</v>
      </c>
      <c r="G60" s="16"/>
    </row>
    <row r="61" spans="1:7" s="4" customFormat="1" x14ac:dyDescent="0.2">
      <c r="E61" s="5"/>
    </row>
    <row r="62" spans="1:7" s="4" customFormat="1" x14ac:dyDescent="0.2">
      <c r="E62" s="5"/>
    </row>
    <row r="63" spans="1:7" s="4" customFormat="1" x14ac:dyDescent="0.2"/>
    <row r="64" spans="1:7" s="120" customFormat="1" x14ac:dyDescent="0.2">
      <c r="A64" s="4"/>
    </row>
    <row r="65" spans="2:11" s="4" customFormat="1" x14ac:dyDescent="0.2">
      <c r="B65" s="354" t="s">
        <v>59</v>
      </c>
    </row>
    <row r="66" spans="2:11" s="4" customFormat="1" x14ac:dyDescent="0.2"/>
    <row r="67" spans="2:11" s="4" customFormat="1" x14ac:dyDescent="0.2">
      <c r="B67" s="141" t="s">
        <v>8</v>
      </c>
      <c r="C67" s="143"/>
      <c r="F67" s="199"/>
    </row>
    <row r="68" spans="2:11" s="4" customFormat="1" x14ac:dyDescent="0.2">
      <c r="B68" s="12" t="s">
        <v>60</v>
      </c>
      <c r="C68" s="221">
        <f>SUMPRODUCT(F73:I73,F71:I71)</f>
        <v>2288352</v>
      </c>
    </row>
    <row r="69" spans="2:11" s="4" customFormat="1" x14ac:dyDescent="0.2">
      <c r="B69" s="12" t="s">
        <v>61</v>
      </c>
      <c r="C69" s="221">
        <f>J75</f>
        <v>238537.60000000001</v>
      </c>
      <c r="E69" s="9" t="s">
        <v>414</v>
      </c>
      <c r="F69" s="311"/>
      <c r="G69" s="311"/>
      <c r="H69" s="311"/>
      <c r="I69" s="311"/>
      <c r="J69" s="11"/>
    </row>
    <row r="70" spans="2:11" s="4" customFormat="1" x14ac:dyDescent="0.2">
      <c r="B70" s="12" t="s">
        <v>62</v>
      </c>
      <c r="C70" s="318">
        <f>C68*C74</f>
        <v>137301.12</v>
      </c>
      <c r="E70" s="297" t="s">
        <v>63</v>
      </c>
      <c r="F70" s="298">
        <v>1</v>
      </c>
      <c r="G70" s="298">
        <v>2</v>
      </c>
      <c r="H70" s="298">
        <v>3</v>
      </c>
      <c r="I70" s="299">
        <v>4</v>
      </c>
      <c r="J70" s="299" t="s">
        <v>64</v>
      </c>
    </row>
    <row r="71" spans="2:11" s="4" customFormat="1" x14ac:dyDescent="0.2">
      <c r="B71" s="14"/>
      <c r="C71" s="319">
        <f>SUM(C68:C70)</f>
        <v>2664190.7200000002</v>
      </c>
      <c r="E71" s="300" t="s">
        <v>65</v>
      </c>
      <c r="F71" s="358">
        <v>2450</v>
      </c>
      <c r="G71" s="358">
        <v>1899</v>
      </c>
      <c r="H71" s="358">
        <v>2450</v>
      </c>
      <c r="I71" s="358">
        <v>2450</v>
      </c>
      <c r="J71" s="301" t="s">
        <v>66</v>
      </c>
      <c r="K71" s="363">
        <f>SUMPRODUCT(F71:I71,F72:I72)</f>
        <v>3743680</v>
      </c>
    </row>
    <row r="72" spans="2:11" s="4" customFormat="1" x14ac:dyDescent="0.2">
      <c r="E72" s="300" t="s">
        <v>67</v>
      </c>
      <c r="F72" s="272">
        <f>J72*0.2</f>
        <v>320</v>
      </c>
      <c r="G72" s="379">
        <f>J72*0.2</f>
        <v>320</v>
      </c>
      <c r="H72" s="379">
        <f>J72*0.1</f>
        <v>160</v>
      </c>
      <c r="I72" s="378">
        <f>J72*0.5</f>
        <v>800</v>
      </c>
      <c r="J72" s="303">
        <v>1600</v>
      </c>
      <c r="K72" s="4" t="s">
        <v>405</v>
      </c>
    </row>
    <row r="73" spans="2:11" s="4" customFormat="1" x14ac:dyDescent="0.2">
      <c r="D73" s="199"/>
      <c r="E73" s="300" t="s">
        <v>72</v>
      </c>
      <c r="F73" s="273">
        <v>208</v>
      </c>
      <c r="G73" s="273">
        <v>208</v>
      </c>
      <c r="H73" s="273">
        <v>44.800000000000004</v>
      </c>
      <c r="I73" s="316">
        <v>520</v>
      </c>
      <c r="J73" s="301">
        <f>SUM(F73:I73)</f>
        <v>980.8</v>
      </c>
    </row>
    <row r="74" spans="2:11" s="4" customFormat="1" x14ac:dyDescent="0.2">
      <c r="B74" s="9" t="s">
        <v>68</v>
      </c>
      <c r="C74" s="320">
        <v>0.06</v>
      </c>
      <c r="D74" s="199"/>
      <c r="E74" s="300" t="s">
        <v>69</v>
      </c>
      <c r="F74" s="256">
        <v>7</v>
      </c>
      <c r="G74" s="256">
        <v>7</v>
      </c>
      <c r="H74" s="256">
        <v>1</v>
      </c>
      <c r="I74" s="315">
        <v>7</v>
      </c>
      <c r="J74" s="301"/>
    </row>
    <row r="75" spans="2:11" s="4" customFormat="1" x14ac:dyDescent="0.2">
      <c r="B75" s="12" t="s">
        <v>70</v>
      </c>
      <c r="C75" s="221">
        <f>J72</f>
        <v>1600</v>
      </c>
      <c r="D75" s="357"/>
      <c r="E75" s="300" t="s">
        <v>71</v>
      </c>
      <c r="F75" s="312">
        <f>F72*F71*F74/100</f>
        <v>54880</v>
      </c>
      <c r="G75" s="312">
        <f>G72*G71*G74/100</f>
        <v>42537.599999999999</v>
      </c>
      <c r="H75" s="312">
        <f>H72*H71*H74/100</f>
        <v>3920</v>
      </c>
      <c r="I75" s="304">
        <f>I72*I71*I74/100</f>
        <v>137200</v>
      </c>
      <c r="J75" s="304">
        <f>SUM(F75:I75)</f>
        <v>238537.60000000001</v>
      </c>
    </row>
    <row r="76" spans="2:11" s="4" customFormat="1" x14ac:dyDescent="0.2">
      <c r="B76" s="12" t="s">
        <v>72</v>
      </c>
      <c r="C76" s="221">
        <f>J73</f>
        <v>980.8</v>
      </c>
      <c r="D76" s="199"/>
      <c r="E76" s="300" t="s">
        <v>73</v>
      </c>
      <c r="F76" s="256">
        <v>0</v>
      </c>
      <c r="G76" s="256">
        <v>1</v>
      </c>
      <c r="H76" s="256">
        <v>0</v>
      </c>
      <c r="I76" s="315">
        <v>0</v>
      </c>
      <c r="J76" s="301" t="s">
        <v>66</v>
      </c>
    </row>
    <row r="77" spans="2:11" s="4" customFormat="1" x14ac:dyDescent="0.2">
      <c r="B77" s="14" t="s">
        <v>74</v>
      </c>
      <c r="C77" s="319">
        <f>C75-C76</f>
        <v>619.20000000000005</v>
      </c>
      <c r="D77" s="199"/>
      <c r="E77" s="305" t="s">
        <v>75</v>
      </c>
      <c r="F77" s="306">
        <v>2</v>
      </c>
      <c r="G77" s="306">
        <v>3</v>
      </c>
      <c r="H77" s="306">
        <v>2</v>
      </c>
      <c r="I77" s="307">
        <v>4</v>
      </c>
      <c r="J77" s="307">
        <f>SUM(F77:I77)</f>
        <v>11</v>
      </c>
    </row>
    <row r="78" spans="2:11" s="4" customFormat="1" x14ac:dyDescent="0.2">
      <c r="E78" s="300" t="s">
        <v>76</v>
      </c>
      <c r="F78" s="296">
        <v>941</v>
      </c>
      <c r="G78" s="296">
        <v>638</v>
      </c>
      <c r="H78" s="296">
        <v>706</v>
      </c>
      <c r="I78" s="301">
        <v>1075</v>
      </c>
      <c r="J78" s="301"/>
    </row>
    <row r="79" spans="2:11" s="4" customFormat="1" x14ac:dyDescent="0.2">
      <c r="E79" s="305" t="s">
        <v>78</v>
      </c>
      <c r="F79" s="308">
        <f>F73/F78</f>
        <v>0.22104144527098832</v>
      </c>
      <c r="G79" s="308">
        <f>G73/G78</f>
        <v>0.32601880877742945</v>
      </c>
      <c r="H79" s="308">
        <f>H73/H78</f>
        <v>6.3456090651558078E-2</v>
      </c>
      <c r="I79" s="317">
        <f>I73/I78</f>
        <v>0.48372093023255813</v>
      </c>
      <c r="J79" s="309"/>
    </row>
    <row r="80" spans="2:11" s="4" customFormat="1" x14ac:dyDescent="0.2">
      <c r="E80" s="296" t="s">
        <v>79</v>
      </c>
      <c r="F80" s="367">
        <v>39.229999999999997</v>
      </c>
      <c r="G80" s="310">
        <v>0</v>
      </c>
      <c r="H80" s="310">
        <v>45.3</v>
      </c>
      <c r="I80" s="310">
        <v>57</v>
      </c>
      <c r="J80" s="296"/>
    </row>
    <row r="81" spans="1:12" s="4" customFormat="1" x14ac:dyDescent="0.2">
      <c r="E81" s="296"/>
      <c r="F81" s="367"/>
      <c r="G81" s="310"/>
      <c r="H81" s="310"/>
      <c r="I81" s="310"/>
      <c r="J81" s="296"/>
    </row>
    <row r="82" spans="1:12" s="4" customFormat="1" x14ac:dyDescent="0.2">
      <c r="E82" s="296"/>
      <c r="F82" s="367"/>
      <c r="G82" s="310"/>
      <c r="H82" s="310"/>
      <c r="I82" s="310"/>
      <c r="J82" s="296"/>
    </row>
    <row r="83" spans="1:12" s="4" customFormat="1" x14ac:dyDescent="0.2">
      <c r="E83" s="296"/>
      <c r="F83" s="367"/>
      <c r="G83" s="310"/>
      <c r="H83" s="310"/>
      <c r="I83" s="310"/>
      <c r="J83" s="296"/>
    </row>
    <row r="84" spans="1:12" s="4" customFormat="1" x14ac:dyDescent="0.2">
      <c r="E84" s="296"/>
      <c r="F84" s="310"/>
      <c r="G84" s="310"/>
      <c r="H84" s="310"/>
      <c r="I84" s="310"/>
      <c r="J84" s="296"/>
    </row>
    <row r="85" spans="1:12" s="4" customFormat="1" x14ac:dyDescent="0.2">
      <c r="E85" s="296"/>
      <c r="F85" s="310"/>
      <c r="G85" s="310"/>
      <c r="H85" s="310"/>
      <c r="I85" s="310"/>
      <c r="J85" s="296"/>
    </row>
    <row r="86" spans="1:12" s="4" customFormat="1" ht="17" customHeight="1" x14ac:dyDescent="0.2">
      <c r="E86" s="296"/>
      <c r="F86" s="310"/>
      <c r="G86" s="310"/>
      <c r="H86" s="310"/>
      <c r="I86" s="310"/>
      <c r="J86" s="296"/>
    </row>
    <row r="87" spans="1:12" s="4" customFormat="1" x14ac:dyDescent="0.2"/>
    <row r="88" spans="1:12" s="120" customFormat="1" x14ac:dyDescent="0.2">
      <c r="A88" s="4"/>
    </row>
    <row r="89" spans="1:12" s="4" customFormat="1" x14ac:dyDescent="0.2">
      <c r="B89" s="354" t="s">
        <v>80</v>
      </c>
      <c r="G89" s="214"/>
    </row>
    <row r="90" spans="1:12" s="4" customFormat="1" ht="17" customHeight="1" x14ac:dyDescent="0.2">
      <c r="D90" s="321"/>
    </row>
    <row r="91" spans="1:12" s="4" customFormat="1" x14ac:dyDescent="0.2">
      <c r="B91" s="141" t="s">
        <v>8</v>
      </c>
      <c r="C91" s="143"/>
      <c r="D91" s="214"/>
    </row>
    <row r="92" spans="1:12" s="4" customFormat="1" x14ac:dyDescent="0.2">
      <c r="B92" s="12" t="s">
        <v>81</v>
      </c>
      <c r="C92" s="323">
        <f>I98</f>
        <v>304200</v>
      </c>
      <c r="D92" s="214"/>
      <c r="E92" s="71" t="s">
        <v>82</v>
      </c>
      <c r="F92" s="329">
        <v>5200</v>
      </c>
      <c r="H92" s="71" t="s">
        <v>82</v>
      </c>
      <c r="I92" s="72" t="s">
        <v>83</v>
      </c>
      <c r="J92" s="72" t="s">
        <v>84</v>
      </c>
      <c r="K92" s="72" t="s">
        <v>85</v>
      </c>
      <c r="L92" s="73" t="s">
        <v>86</v>
      </c>
    </row>
    <row r="93" spans="1:12" s="4" customFormat="1" x14ac:dyDescent="0.2">
      <c r="B93" s="12" t="s">
        <v>87</v>
      </c>
      <c r="C93" s="217">
        <f>K103</f>
        <v>70000</v>
      </c>
      <c r="D93" s="214"/>
      <c r="H93" s="12" t="s">
        <v>88</v>
      </c>
      <c r="I93" s="214">
        <f>$F$92*K93</f>
        <v>26000</v>
      </c>
      <c r="J93" s="4">
        <v>1</v>
      </c>
      <c r="K93" s="4">
        <v>5</v>
      </c>
      <c r="L93" s="13">
        <f>J93*K93</f>
        <v>5</v>
      </c>
    </row>
    <row r="94" spans="1:12" s="4" customFormat="1" x14ac:dyDescent="0.2">
      <c r="B94" s="12" t="s">
        <v>89</v>
      </c>
      <c r="C94" s="217">
        <f>K104</f>
        <v>10000</v>
      </c>
      <c r="D94" s="321"/>
      <c r="E94" s="71" t="s">
        <v>90</v>
      </c>
      <c r="F94" s="73"/>
      <c r="H94" s="12" t="s">
        <v>91</v>
      </c>
      <c r="I94" s="214">
        <f>$F$92*K94</f>
        <v>5200</v>
      </c>
      <c r="J94" s="4">
        <v>35</v>
      </c>
      <c r="K94" s="4">
        <v>1</v>
      </c>
      <c r="L94" s="13">
        <f>J94*K94</f>
        <v>35</v>
      </c>
    </row>
    <row r="95" spans="1:12" s="4" customFormat="1" x14ac:dyDescent="0.2">
      <c r="B95" s="12" t="s">
        <v>92</v>
      </c>
      <c r="C95" s="217">
        <f>K105</f>
        <v>47000</v>
      </c>
      <c r="E95" s="12" t="s">
        <v>93</v>
      </c>
      <c r="F95" s="327">
        <v>10000</v>
      </c>
      <c r="H95" s="12" t="s">
        <v>94</v>
      </c>
      <c r="I95" s="214">
        <f>$F$92*K95</f>
        <v>13000</v>
      </c>
      <c r="J95" s="4">
        <v>3</v>
      </c>
      <c r="K95" s="4">
        <v>2.5</v>
      </c>
      <c r="L95" s="13">
        <f>J95*K95</f>
        <v>7.5</v>
      </c>
    </row>
    <row r="96" spans="1:12" s="4" customFormat="1" x14ac:dyDescent="0.2">
      <c r="B96" s="71"/>
      <c r="C96" s="324">
        <f>SUM(C92:C95)</f>
        <v>431200</v>
      </c>
      <c r="E96" s="12" t="s">
        <v>95</v>
      </c>
      <c r="F96" s="194">
        <v>7</v>
      </c>
      <c r="H96" s="12" t="s">
        <v>96</v>
      </c>
      <c r="I96" s="214">
        <f>$F$92*K96</f>
        <v>5200</v>
      </c>
      <c r="J96" s="4">
        <f>J77</f>
        <v>11</v>
      </c>
      <c r="K96" s="4">
        <v>1</v>
      </c>
      <c r="L96" s="13">
        <f>J96*K96</f>
        <v>11</v>
      </c>
    </row>
    <row r="97" spans="1:12" s="4" customFormat="1" x14ac:dyDescent="0.2">
      <c r="E97" s="12" t="s">
        <v>97</v>
      </c>
      <c r="F97" s="217">
        <v>2000</v>
      </c>
      <c r="H97" s="12" t="s">
        <v>64</v>
      </c>
      <c r="I97" s="4" t="s">
        <v>66</v>
      </c>
      <c r="J97" s="4">
        <f>SUM(J93:J96)</f>
        <v>50</v>
      </c>
      <c r="K97" s="4" t="s">
        <v>66</v>
      </c>
      <c r="L97" s="13">
        <f>SUM(L93:L96)</f>
        <v>58.5</v>
      </c>
    </row>
    <row r="98" spans="1:12" s="4" customFormat="1" x14ac:dyDescent="0.2">
      <c r="B98" s="71" t="s">
        <v>98</v>
      </c>
      <c r="C98" s="73" t="s">
        <v>406</v>
      </c>
      <c r="E98" s="14" t="s">
        <v>95</v>
      </c>
      <c r="F98" s="76">
        <v>5</v>
      </c>
      <c r="H98" s="14" t="s">
        <v>99</v>
      </c>
      <c r="I98" s="322">
        <f>L97*F92</f>
        <v>304200</v>
      </c>
      <c r="J98" s="15"/>
      <c r="K98" s="15"/>
      <c r="L98" s="16"/>
    </row>
    <row r="99" spans="1:12" s="4" customFormat="1" x14ac:dyDescent="0.2"/>
    <row r="100" spans="1:12" s="4" customFormat="1" x14ac:dyDescent="0.2">
      <c r="H100" s="71" t="s">
        <v>100</v>
      </c>
      <c r="I100" s="72"/>
      <c r="J100" s="72"/>
      <c r="K100" s="73"/>
    </row>
    <row r="101" spans="1:12" s="4" customFormat="1" x14ac:dyDescent="0.2">
      <c r="E101" s="71" t="s">
        <v>101</v>
      </c>
      <c r="F101" s="73"/>
      <c r="H101" s="12"/>
      <c r="I101" s="4" t="s">
        <v>102</v>
      </c>
      <c r="J101" s="4" t="s">
        <v>103</v>
      </c>
      <c r="K101" s="13" t="s">
        <v>64</v>
      </c>
    </row>
    <row r="102" spans="1:12" s="4" customFormat="1" x14ac:dyDescent="0.2">
      <c r="E102" s="325" t="s">
        <v>104</v>
      </c>
      <c r="F102" s="217">
        <v>165</v>
      </c>
      <c r="H102" s="12" t="s">
        <v>105</v>
      </c>
      <c r="I102" s="214">
        <f>F92</f>
        <v>5200</v>
      </c>
      <c r="J102" s="4">
        <f>L97</f>
        <v>58.5</v>
      </c>
      <c r="K102" s="217">
        <f>I102*J102</f>
        <v>304200</v>
      </c>
    </row>
    <row r="103" spans="1:12" s="4" customFormat="1" x14ac:dyDescent="0.2">
      <c r="E103" s="12" t="s">
        <v>106</v>
      </c>
      <c r="F103" s="217">
        <v>175</v>
      </c>
      <c r="H103" s="12" t="s">
        <v>93</v>
      </c>
      <c r="I103" s="214">
        <f>F95</f>
        <v>10000</v>
      </c>
      <c r="J103" s="4">
        <f>F96</f>
        <v>7</v>
      </c>
      <c r="K103" s="217">
        <f>F95*J103</f>
        <v>70000</v>
      </c>
    </row>
    <row r="104" spans="1:12" s="4" customFormat="1" ht="17" customHeight="1" x14ac:dyDescent="0.2">
      <c r="E104" s="12" t="s">
        <v>107</v>
      </c>
      <c r="F104" s="217">
        <v>400</v>
      </c>
      <c r="H104" s="12" t="s">
        <v>97</v>
      </c>
      <c r="I104" s="214">
        <f>F97</f>
        <v>2000</v>
      </c>
      <c r="J104" s="4">
        <f>F98</f>
        <v>5</v>
      </c>
      <c r="K104" s="217">
        <f>F97*J104</f>
        <v>10000</v>
      </c>
    </row>
    <row r="105" spans="1:12" s="4" customFormat="1" x14ac:dyDescent="0.2">
      <c r="E105" s="12" t="s">
        <v>108</v>
      </c>
      <c r="F105" s="217">
        <v>280</v>
      </c>
      <c r="H105" s="12" t="s">
        <v>109</v>
      </c>
      <c r="I105" s="214">
        <f>F102+F106+F107+F108</f>
        <v>940</v>
      </c>
      <c r="J105" s="4">
        <f>J97</f>
        <v>50</v>
      </c>
      <c r="K105" s="217">
        <f>I105*J105</f>
        <v>47000</v>
      </c>
    </row>
    <row r="106" spans="1:12" s="4" customFormat="1" x14ac:dyDescent="0.2">
      <c r="E106" s="325" t="s">
        <v>110</v>
      </c>
      <c r="F106" s="217">
        <v>350</v>
      </c>
      <c r="H106" s="14"/>
      <c r="I106" s="15"/>
      <c r="J106" s="15"/>
      <c r="K106" s="278">
        <f>SUM(K102:K105)</f>
        <v>431200</v>
      </c>
    </row>
    <row r="107" spans="1:12" s="4" customFormat="1" x14ac:dyDescent="0.2">
      <c r="E107" s="325" t="s">
        <v>111</v>
      </c>
      <c r="F107" s="217">
        <v>135</v>
      </c>
      <c r="L107" s="214"/>
    </row>
    <row r="108" spans="1:12" s="4" customFormat="1" x14ac:dyDescent="0.2">
      <c r="E108" s="376" t="s">
        <v>112</v>
      </c>
      <c r="F108" s="278">
        <v>290</v>
      </c>
      <c r="L108" s="214"/>
    </row>
    <row r="109" spans="1:12" s="4" customFormat="1" x14ac:dyDescent="0.2"/>
    <row r="110" spans="1:12" s="120" customFormat="1" x14ac:dyDescent="0.2">
      <c r="A110" s="4"/>
    </row>
    <row r="111" spans="1:12" s="4" customFormat="1" x14ac:dyDescent="0.2">
      <c r="B111" s="354" t="s">
        <v>113</v>
      </c>
    </row>
    <row r="112" spans="1:12" s="4" customFormat="1" x14ac:dyDescent="0.2"/>
    <row r="113" spans="1:22" s="4" customFormat="1" x14ac:dyDescent="0.2">
      <c r="B113" s="199" t="s">
        <v>114</v>
      </c>
      <c r="C113" s="199">
        <f>200000</f>
        <v>200000</v>
      </c>
    </row>
    <row r="114" spans="1:22" s="4" customFormat="1" x14ac:dyDescent="0.2">
      <c r="B114" s="199" t="s">
        <v>115</v>
      </c>
      <c r="C114" s="199">
        <f>2*0.019</f>
        <v>3.7999999999999999E-2</v>
      </c>
    </row>
    <row r="115" spans="1:22" s="4" customFormat="1" x14ac:dyDescent="0.2">
      <c r="B115" s="199" t="s">
        <v>116</v>
      </c>
      <c r="C115" s="199">
        <f>C113*C114</f>
        <v>7600</v>
      </c>
    </row>
    <row r="116" spans="1:22" s="4" customFormat="1" x14ac:dyDescent="0.2">
      <c r="B116" s="4" t="s">
        <v>117</v>
      </c>
      <c r="C116" s="69">
        <v>40000</v>
      </c>
      <c r="L116" s="187"/>
      <c r="M116" s="187"/>
      <c r="N116" s="187"/>
      <c r="O116" s="187"/>
      <c r="T116" s="187"/>
      <c r="U116" s="187"/>
      <c r="V116" s="187"/>
    </row>
    <row r="117" spans="1:22" s="4" customFormat="1" x14ac:dyDescent="0.2">
      <c r="L117" s="187"/>
      <c r="M117" s="187"/>
      <c r="N117" s="187"/>
      <c r="O117" s="187"/>
    </row>
    <row r="118" spans="1:22" s="4" customFormat="1" x14ac:dyDescent="0.2">
      <c r="L118" s="187"/>
      <c r="M118" s="187"/>
      <c r="N118" s="187"/>
    </row>
    <row r="119" spans="1:22" s="120" customFormat="1" x14ac:dyDescent="0.2">
      <c r="A119" s="4"/>
    </row>
    <row r="120" spans="1:22" s="4" customFormat="1" x14ac:dyDescent="0.2">
      <c r="B120" s="199" t="s">
        <v>407</v>
      </c>
    </row>
    <row r="121" spans="1:22" s="4" customFormat="1" x14ac:dyDescent="0.2"/>
    <row r="122" spans="1:22" s="4" customFormat="1" x14ac:dyDescent="0.2">
      <c r="B122" s="4" t="s">
        <v>119</v>
      </c>
    </row>
    <row r="123" spans="1:22" s="4" customFormat="1" x14ac:dyDescent="0.2">
      <c r="B123" s="9" t="s">
        <v>60</v>
      </c>
      <c r="C123" s="334">
        <f>IFERROR(VLOOKUP(B123,$B$14:$C$121,2,FALSE),0)</f>
        <v>2288352</v>
      </c>
      <c r="D123" s="286">
        <v>1</v>
      </c>
      <c r="E123" s="286"/>
    </row>
    <row r="124" spans="1:22" s="4" customFormat="1" x14ac:dyDescent="0.2">
      <c r="B124" s="275" t="s">
        <v>120</v>
      </c>
      <c r="C124" s="335">
        <f>(C74+0.125)*C123+J73*M23</f>
        <v>984254.83200000005</v>
      </c>
      <c r="D124" s="302"/>
      <c r="F124" s="9" t="s">
        <v>400</v>
      </c>
      <c r="G124" s="9" t="s">
        <v>122</v>
      </c>
      <c r="H124" s="331">
        <f>C128+C130</f>
        <v>351200</v>
      </c>
      <c r="I124" s="10">
        <f>H124/$H$128</f>
        <v>358.0750407830343</v>
      </c>
      <c r="J124" s="11"/>
    </row>
    <row r="125" spans="1:22" s="4" customFormat="1" x14ac:dyDescent="0.2">
      <c r="B125" s="12" t="s">
        <v>123</v>
      </c>
      <c r="C125" s="336">
        <f>C123-C124</f>
        <v>1304097.1680000001</v>
      </c>
      <c r="F125" s="12"/>
      <c r="G125" s="12" t="s">
        <v>124</v>
      </c>
      <c r="H125" s="279">
        <f>SUMIF(D127:D139,"FC",C127:C139)</f>
        <v>781415.18299999996</v>
      </c>
      <c r="I125" s="4">
        <f>H125/$H$128</f>
        <v>796.71205444535076</v>
      </c>
      <c r="J125" s="13"/>
    </row>
    <row r="126" spans="1:22" s="4" customFormat="1" x14ac:dyDescent="0.2">
      <c r="B126" s="12" t="s">
        <v>125</v>
      </c>
      <c r="C126" s="336"/>
      <c r="F126" s="12"/>
      <c r="G126" s="12" t="s">
        <v>120</v>
      </c>
      <c r="H126" s="279">
        <f>C124</f>
        <v>984254.83200000005</v>
      </c>
      <c r="I126" s="4">
        <f>H126/$H$128</f>
        <v>1003.5224632952693</v>
      </c>
      <c r="J126" s="13"/>
    </row>
    <row r="127" spans="1:22" s="4" customFormat="1" x14ac:dyDescent="0.2">
      <c r="B127" s="12" t="s">
        <v>27</v>
      </c>
      <c r="C127" s="336">
        <v>280000</v>
      </c>
      <c r="D127" s="4" t="s">
        <v>124</v>
      </c>
      <c r="F127" s="12"/>
      <c r="G127" s="12" t="s">
        <v>127</v>
      </c>
      <c r="H127" s="279">
        <f>SUM(H124:H126)</f>
        <v>2116870.0150000001</v>
      </c>
      <c r="J127" s="13"/>
    </row>
    <row r="128" spans="1:22" s="4" customFormat="1" x14ac:dyDescent="0.2">
      <c r="B128" s="12" t="s">
        <v>81</v>
      </c>
      <c r="C128" s="336">
        <f t="shared" ref="C128:C136" si="0">IFERROR(VLOOKUP(B128,$B$14:$C$121,2,FALSE),0)</f>
        <v>304200</v>
      </c>
      <c r="D128" s="4" t="s">
        <v>122</v>
      </c>
      <c r="F128" s="12"/>
      <c r="G128" s="12" t="s">
        <v>128</v>
      </c>
      <c r="H128" s="302">
        <f>C76</f>
        <v>980.8</v>
      </c>
      <c r="J128" s="13"/>
    </row>
    <row r="129" spans="2:10" s="4" customFormat="1" x14ac:dyDescent="0.2">
      <c r="B129" s="12" t="s">
        <v>87</v>
      </c>
      <c r="C129" s="336">
        <f t="shared" si="0"/>
        <v>70000</v>
      </c>
      <c r="D129" s="4" t="s">
        <v>124</v>
      </c>
      <c r="F129" s="12"/>
      <c r="G129" s="12" t="s">
        <v>129</v>
      </c>
      <c r="H129" s="339">
        <f>H127/H128</f>
        <v>2158.3095585236542</v>
      </c>
      <c r="J129" s="13"/>
    </row>
    <row r="130" spans="2:10" s="4" customFormat="1" x14ac:dyDescent="0.2">
      <c r="B130" s="12" t="s">
        <v>92</v>
      </c>
      <c r="C130" s="336">
        <f t="shared" si="0"/>
        <v>47000</v>
      </c>
      <c r="D130" s="4" t="s">
        <v>122</v>
      </c>
      <c r="F130" s="12"/>
      <c r="G130" s="12"/>
      <c r="J130" s="13"/>
    </row>
    <row r="131" spans="2:10" s="4" customFormat="1" x14ac:dyDescent="0.2">
      <c r="B131" s="12" t="s">
        <v>89</v>
      </c>
      <c r="C131" s="336">
        <f t="shared" si="0"/>
        <v>10000</v>
      </c>
      <c r="D131" s="4" t="s">
        <v>124</v>
      </c>
      <c r="F131" s="12"/>
      <c r="G131" s="12" t="s">
        <v>130</v>
      </c>
      <c r="H131" s="286">
        <v>0.1</v>
      </c>
      <c r="I131" s="286">
        <v>0.2</v>
      </c>
      <c r="J131" s="332">
        <v>0.3</v>
      </c>
    </row>
    <row r="132" spans="2:10" s="4" customFormat="1" x14ac:dyDescent="0.2">
      <c r="B132" s="12" t="s">
        <v>131</v>
      </c>
      <c r="C132" s="336">
        <f t="shared" si="0"/>
        <v>0</v>
      </c>
      <c r="F132" s="340"/>
      <c r="G132" s="14" t="s">
        <v>132</v>
      </c>
      <c r="H132" s="333">
        <f>$H$129*(1+H131)</f>
        <v>2374.1405143760198</v>
      </c>
      <c r="I132" s="333">
        <f>$H$129*(1+I131)</f>
        <v>2589.971470228385</v>
      </c>
      <c r="J132" s="341">
        <f>$H$129*(1+J131)</f>
        <v>2805.8024260807506</v>
      </c>
    </row>
    <row r="133" spans="2:10" s="4" customFormat="1" x14ac:dyDescent="0.2">
      <c r="B133" s="12" t="s">
        <v>11</v>
      </c>
      <c r="C133" s="336">
        <f t="shared" si="0"/>
        <v>135000</v>
      </c>
      <c r="D133" s="4" t="s">
        <v>124</v>
      </c>
      <c r="F133" s="12"/>
      <c r="G133" s="4" t="s">
        <v>133</v>
      </c>
      <c r="H133" s="302">
        <f>H132-$H$129</f>
        <v>215.83095585236561</v>
      </c>
      <c r="I133" s="302">
        <f>I132-$H$129</f>
        <v>431.66191170473076</v>
      </c>
      <c r="J133" s="318">
        <f>J132-$H$129</f>
        <v>647.49286755709636</v>
      </c>
    </row>
    <row r="134" spans="2:10" s="4" customFormat="1" x14ac:dyDescent="0.2">
      <c r="B134" s="12" t="s">
        <v>61</v>
      </c>
      <c r="C134" s="336">
        <f t="shared" si="0"/>
        <v>238537.60000000001</v>
      </c>
      <c r="D134" s="4" t="s">
        <v>124</v>
      </c>
      <c r="F134" s="12" t="s">
        <v>401</v>
      </c>
      <c r="G134" s="4" t="s">
        <v>134</v>
      </c>
      <c r="H134" s="355">
        <f>H133/H132</f>
        <v>9.0909090909090981E-2</v>
      </c>
      <c r="I134" s="355">
        <f>I133/I132</f>
        <v>0.16666666666666663</v>
      </c>
      <c r="J134" s="326">
        <f>J133/J132</f>
        <v>0.23076923076923078</v>
      </c>
    </row>
    <row r="135" spans="2:10" s="4" customFormat="1" x14ac:dyDescent="0.2">
      <c r="B135" s="12" t="s">
        <v>23</v>
      </c>
      <c r="C135" s="336">
        <f t="shared" si="0"/>
        <v>7877.5830000000014</v>
      </c>
      <c r="D135" s="4" t="s">
        <v>124</v>
      </c>
      <c r="F135" s="12" t="s">
        <v>402</v>
      </c>
      <c r="G135" s="4" t="s">
        <v>135</v>
      </c>
      <c r="H135" s="279">
        <f>$H$125/H134</f>
        <v>8595567.0129999928</v>
      </c>
      <c r="I135" s="279">
        <f>$H$125/I134</f>
        <v>4688491.0980000012</v>
      </c>
      <c r="J135" s="281">
        <f>$H$125/J134</f>
        <v>3386132.4596666661</v>
      </c>
    </row>
    <row r="136" spans="2:10" s="4" customFormat="1" x14ac:dyDescent="0.2">
      <c r="B136" s="12" t="s">
        <v>117</v>
      </c>
      <c r="C136" s="336">
        <f t="shared" si="0"/>
        <v>40000</v>
      </c>
      <c r="D136" s="4" t="s">
        <v>124</v>
      </c>
      <c r="F136" s="14"/>
      <c r="G136" s="15" t="s">
        <v>136</v>
      </c>
      <c r="H136" s="15">
        <f>H135/H132</f>
        <v>3620.4963273873918</v>
      </c>
      <c r="I136" s="15">
        <f>I135/I132</f>
        <v>1810.248163693698</v>
      </c>
      <c r="J136" s="16">
        <f>J135/J132</f>
        <v>1206.8321091291314</v>
      </c>
    </row>
    <row r="137" spans="2:10" s="4" customFormat="1" x14ac:dyDescent="0.2">
      <c r="B137" s="275" t="s">
        <v>137</v>
      </c>
      <c r="C137" s="335" cm="1">
        <f t="array" ref="C137">SUMPRODUCT(F80:I80*F73:I73)</f>
        <v>39829.279999999999</v>
      </c>
      <c r="D137" s="335"/>
    </row>
    <row r="138" spans="2:10" s="4" customFormat="1" x14ac:dyDescent="0.2">
      <c r="B138" s="12" t="s">
        <v>139</v>
      </c>
      <c r="C138" s="336">
        <f>IFERROR(VLOOKUP(B138,$B$14:$C$121,2,FALSE),0)</f>
        <v>0</v>
      </c>
    </row>
    <row r="139" spans="2:10" s="4" customFormat="1" x14ac:dyDescent="0.2">
      <c r="B139" s="365" t="s">
        <v>140</v>
      </c>
      <c r="C139" s="366">
        <f>Archived_Testing_Q5!B16</f>
        <v>116709.02</v>
      </c>
    </row>
    <row r="140" spans="2:10" s="4" customFormat="1" x14ac:dyDescent="0.2">
      <c r="B140" s="12" t="s">
        <v>141</v>
      </c>
      <c r="C140" s="336">
        <f>IFERROR(VLOOKUP(B140,$B$14:$C$121,2,FALSE),0)</f>
        <v>0</v>
      </c>
    </row>
    <row r="141" spans="2:10" s="4" customFormat="1" x14ac:dyDescent="0.2">
      <c r="B141" s="12" t="s">
        <v>142</v>
      </c>
      <c r="C141" s="336">
        <f>IFERROR(VLOOKUP(B141,$B$14:$C$121,2,FALSE),0)</f>
        <v>0</v>
      </c>
    </row>
    <row r="142" spans="2:10" s="4" customFormat="1" x14ac:dyDescent="0.2">
      <c r="B142" s="12" t="s">
        <v>143</v>
      </c>
      <c r="C142" s="336">
        <f>SUM(C127:C141)</f>
        <v>1289153.4830000002</v>
      </c>
    </row>
    <row r="143" spans="2:10" s="4" customFormat="1" x14ac:dyDescent="0.2">
      <c r="B143" s="12" t="s">
        <v>125</v>
      </c>
      <c r="C143" s="13"/>
    </row>
    <row r="144" spans="2:10" s="4" customFormat="1" x14ac:dyDescent="0.2">
      <c r="B144" s="12" t="s">
        <v>144</v>
      </c>
      <c r="C144" s="13">
        <v>0</v>
      </c>
    </row>
    <row r="145" spans="2:5" s="4" customFormat="1" x14ac:dyDescent="0.2">
      <c r="B145" s="12" t="s">
        <v>145</v>
      </c>
      <c r="C145" s="13">
        <v>0</v>
      </c>
    </row>
    <row r="146" spans="2:5" s="4" customFormat="1" x14ac:dyDescent="0.2">
      <c r="B146" s="12" t="s">
        <v>125</v>
      </c>
      <c r="C146" s="13"/>
      <c r="D146" s="286">
        <v>0.08</v>
      </c>
    </row>
    <row r="147" spans="2:5" s="4" customFormat="1" x14ac:dyDescent="0.2">
      <c r="B147" s="12" t="s">
        <v>146</v>
      </c>
      <c r="C147" s="359">
        <f>C125-C142</f>
        <v>14943.684999999823</v>
      </c>
      <c r="D147" s="4">
        <v>69579.26689999993</v>
      </c>
      <c r="E147" s="4">
        <v>57518.90839999984</v>
      </c>
    </row>
    <row r="148" spans="2:5" s="4" customFormat="1" x14ac:dyDescent="0.2">
      <c r="B148" s="12" t="s">
        <v>147</v>
      </c>
      <c r="C148" s="13">
        <v>0</v>
      </c>
    </row>
    <row r="149" spans="2:5" s="4" customFormat="1" x14ac:dyDescent="0.2">
      <c r="B149" s="12" t="s">
        <v>148</v>
      </c>
      <c r="C149" s="336">
        <f>C147-C148</f>
        <v>14943.684999999823</v>
      </c>
    </row>
    <row r="150" spans="2:5" s="4" customFormat="1" x14ac:dyDescent="0.2">
      <c r="B150" s="12" t="s">
        <v>119</v>
      </c>
      <c r="C150" s="13"/>
    </row>
    <row r="151" spans="2:5" s="4" customFormat="1" x14ac:dyDescent="0.2">
      <c r="B151" s="12" t="s">
        <v>149</v>
      </c>
      <c r="C151" s="368">
        <f>'Q4-Validation'!$C$154</f>
        <v>-1575663.9228000001</v>
      </c>
    </row>
    <row r="152" spans="2:5" s="4" customFormat="1" x14ac:dyDescent="0.2">
      <c r="B152" s="12" t="s">
        <v>148</v>
      </c>
      <c r="C152" s="336">
        <f>C149+C151</f>
        <v>-1560720.2378000002</v>
      </c>
    </row>
    <row r="153" spans="2:5" s="4" customFormat="1" x14ac:dyDescent="0.2">
      <c r="B153" s="12" t="s">
        <v>150</v>
      </c>
      <c r="C153" s="13">
        <v>0</v>
      </c>
    </row>
    <row r="154" spans="2:5" s="4" customFormat="1" x14ac:dyDescent="0.2">
      <c r="B154" s="14" t="s">
        <v>151</v>
      </c>
      <c r="C154" s="337">
        <f>C152+C153</f>
        <v>-1560720.2378000002</v>
      </c>
    </row>
    <row r="155" spans="2:5" s="4" customFormat="1" x14ac:dyDescent="0.2"/>
    <row r="156" spans="2:5" s="4" customFormat="1" x14ac:dyDescent="0.2">
      <c r="C156" s="330"/>
      <c r="D156" s="214"/>
      <c r="E156" s="279"/>
    </row>
    <row r="157" spans="2:5" s="4" customFormat="1" x14ac:dyDescent="0.2"/>
    <row r="158" spans="2:5" s="4" customFormat="1" x14ac:dyDescent="0.2"/>
    <row r="159" spans="2:5" s="4" customFormat="1" x14ac:dyDescent="0.2"/>
    <row r="160" spans="2:5" s="4" customFormat="1" x14ac:dyDescent="0.2"/>
    <row r="161" s="4" customFormat="1" x14ac:dyDescent="0.2"/>
    <row r="162" s="4" customFormat="1" x14ac:dyDescent="0.2"/>
    <row r="163" s="4" customFormat="1" x14ac:dyDescent="0.2"/>
    <row r="164" s="4" customFormat="1" x14ac:dyDescent="0.2"/>
    <row r="165" s="4" customFormat="1" x14ac:dyDescent="0.2"/>
    <row r="166" s="4" customFormat="1" x14ac:dyDescent="0.2"/>
    <row r="167" s="4" customFormat="1" x14ac:dyDescent="0.2"/>
    <row r="168" s="4" customFormat="1" x14ac:dyDescent="0.2"/>
    <row r="169" s="4" customFormat="1" x14ac:dyDescent="0.2"/>
    <row r="170" s="4" customFormat="1" x14ac:dyDescent="0.2"/>
    <row r="171" s="4" customFormat="1" x14ac:dyDescent="0.2"/>
    <row r="172" s="4" customFormat="1" x14ac:dyDescent="0.2"/>
    <row r="173" s="4" customFormat="1" x14ac:dyDescent="0.2"/>
    <row r="174" s="4" customFormat="1" x14ac:dyDescent="0.2"/>
  </sheetData>
  <mergeCells count="1">
    <mergeCell ref="E18:G18"/>
  </mergeCell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5C2A36B2-B71D-A24D-A504-F49C605DC5FC}">
          <x14:formula1>
            <xm:f>Reference!$B$1:$B$4</xm:f>
          </x14:formula1>
          <xm:sqref>W21 W28 K20</xm:sqref>
        </x14:dataValidation>
        <x14:dataValidation type="list" allowBlank="1" showInputMessage="1" showErrorMessage="1" xr:uid="{4D59ACC8-91AD-3A4E-8410-27AE7E67D1DD}">
          <x14:formula1>
            <xm:f>Reference!$D$1:$D$4</xm:f>
          </x14:formula1>
          <xm:sqref>W23 W30 K22</xm:sqref>
        </x14:dataValidation>
        <x14:dataValidation type="list" allowBlank="1" showInputMessage="1" showErrorMessage="1" xr:uid="{E0C1C5E5-8C42-3F4D-898F-6731F5852A5B}">
          <x14:formula1>
            <xm:f>Reference!$A$1:$A$3</xm:f>
          </x14:formula1>
          <xm:sqref>W20 W27 K19</xm:sqref>
        </x14:dataValidation>
        <x14:dataValidation type="list" allowBlank="1" showInputMessage="1" showErrorMessage="1" xr:uid="{B02A5A84-C040-7D47-A50A-F0A6B198D5A0}">
          <x14:formula1>
            <xm:f>Reference!$C$1:$C$5</xm:f>
          </x14:formula1>
          <xm:sqref>W22 W29 K21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53</vt:i4>
      </vt:variant>
      <vt:variant>
        <vt:lpstr>Named Ranges</vt:lpstr>
      </vt:variant>
      <vt:variant>
        <vt:i4>4</vt:i4>
      </vt:variant>
    </vt:vector>
  </HeadingPairs>
  <TitlesOfParts>
    <vt:vector size="57" baseType="lpstr">
      <vt:lpstr>Qm-ValidationPredict</vt:lpstr>
      <vt:lpstr>Archive-Input_Qm-Predict</vt:lpstr>
      <vt:lpstr>Input_Qm-Predict</vt:lpstr>
      <vt:lpstr>Read Me</vt:lpstr>
      <vt:lpstr>Dashboard</vt:lpstr>
      <vt:lpstr>Reference</vt:lpstr>
      <vt:lpstr>Information-Working</vt:lpstr>
      <vt:lpstr>Pricing-Working</vt:lpstr>
      <vt:lpstr>Data_Price</vt:lpstr>
      <vt:lpstr>Data_Sales</vt:lpstr>
      <vt:lpstr>Data_CashFlows</vt:lpstr>
      <vt:lpstr>Data_Stock</vt:lpstr>
      <vt:lpstr>Data_IncomeStatement</vt:lpstr>
      <vt:lpstr>Data_EmployeeNumber</vt:lpstr>
      <vt:lpstr>Macro_Code</vt:lpstr>
      <vt:lpstr>Q12-Validation</vt:lpstr>
      <vt:lpstr>Q12-Predict</vt:lpstr>
      <vt:lpstr>Input_Q12-Predict</vt:lpstr>
      <vt:lpstr>Q11-Validation</vt:lpstr>
      <vt:lpstr>Q11-Predict</vt:lpstr>
      <vt:lpstr>Input_Q11-Predict</vt:lpstr>
      <vt:lpstr>Input_Q10-Predict</vt:lpstr>
      <vt:lpstr>Q10-Validation</vt:lpstr>
      <vt:lpstr>Q10-Predict</vt:lpstr>
      <vt:lpstr>Q9-Validation</vt:lpstr>
      <vt:lpstr>Input_Q9-Predict</vt:lpstr>
      <vt:lpstr>Q9-Predict</vt:lpstr>
      <vt:lpstr>Q8-Validation</vt:lpstr>
      <vt:lpstr>Input_Q8-Predict</vt:lpstr>
      <vt:lpstr>Q8-Predict</vt:lpstr>
      <vt:lpstr>Q7-Validation</vt:lpstr>
      <vt:lpstr>Input_Q7-Predict</vt:lpstr>
      <vt:lpstr>Q7-Predict</vt:lpstr>
      <vt:lpstr>Q6-Validation</vt:lpstr>
      <vt:lpstr>Input_Q6-Predict</vt:lpstr>
      <vt:lpstr>Q6-Predict</vt:lpstr>
      <vt:lpstr>Q5-Validation</vt:lpstr>
      <vt:lpstr>Q5-Predict</vt:lpstr>
      <vt:lpstr>Q4-Validation</vt:lpstr>
      <vt:lpstr>Q4-Predict</vt:lpstr>
      <vt:lpstr>Q3-Validation</vt:lpstr>
      <vt:lpstr>Q3-Predict</vt:lpstr>
      <vt:lpstr>Q2</vt:lpstr>
      <vt:lpstr>Q1</vt:lpstr>
      <vt:lpstr>Q1-Data</vt:lpstr>
      <vt:lpstr>Archived_Diagram (2)</vt:lpstr>
      <vt:lpstr>Archived_Diagram</vt:lpstr>
      <vt:lpstr>Archived_DraftCalculationFlow</vt:lpstr>
      <vt:lpstr>(Archived)Q2-Data </vt:lpstr>
      <vt:lpstr>Archieved_Analysis</vt:lpstr>
      <vt:lpstr>Archived_1,2,3,4</vt:lpstr>
      <vt:lpstr>Archived_Testing_Q5</vt:lpstr>
      <vt:lpstr>Archived_Q5-Predict(01)</vt:lpstr>
      <vt:lpstr>Electric</vt:lpstr>
      <vt:lpstr>Motor___Cooling</vt:lpstr>
      <vt:lpstr>Packing</vt:lpstr>
      <vt:lpstr>Plastic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Aiqingqing Li</dc:creator>
  <cp:keywords/>
  <dc:description/>
  <cp:lastModifiedBy>Leyli Shabanova</cp:lastModifiedBy>
  <cp:revision/>
  <dcterms:created xsi:type="dcterms:W3CDTF">2025-11-15T19:20:22Z</dcterms:created>
  <dcterms:modified xsi:type="dcterms:W3CDTF">2025-12-28T17:49:34Z</dcterms:modified>
  <cp:category/>
  <cp:contentStatus/>
</cp:coreProperties>
</file>